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al Breakdown" sheetId="1" state="visible" r:id="rId3"/>
    <sheet name="All Lots" sheetId="2" state="visible" r:id="rId4"/>
    <sheet name="Assumptions" sheetId="3" state="visible" r:id="rId5"/>
    <sheet name="Sold Comps" sheetId="4" state="visible" r:id="rId6"/>
  </sheets>
  <definedNames>
    <definedName function="false" hidden="true" localSheetId="1" name="_xlnm._FilterDatabase" vbProcedure="false">'All Lots'!$A$2:$AP$138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<sst xmlns="http://schemas.openxmlformats.org/spreadsheetml/2006/main" count="1241" uniqueCount="477">
  <si>
    <t xml:space="preserve">Palisades lots — deal breakdown for the shortlist</t>
  </si>
  <si>
    <t xml:space="preserve">Every number is pulled live from the All Lots tab. Sale prices start from closed sales by neighborhood; Worst = today's comps, Medium = +10%, Best = +20%.</t>
  </si>
  <si>
    <t xml:space="preserve">711 Chapala</t>
  </si>
  <si>
    <t xml:space="preserve">611 Ocampo</t>
  </si>
  <si>
    <t xml:space="preserve">16150 Northfield</t>
  </si>
  <si>
    <t xml:space="preserve">14410 Villa Woods</t>
  </si>
  <si>
    <t xml:space="preserve">909 Rivas Canyon</t>
  </si>
  <si>
    <t xml:space="preserve">545 N Las Casas</t>
  </si>
  <si>
    <t xml:space="preserve">THE LOT</t>
  </si>
  <si>
    <t xml:space="preserve">Neighborhood</t>
  </si>
  <si>
    <t xml:space="preserve">Asking price</t>
  </si>
  <si>
    <t xml:space="preserve">Lot size (sf)</t>
  </si>
  <si>
    <t xml:space="preserve">City-approved plans?</t>
  </si>
  <si>
    <t xml:space="preserve">THE HOUSE</t>
  </si>
  <si>
    <t xml:space="preserve">New house size (sf)</t>
  </si>
  <si>
    <t xml:space="preserve">How sized</t>
  </si>
  <si>
    <t xml:space="preserve">Sale price per sf</t>
  </si>
  <si>
    <t xml:space="preserve">Projected sale price</t>
  </si>
  <si>
    <t xml:space="preserve">COSTS</t>
  </si>
  <si>
    <t xml:space="preserve">Land</t>
  </si>
  <si>
    <t xml:space="preserve">Construction</t>
  </si>
  <si>
    <t xml:space="preserve">Design, permits &amp; fees (or 5% reserve)</t>
  </si>
  <si>
    <t xml:space="preserve">Loan interest &amp; points</t>
  </si>
  <si>
    <t xml:space="preserve">Property tax</t>
  </si>
  <si>
    <t xml:space="preserve">Commission &amp; transfer tax</t>
  </si>
  <si>
    <t xml:space="preserve">Mansion tax (ULA)</t>
  </si>
  <si>
    <t xml:space="preserve">Total cost</t>
  </si>
  <si>
    <t xml:space="preserve">RETURNS</t>
  </si>
  <si>
    <t xml:space="preserve">Profit</t>
  </si>
  <si>
    <t xml:space="preserve">Margin (profit ÷ cost)</t>
  </si>
  <si>
    <t xml:space="preserve">Most we should pay for the lot</t>
  </si>
  <si>
    <t xml:space="preserve">Asking vs. most we should pay</t>
  </si>
  <si>
    <t xml:space="preserve">PROFIT IN EACH SCENARIO</t>
  </si>
  <si>
    <t xml:space="preserve">Worst: sale price per sf (today's comps)</t>
  </si>
  <si>
    <t xml:space="preserve">Worst: profit</t>
  </si>
  <si>
    <t xml:space="preserve">Medium: sale price per sf (+10%)</t>
  </si>
  <si>
    <t xml:space="preserve">Medium: profit</t>
  </si>
  <si>
    <t xml:space="preserve">Best: sale price per sf (+20%)</t>
  </si>
  <si>
    <t xml:space="preserve">Best: profit</t>
  </si>
  <si>
    <t xml:space="preserve">How to read it</t>
  </si>
  <si>
    <t xml:space="preserve">• Total cost = everything from buying the lot to selling the house, including loan costs, the realtor commission and LA's mansion tax (ULA) at sale.</t>
  </si>
  <si>
    <t xml:space="preserve">• Profit = sale price − total cost. 'Most we should pay' = the highest lot price that still earns the target margin (15%). Green = the lot works at asking; red = we'd need to negotiate down.</t>
  </si>
  <si>
    <t xml:space="preserve">• Construction is $700/sf fixed. Lots with city-approved plans (checked in LADBS 9/28/2026) use a 5% of asking price reserve instead of design and permit costs.</t>
  </si>
  <si>
    <t xml:space="preserve">• House size: city-approved plans where they exist; otherwise 110% of the old house or a rough zoning estimate an architect must confirm.</t>
  </si>
  <si>
    <t xml:space="preserve">• Placeholders to confirm: $75/sf design and permits, loan terms, 5% commission. Figures are from public portals and city records, not MLS.</t>
  </si>
  <si>
    <t xml:space="preserve">THE HOUSE WE BUILD</t>
  </si>
  <si>
    <t xml:space="preserve">RETURNS (scenario chosen on Assumptions)</t>
  </si>
  <si>
    <t xml:space="preserve">BEHIND THE SCENES (math helpers)</t>
  </si>
  <si>
    <t xml:space="preserve">Rank</t>
  </si>
  <si>
    <t xml:space="preserve">Address</t>
  </si>
  <si>
    <t xml:space="preserve">Old house (sf)</t>
  </si>
  <si>
    <t xml:space="preserve">City-approved / claimed plans (sf)</t>
  </si>
  <si>
    <t xml:space="preserve">Ocean view (MLS)</t>
  </si>
  <si>
    <t xml:space="preserve">Gated</t>
  </si>
  <si>
    <t xml:space="preserve">Notes</t>
  </si>
  <si>
    <t xml:space="preserve">Project length (yrs)</t>
  </si>
  <si>
    <t xml:space="preserve">Sale price</t>
  </si>
  <si>
    <t xml:space="preserve">TOTAL COST</t>
  </si>
  <si>
    <t xml:space="preserve">Worst: sale $/sf</t>
  </si>
  <si>
    <t xml:space="preserve">Medium: sale $/sf</t>
  </si>
  <si>
    <t xml:space="preserve">Best: sale $/sf</t>
  </si>
  <si>
    <t xml:space="preserve">Medium profit if build cost = A</t>
  </si>
  <si>
    <t xml:space="preserve">Medium profit if build cost = B</t>
  </si>
  <si>
    <t xml:space="preserve">Nbhd code</t>
  </si>
  <si>
    <t xml:space="preserve">Fast-path size</t>
  </si>
  <si>
    <t xml:space="preserve">Build-to-zoning size</t>
  </si>
  <si>
    <t xml:space="preserve">Profit: fast path</t>
  </si>
  <si>
    <t xml:space="preserve">Profit: build to zoning</t>
  </si>
  <si>
    <t xml:space="preserve">Loan amount</t>
  </si>
  <si>
    <t xml:space="preserve">14511 W Sunset Blvd</t>
  </si>
  <si>
    <t xml:space="preserve">Riviera</t>
  </si>
  <si>
    <t xml:space="preserve">No</t>
  </si>
  <si>
    <t xml:space="preserve">private rd off Sunset; Tal 10/1: something feels off (access/entrance off Sunset), says it is a foreclosure; verify title and access</t>
  </si>
  <si>
    <t xml:space="preserve">RIV</t>
  </si>
  <si>
    <t xml:space="preserve">545 N Las Casas Ave</t>
  </si>
  <si>
    <t xml:space="preserve">Bluffs / El Medio</t>
  </si>
  <si>
    <t xml:space="preserve">small lot</t>
  </si>
  <si>
    <t xml:space="preserve">BLUFF</t>
  </si>
  <si>
    <t xml:space="preserve">711 Chapala Dr</t>
  </si>
  <si>
    <t xml:space="preserve">Huntington</t>
  </si>
  <si>
    <t xml:space="preserve">Yes</t>
  </si>
  <si>
    <t xml:space="preserve">LADBS: plan check approved 7/8/26, 7,504 sf (not advertised as RTI)</t>
  </si>
  <si>
    <t xml:space="preserve">HUNT</t>
  </si>
  <si>
    <t xml:space="preserve">14410 Villa Woods Pl</t>
  </si>
  <si>
    <t xml:space="preserve">pool remains</t>
  </si>
  <si>
    <t xml:space="preserve">16150 Northfield St</t>
  </si>
  <si>
    <t xml:space="preserve">LADBS: plan check approved 6/25/26, 4,270 sf (listing 5,200); flip</t>
  </si>
  <si>
    <t xml:space="preserve">909 Rivas Canyon Rd</t>
  </si>
  <si>
    <t xml:space="preserve">611 Ocampo Dr</t>
  </si>
  <si>
    <t xml:space="preserve">LADBS: plan check approved 7/31/26, 7,154 sf (listing 7,524); new pool permit issued</t>
  </si>
  <si>
    <t xml:space="preserve">1078 Villa Grove Dr</t>
  </si>
  <si>
    <t xml:space="preserve">627 N Marquette St</t>
  </si>
  <si>
    <t xml:space="preserve">septic</t>
  </si>
  <si>
    <t xml:space="preserve">623 N Marquette St</t>
  </si>
  <si>
    <t xml:space="preserve">419 DOM</t>
  </si>
  <si>
    <t xml:space="preserve">824 Chautauqua Blvd</t>
  </si>
  <si>
    <t xml:space="preserve">lot-line adj pending</t>
  </si>
  <si>
    <t xml:space="preserve">622 Alma Real Dr</t>
  </si>
  <si>
    <t xml:space="preserve">Redfin $3,595,000 (9/29)</t>
  </si>
  <si>
    <t xml:space="preserve">16723 W Sunset Blvd</t>
  </si>
  <si>
    <t xml:space="preserve">on Sunset; price change seen 9/29</t>
  </si>
  <si>
    <t xml:space="preserve">16614 Pequeno Pl</t>
  </si>
  <si>
    <t xml:space="preserve">Marquez Knolls</t>
  </si>
  <si>
    <t xml:space="preserve">NEW 9/29; AUCTION listing (price may be a starting bid); seller has slope analysis + plans</t>
  </si>
  <si>
    <t xml:space="preserve">MK</t>
  </si>
  <si>
    <t xml:space="preserve">16503 Las Casas Pl</t>
  </si>
  <si>
    <t xml:space="preserve">16550 Akron St</t>
  </si>
  <si>
    <t xml:space="preserve">short sale</t>
  </si>
  <si>
    <t xml:space="preserve">871 Oreo Pl</t>
  </si>
  <si>
    <t xml:space="preserve">Upper Las Lomas / Las Pulgas</t>
  </si>
  <si>
    <t xml:space="preserve">LADBS: plan check approved 8/26/26, 4,389 sf (not advertised)</t>
  </si>
  <si>
    <t xml:space="preserve">UPS</t>
  </si>
  <si>
    <t xml:space="preserve">1515 Umeo Rd</t>
  </si>
  <si>
    <t xml:space="preserve">NEW 9/29; ~0.75 ac Riviera; seller financing offered</t>
  </si>
  <si>
    <t xml:space="preserve">16561 Las Casas Pl</t>
  </si>
  <si>
    <t xml:space="preserve">NEW 9/29; small canyon-facing lot</t>
  </si>
  <si>
    <t xml:space="preserve">15329 De Pauw St</t>
  </si>
  <si>
    <t xml:space="preserve">Via de la Paz</t>
  </si>
  <si>
    <t xml:space="preserve">517 DOM; coastal</t>
  </si>
  <si>
    <t xml:space="preserve">VDLP</t>
  </si>
  <si>
    <t xml:space="preserve">711 Muskingum Ave</t>
  </si>
  <si>
    <t xml:space="preserve">LADBS: plan check approved 8/25/26, 3,496 sf</t>
  </si>
  <si>
    <t xml:space="preserve">838 N Las Casas Ave</t>
  </si>
  <si>
    <t xml:space="preserve">771 Ocampo Dr</t>
  </si>
  <si>
    <t xml:space="preserve">LADBS: plan check approved 2/19/26, 3,960 sf</t>
  </si>
  <si>
    <t xml:space="preserve">1226 Monument St</t>
  </si>
  <si>
    <t xml:space="preserve">Alphabet / Village</t>
  </si>
  <si>
    <t xml:space="preserve">LADBS: PERMIT ISSUED 6/29/26, 6,000 sf</t>
  </si>
  <si>
    <t xml:space="preserve">ALPHA</t>
  </si>
  <si>
    <t xml:space="preserve">676 N Las Casas Ave</t>
  </si>
  <si>
    <t xml:space="preserve">16521 Las Casas Pl</t>
  </si>
  <si>
    <t xml:space="preserve">1433 Via Anita</t>
  </si>
  <si>
    <t xml:space="preserve">Ridgeview</t>
  </si>
  <si>
    <t xml:space="preserve">Cut $205K to $2.295M on 9/28/26 (Redfin); gated Ridgeview, ~1 acre; MLS lists canyon/ocean/coastline views</t>
  </si>
  <si>
    <t xml:space="preserve">RIDGE</t>
  </si>
  <si>
    <t xml:space="preserve">429 Puerto del Mar</t>
  </si>
  <si>
    <t xml:space="preserve">515 N Las Casas Ave</t>
  </si>
  <si>
    <t xml:space="preserve">701 Via de la Paz</t>
  </si>
  <si>
    <t xml:space="preserve">panoramic ocean view</t>
  </si>
  <si>
    <t xml:space="preserve">651 Erskine Dr</t>
  </si>
  <si>
    <t xml:space="preserve">508 DOM; price change seen 9/29</t>
  </si>
  <si>
    <t xml:space="preserve">860 Jacon Way</t>
  </si>
  <si>
    <t xml:space="preserve">683 Alma Real Dr</t>
  </si>
  <si>
    <t xml:space="preserve">corner ocean view</t>
  </si>
  <si>
    <t xml:space="preserve">922 Enchanted Way</t>
  </si>
  <si>
    <t xml:space="preserve">NEW 9/29; cul-de-sac, mostly flat pad, ocean/mtn views</t>
  </si>
  <si>
    <t xml:space="preserve">1067 Las Pulgas Rd</t>
  </si>
  <si>
    <t xml:space="preserve">LADBS: PERMIT ISSUED 3/12/26, 2,935 sf</t>
  </si>
  <si>
    <t xml:space="preserve">14736 McKendree Ave</t>
  </si>
  <si>
    <t xml:space="preserve">LADBS: plan check approved 9/25/26, 6,226 sf (listing 6,400)</t>
  </si>
  <si>
    <t xml:space="preserve">620 Palmera Ave</t>
  </si>
  <si>
    <t xml:space="preserve">3 parcels</t>
  </si>
  <si>
    <t xml:space="preserve">16827 W Sunset Blvd</t>
  </si>
  <si>
    <t xml:space="preserve">on Sunset</t>
  </si>
  <si>
    <t xml:space="preserve">327 N Grenola St</t>
  </si>
  <si>
    <t xml:space="preserve">plans; foundation+pool in place; price change seen 9/29</t>
  </si>
  <si>
    <t xml:space="preserve">732 Hampden Pl</t>
  </si>
  <si>
    <t xml:space="preserve">detail blocked; price change seen 9/29</t>
  </si>
  <si>
    <t xml:space="preserve">16860 Livorno Dr</t>
  </si>
  <si>
    <t xml:space="preserve">NEW 9/29; flat, ocean side of street</t>
  </si>
  <si>
    <t xml:space="preserve">14826 W Sunset Blvd</t>
  </si>
  <si>
    <t xml:space="preserve">959 Chattanooga Ave</t>
  </si>
  <si>
    <t xml:space="preserve">LADBS: 6,417 sf house + 715 sf ADU, all clearances cleared 3/2026, no approval entry</t>
  </si>
  <si>
    <t xml:space="preserve">15422 Albright St</t>
  </si>
  <si>
    <t xml:space="preserve">558 Erskine Dr</t>
  </si>
  <si>
    <t xml:space="preserve">911 Hartzell St</t>
  </si>
  <si>
    <t xml:space="preserve">NEW 9/29</t>
  </si>
  <si>
    <t xml:space="preserve">850 Jacon Way</t>
  </si>
  <si>
    <t xml:space="preserve">14607 Bestor Blvd</t>
  </si>
  <si>
    <t xml:space="preserve">1025 Las Pulgas Rd</t>
  </si>
  <si>
    <t xml:space="preserve">15215 Friends St</t>
  </si>
  <si>
    <t xml:space="preserve">entitlement w/ CDP</t>
  </si>
  <si>
    <t xml:space="preserve">611 Erskine Dr</t>
  </si>
  <si>
    <t xml:space="preserve">875 Chautauqua Blvd</t>
  </si>
  <si>
    <t xml:space="preserve">NEW 9/29; corner lot</t>
  </si>
  <si>
    <t xml:space="preserve">16918 Marquez Ave</t>
  </si>
  <si>
    <t xml:space="preserve">1018 Maroney Ln</t>
  </si>
  <si>
    <t xml:space="preserve">1227 Bienveneda Ave</t>
  </si>
  <si>
    <t xml:space="preserve">533 Mount Holyoke Ave</t>
  </si>
  <si>
    <t xml:space="preserve">1032 El Medio Ave</t>
  </si>
  <si>
    <t xml:space="preserve">941 Bienveneda Ave</t>
  </si>
  <si>
    <t xml:space="preserve">16613 Pequeno Pl</t>
  </si>
  <si>
    <t xml:space="preserve">flag lot</t>
  </si>
  <si>
    <t xml:space="preserve">664 Las Lomas Ave</t>
  </si>
  <si>
    <t xml:space="preserve">501 Muskingum Pl</t>
  </si>
  <si>
    <t xml:space="preserve">16742 Bollinger Dr</t>
  </si>
  <si>
    <t xml:space="preserve">1467 Via Cresta</t>
  </si>
  <si>
    <t xml:space="preserve">722 Patterson Pl</t>
  </si>
  <si>
    <t xml:space="preserve">gated</t>
  </si>
  <si>
    <t xml:space="preserve">819 Jacon Way</t>
  </si>
  <si>
    <t xml:space="preserve">LADBS: plan check approved 5/14/26, 3,008 sf</t>
  </si>
  <si>
    <t xml:space="preserve">1231 Las Lomas Pl</t>
  </si>
  <si>
    <t xml:space="preserve">1355 Berea Pl</t>
  </si>
  <si>
    <t xml:space="preserve">approved; seller financing</t>
  </si>
  <si>
    <t xml:space="preserve">1161 Via De La Paz</t>
  </si>
  <si>
    <t xml:space="preserve">NEW 9/29; north of Sunset near Village</t>
  </si>
  <si>
    <t xml:space="preserve">539 Muskingum Pl</t>
  </si>
  <si>
    <t xml:space="preserve">16957 Livorno Dr</t>
  </si>
  <si>
    <t xml:space="preserve">NEW 9/29; flat corner lot</t>
  </si>
  <si>
    <t xml:space="preserve">1055 Las Pulgas Rd</t>
  </si>
  <si>
    <t xml:space="preserve">736 Haverford Ave</t>
  </si>
  <si>
    <t xml:space="preserve">320 Bellino Dr</t>
  </si>
  <si>
    <t xml:space="preserve">Castellammare</t>
  </si>
  <si>
    <t xml:space="preserve">CAST</t>
  </si>
  <si>
    <t xml:space="preserve">16021 Anoka Dr</t>
  </si>
  <si>
    <t xml:space="preserve">1228 Las Lomas Pl</t>
  </si>
  <si>
    <t xml:space="preserve">1131 Tellem Dr</t>
  </si>
  <si>
    <t xml:space="preserve">16808 Charmel Ln</t>
  </si>
  <si>
    <t xml:space="preserve">LADBS: NOT approved (verifications in progress 7/30/26); listing claims RTI 7,000</t>
  </si>
  <si>
    <t xml:space="preserve">930 Kagawa St</t>
  </si>
  <si>
    <t xml:space="preserve">1324 Marinette Rd</t>
  </si>
  <si>
    <t xml:space="preserve">big flat view lot</t>
  </si>
  <si>
    <t xml:space="preserve">616 Via de la Paz</t>
  </si>
  <si>
    <t xml:space="preserve">346 DOM</t>
  </si>
  <si>
    <t xml:space="preserve">16799 Charmel Ln</t>
  </si>
  <si>
    <t xml:space="preserve">view</t>
  </si>
  <si>
    <t xml:space="preserve">1314 Goucher St</t>
  </si>
  <si>
    <t xml:space="preserve">17053 Bollinger Dr</t>
  </si>
  <si>
    <t xml:space="preserve">15312 McKendree Ave</t>
  </si>
  <si>
    <t xml:space="preserve">4 cuts</t>
  </si>
  <si>
    <t xml:space="preserve">1167 Lachman Ln</t>
  </si>
  <si>
    <t xml:space="preserve">1073 Glenhaven Dr</t>
  </si>
  <si>
    <t xml:space="preserve">1150 Iliff St</t>
  </si>
  <si>
    <t xml:space="preserve">NEW 9/29; survey + soils report included</t>
  </si>
  <si>
    <t xml:space="preserve">424 Via De La Paz</t>
  </si>
  <si>
    <t xml:space="preserve">NEW 9/29; Via Bluffs, alley access</t>
  </si>
  <si>
    <t xml:space="preserve">14619 Bestor Blvd</t>
  </si>
  <si>
    <t xml:space="preserve">1475 Via Cresta</t>
  </si>
  <si>
    <t xml:space="preserve">16556 Chattanooga Pl</t>
  </si>
  <si>
    <t xml:space="preserve">432 Beirut Ave</t>
  </si>
  <si>
    <t xml:space="preserve">1365 Goucher St</t>
  </si>
  <si>
    <t xml:space="preserve">1224 Lachman Ln</t>
  </si>
  <si>
    <t xml:space="preserve">17810 Castellammare Dr</t>
  </si>
  <si>
    <t xml:space="preserve">pre-foreclosure</t>
  </si>
  <si>
    <t xml:space="preserve">1218 Monument St</t>
  </si>
  <si>
    <t xml:space="preserve">ocean views</t>
  </si>
  <si>
    <t xml:space="preserve">1344 Monument St</t>
  </si>
  <si>
    <t xml:space="preserve">land lease? verify</t>
  </si>
  <si>
    <t xml:space="preserve">921 Kagawa St</t>
  </si>
  <si>
    <t xml:space="preserve">354 DOM</t>
  </si>
  <si>
    <t xml:space="preserve">866 Fiske St</t>
  </si>
  <si>
    <t xml:space="preserve">6 cuts; price change seen 9/29</t>
  </si>
  <si>
    <t xml:space="preserve">15306 McKendree Ave</t>
  </si>
  <si>
    <t xml:space="preserve">1160 Galloway St</t>
  </si>
  <si>
    <t xml:space="preserve">plans 4293 not submitted; price change seen 9/29</t>
  </si>
  <si>
    <t xml:space="preserve">1011 Embury St</t>
  </si>
  <si>
    <t xml:space="preserve">LADBS: 1-story plans in review, not approved</t>
  </si>
  <si>
    <t xml:space="preserve">1028 Chautauqua Blvd</t>
  </si>
  <si>
    <t xml:space="preserve">Back on market subject to cancellation of current escrow</t>
  </si>
  <si>
    <t xml:space="preserve">312 Bellino Dr</t>
  </si>
  <si>
    <t xml:space="preserve">318 Bellino Dr</t>
  </si>
  <si>
    <t xml:space="preserve">16915 Enchanted Pl</t>
  </si>
  <si>
    <t xml:space="preserve">1026 Enchanted Way</t>
  </si>
  <si>
    <t xml:space="preserve">16814 Calle Bellevista</t>
  </si>
  <si>
    <t xml:space="preserve">The Enclave</t>
  </si>
  <si>
    <t xml:space="preserve">LADBS: plan check approved 7/17/26, 6,328 sf</t>
  </si>
  <si>
    <t xml:space="preserve">ENC</t>
  </si>
  <si>
    <t xml:space="preserve">17929 Castellammare Dr</t>
  </si>
  <si>
    <t xml:space="preserve">17941 Tramonto Dr</t>
  </si>
  <si>
    <t xml:space="preserve">15363 Via de las Olas</t>
  </si>
  <si>
    <t xml:space="preserve">bluff ocean view</t>
  </si>
  <si>
    <t xml:space="preserve">633 Resolano Dr</t>
  </si>
  <si>
    <t xml:space="preserve">NEW 9/29; 180° ocean/Queen's Necklace views; prior Moore Ruble Yudell home</t>
  </si>
  <si>
    <t xml:space="preserve">16895 Calle De Sarah</t>
  </si>
  <si>
    <t xml:space="preserve">16821 Via La Costa</t>
  </si>
  <si>
    <t xml:space="preserve">1120 Cumbre Alta Ct</t>
  </si>
  <si>
    <t xml:space="preserve">Highlands</t>
  </si>
  <si>
    <t xml:space="preserve">HIGH</t>
  </si>
  <si>
    <t xml:space="preserve">16726 Monte Hermoso Dr</t>
  </si>
  <si>
    <t xml:space="preserve">16740 Monte Hermoso Dr</t>
  </si>
  <si>
    <t xml:space="preserve">16748 Monte Hermoso Dr</t>
  </si>
  <si>
    <t xml:space="preserve">16756 Monte Hermoso Dr</t>
  </si>
  <si>
    <t xml:space="preserve">price change seen 9/29</t>
  </si>
  <si>
    <t xml:space="preserve">16637 Cumbre Verde Ct</t>
  </si>
  <si>
    <t xml:space="preserve">1425 Monte Grande Pl</t>
  </si>
  <si>
    <t xml:space="preserve">17249 Avenida de la Herradura</t>
  </si>
  <si>
    <t xml:space="preserve">17241 Avenida de la Herradura</t>
  </si>
  <si>
    <t xml:space="preserve">LADBS: not approved (verifications in progress)</t>
  </si>
  <si>
    <t xml:space="preserve">1626 Chastain Pkwy E</t>
  </si>
  <si>
    <t xml:space="preserve">The Summit</t>
  </si>
  <si>
    <t xml:space="preserve">SUMMIT</t>
  </si>
  <si>
    <t xml:space="preserve">1433 El Bosque Ct</t>
  </si>
  <si>
    <t xml:space="preserve">new listing 2026-10-01; no new-house application in LADBS open data (10/1/26)</t>
  </si>
  <si>
    <t xml:space="preserve">620 N Marquette St</t>
  </si>
  <si>
    <t xml:space="preserve">new listing 2026-10-01; prior home size unknown; LADBS: 2023 new-house application, not approved</t>
  </si>
  <si>
    <t xml:space="preserve">16942 Bollinger Dr</t>
  </si>
  <si>
    <t xml:space="preserve">338 Mount Holyoke</t>
  </si>
  <si>
    <t xml:space="preserve">1111 Kagawa St</t>
  </si>
  <si>
    <t xml:space="preserve">250 Trino Way</t>
  </si>
  <si>
    <t xml:space="preserve">16810 Glynn Dr</t>
  </si>
  <si>
    <t xml:space="preserve">new listing 2026-10-01; LADBS 25010-10000-01762: plan check approved, 4,991 sf (9/30/25 status)</t>
  </si>
  <si>
    <t xml:space="preserve">17860 W Lecco Ln</t>
  </si>
  <si>
    <t xml:space="preserve">new listing 2026-10-01; prior home size unknown; no county parcel match by address; permits not checked</t>
  </si>
  <si>
    <t xml:space="preserve">405 N Puerto Del Mar</t>
  </si>
  <si>
    <t xml:space="preserve">17639 Porto Marina Way</t>
  </si>
  <si>
    <t xml:space="preserve">17635 Porto Marina Way</t>
  </si>
  <si>
    <t xml:space="preserve">1339 Chautauqua Blvd</t>
  </si>
  <si>
    <t xml:space="preserve">new listing 2026-10-02; no new-house application in LADBS open data (APN 4422006011, 10/2/26)</t>
  </si>
  <si>
    <t xml:space="preserve">Assumptions — change the yellow cells and the whole workbook updates</t>
  </si>
  <si>
    <t xml:space="preserve">Input</t>
  </si>
  <si>
    <t xml:space="preserve">Value</t>
  </si>
  <si>
    <t xml:space="preserve">Where it comes from</t>
  </si>
  <si>
    <t xml:space="preserve">Construction cost ($/sf, fixed)</t>
  </si>
  <si>
    <t xml:space="preserve">Tal, 9/29 call: run one model at $700/sf fixed. Contractor Tal's quote; Tal says local builders are at ~$600 (secondhand). Any profit-share deal with the contractor would be upside.</t>
  </si>
  <si>
    <t xml:space="preserve">Design, permits &amp; fees — lots WITHOUT approved plans ($/sf)</t>
  </si>
  <si>
    <t xml:space="preserve">Placeholder: architect, engineering, plan check, fees, insurance, PM.</t>
  </si>
  <si>
    <t xml:space="preserve">Reserve — lots WITH city-approved plans (% of asking price)</t>
  </si>
  <si>
    <t xml:space="preserve">Tal, 9/29 call: 5% of list price for minor approvals and GC items when plans are already approved.</t>
  </si>
  <si>
    <t xml:space="preserve">Construction loan (% of cost)</t>
  </si>
  <si>
    <t xml:space="preserve">Placeholder. Confirm with lender.</t>
  </si>
  <si>
    <t xml:space="preserve">Loan rate</t>
  </si>
  <si>
    <t xml:space="preserve">Placeholder.</t>
  </si>
  <si>
    <t xml:space="preserve">Avg % of loan drawn</t>
  </si>
  <si>
    <t xml:space="preserve">Placeholder for the draw schedule.</t>
  </si>
  <si>
    <t xml:space="preserve">Loan points</t>
  </si>
  <si>
    <t xml:space="preserve">Property tax (% of land / yr)</t>
  </si>
  <si>
    <t xml:space="preserve">~1.2% of purchase price (reassessed on transfer).</t>
  </si>
  <si>
    <t xml:space="preserve">Sale commission</t>
  </si>
  <si>
    <t xml:space="preserve">Tal, 10/1 call: 3.5% total — Tal acts as listing broker at 1% plus 2.5% to the buyer's agent.</t>
  </si>
  <si>
    <t xml:space="preserve">City + county transfer tax</t>
  </si>
  <si>
    <t xml:space="preserve">LA City 0.45% + County 0.11%.</t>
  </si>
  <si>
    <t xml:space="preserve">ULA tier 1 threshold</t>
  </si>
  <si>
    <t xml:space="preserve">Measure ULA, current threshold (LA City Clerk, Measure TE text).</t>
  </si>
  <si>
    <t xml:space="preserve">ULA tier 1 rate</t>
  </si>
  <si>
    <t xml:space="preserve">Measure ULA.</t>
  </si>
  <si>
    <t xml:space="preserve">ULA tier 2 threshold</t>
  </si>
  <si>
    <t xml:space="preserve">Measure ULA, current threshold.</t>
  </si>
  <si>
    <t xml:space="preserve">ULA tier 2 rate</t>
  </si>
  <si>
    <t xml:space="preserve">Measure ULA. The Nov 2026 ballot exemption may not cover builder resales, so assumed to apply.</t>
  </si>
  <si>
    <t xml:space="preserve">Fast-track size (x old house)</t>
  </si>
  <si>
    <t xml:space="preserve">LA EO1 like-for-like rebuild cap (110%).</t>
  </si>
  <si>
    <t xml:space="preserve">Build-to-zoning size (x lot area)</t>
  </si>
  <si>
    <t xml:space="preserve">Rough proxy only; an architect must confirm per lot.</t>
  </si>
  <si>
    <t xml:space="preserve">Build-to-zoning max sf</t>
  </si>
  <si>
    <t xml:space="preserve">Cap to keep spec homes a sellable size.</t>
  </si>
  <si>
    <t xml:space="preserve">Fast-track / approved-plans project length (yrs)</t>
  </si>
  <si>
    <t xml:space="preserve">RTI lots start right away.</t>
  </si>
  <si>
    <t xml:space="preserve">Build-to-zoning project length (yrs)</t>
  </si>
  <si>
    <t xml:space="preserve">+1 year for design and plan check.</t>
  </si>
  <si>
    <t xml:space="preserve">Ocean-view premium ($/sf added to the neighborhood price)</t>
  </si>
  <si>
    <t xml:space="preserve">Tal, 10/1 call: an ocean view sells for $100–200/sf more than a mountain view; low end used. Applied where the MLS view field lists ocean, coastline, Catalina, bay or white water.</t>
  </si>
  <si>
    <t xml:space="preserve">Gated-community premium ($/sf added)</t>
  </si>
  <si>
    <t xml:space="preserve">Tal, 10/1 call: gated communities get 'a little premium'; no number yet, so 0 until Tal sets one.</t>
  </si>
  <si>
    <t xml:space="preserve">Sensitivity: lower build cost A ($/sf)</t>
  </si>
  <si>
    <t xml:space="preserve">Tal, 10/1 call: test $650/sf.</t>
  </si>
  <si>
    <t xml:space="preserve">Sensitivity: lower build cost B ($/sf)</t>
  </si>
  <si>
    <t xml:space="preserve">Tal, 10/1 call: 'we might have to go with $600'.</t>
  </si>
  <si>
    <t xml:space="preserve">Target margin (profit ÷ total cost)</t>
  </si>
  <si>
    <t xml:space="preserve">Typical spec-build hurdle.</t>
  </si>
  <si>
    <t xml:space="preserve">WORST case: premium over today's comps</t>
  </si>
  <si>
    <t xml:space="preserve">Today's closed sales, no new-build premium. Fire history (Malibu, Altadena) shows new builds selling flat or below in years 1–3.</t>
  </si>
  <si>
    <t xml:space="preserve">MEDIUM case: premium over today's comps</t>
  </si>
  <si>
    <t xml:space="preserve">Tal, 9/29: new construction should beat today's comps by 10–15%.</t>
  </si>
  <si>
    <t xml:space="preserve">BEST case: premium over today's comps</t>
  </si>
  <si>
    <t xml:space="preserve">Recovery case: neighborhood rebuilt and demand returns.</t>
  </si>
  <si>
    <t xml:space="preserve">Scenario used in the cost breakdown (Worst / Medium / Best)</t>
  </si>
  <si>
    <t xml:space="preserve">Medium</t>
  </si>
  <si>
    <t xml:space="preserve">Type Worst, Medium or Best.</t>
  </si>
  <si>
    <t xml:space="preserve">Sale price per sq ft by neighborhood (new 4,500–7,000 sf home)</t>
  </si>
  <si>
    <t xml:space="preserve">Code</t>
  </si>
  <si>
    <t xml:space="preserve">Sale $/sf</t>
  </si>
  <si>
    <t xml:space="preserve">Neighborhood · strength of evidence</t>
  </si>
  <si>
    <t xml:space="preserve">Riviera · moderate-strong: 7 post-fire 2020+ sales $1,730–2,174/sf  [rule: 8 sales of 2010+ homes; 8 qualifying comps, median $1,860; 1 new-build sales, median $1,730; updated 2026-10-01]</t>
  </si>
  <si>
    <t xml:space="preserve">Huntington Palisades · moderate: 521 Toyopa $1,924 (2026), 839 Toyopa $1,570 (2024)  [judgment; 2 qualifying comps, median $1,690; updated 2026-09-29]</t>
  </si>
  <si>
    <t xml:space="preserve">RUSTIC</t>
  </si>
  <si>
    <t xml:space="preserve">Rustic Canyon · weak: 782 Ranch $1,463; outliers higher  [judgment; 1 qualifying comps, median $1,460; updated 2026-09-29]</t>
  </si>
  <si>
    <t xml:space="preserve">Bluffs / El Medio south of Sunset · moderate: 2026 sales of 2013–20 homes $1,139–1,335; new builds asking $1,387–1,390; pre-fire best $1,505  [judgment; 3 qualifying comps, median $1,140; updated 2026-09-29]</t>
  </si>
  <si>
    <t xml:space="preserve">Via de la Paz / Swarthmore / Beirut corridor · weak: treated like Bluffs; pre-fire 751 Swarthmore new $1,303  [judgment; 2 qualifying comps, median $2,580; updated 2026-09-29]</t>
  </si>
  <si>
    <t xml:space="preserve">Alphabet / Village · weak: no post-fire new-build closing; pre-fire large new builds $1,160–1,300, small $1,490–1,690  [judgment; 2 qualifying comps, median $2,200; 1 new-build sales, median $1,280; updated 2026-09-29]</t>
  </si>
  <si>
    <t xml:space="preserve">Marquez Knolls · moderate-weak: 2013 build $1,218 (2022); El Medio 2014–20 builds $1,140 post-fire  [judgment; no qualifying comps yet; updated 2026-09-29]</t>
  </si>
  <si>
    <t xml:space="preserve">Upper Las Lomas / Las Pulgas / Maroney / Bienveneda · no direct comps; set = Marquez  [judgment; no qualifying comps yet; updated 2026-09-29]</t>
  </si>
  <si>
    <t xml:space="preserve">Ridgeview Country Estates · weak-moderate: 1476 Via Cresta $1,485 (1988 home); asks $1,200–1,580  [judgment; no qualifying comps yet; updated 2026-09-29]</t>
  </si>
  <si>
    <t xml:space="preserve">Castellammare · moderate: 17405 Castellammare (2016) $1,307; canyon-view 2020 build $901  [judgment; 3 qualifying comps, median $900; updated 2026-09-29]</t>
  </si>
  <si>
    <t xml:space="preserve">Enclave · weak: no 2015+ sale ever; pre-fire $742–986; post-fire resales $669–854  [judgment; no qualifying comps yet; updated 2026-09-29]</t>
  </si>
  <si>
    <t xml:space="preserve">Highlands / Tennis Estates · weak: large 1985–97 homes $750–920 pre-fire, $600–800 post-fire  [judgment; no qualifying comps yet; updated 2026-09-29]</t>
  </si>
  <si>
    <t xml:space="preserve">The Summit · weak: same as Highlands  [judgment; no qualifying comps yet; updated 2026-09-29]</t>
  </si>
  <si>
    <t xml:space="preserve">Qualifying closed sales (houses built 2010+, 2,000+ sf, sold in the last 24 months, not burned lots). Kept current by update_comps.py.</t>
  </si>
  <si>
    <t xml:space="preserve">Sold</t>
  </si>
  <si>
    <t xml:space="preserve">Price</t>
  </si>
  <si>
    <t xml:space="preserve">Living sf</t>
  </si>
  <si>
    <t xml:space="preserve">$/sf</t>
  </si>
  <si>
    <t xml:space="preserve">Built</t>
  </si>
  <si>
    <t xml:space="preserve">Fire damage (county)</t>
  </si>
  <si>
    <t xml:space="preserve">Source</t>
  </si>
  <si>
    <t xml:space="preserve">2026-08-31</t>
  </si>
  <si>
    <t xml:space="preserve">14816 Drummond St</t>
  </si>
  <si>
    <t xml:space="preserve">Destroyed (&gt;50%)</t>
  </si>
  <si>
    <t xml:space="preserve">Redfin (Sold) MLS 26842837</t>
  </si>
  <si>
    <t xml:space="preserve">2026-08-17</t>
  </si>
  <si>
    <t xml:space="preserve">16037 Junaluska Way</t>
  </si>
  <si>
    <t xml:space="preserve">No Damage</t>
  </si>
  <si>
    <t xml:space="preserve">Redfin (Sold) MLS 26829945</t>
  </si>
  <si>
    <t xml:space="preserve">16045 Northfield St</t>
  </si>
  <si>
    <t xml:space="preserve">Redfin (Sold) MLS 26856137</t>
  </si>
  <si>
    <t xml:space="preserve">2026-07-14</t>
  </si>
  <si>
    <t xml:space="preserve">1480 Capri Dr</t>
  </si>
  <si>
    <t xml:space="preserve">Not in county fire-damage data</t>
  </si>
  <si>
    <t xml:space="preserve">Tal MLS export MLS 26656927</t>
  </si>
  <si>
    <t xml:space="preserve">2026-06-17</t>
  </si>
  <si>
    <t xml:space="preserve">521 Toyopa Dr</t>
  </si>
  <si>
    <t xml:space="preserve">Tal MLS export MLS 26851879</t>
  </si>
  <si>
    <t xml:space="preserve">2026-06-12</t>
  </si>
  <si>
    <t xml:space="preserve">782 Ranch Ln</t>
  </si>
  <si>
    <t xml:space="preserve">Rustic Canyon</t>
  </si>
  <si>
    <t xml:space="preserve">Tal MLS export MLS 26647945</t>
  </si>
  <si>
    <t xml:space="preserve">2026-05-29</t>
  </si>
  <si>
    <t xml:space="preserve">17335 Tramonto Dr</t>
  </si>
  <si>
    <t xml:space="preserve">Affected (1-9%)</t>
  </si>
  <si>
    <t xml:space="preserve">Tal MLS export MLS 26671689</t>
  </si>
  <si>
    <t xml:space="preserve">2026-03-16</t>
  </si>
  <si>
    <t xml:space="preserve">17405 Castellammare Dr</t>
  </si>
  <si>
    <t xml:space="preserve">Tal MLS export MLS 25593047</t>
  </si>
  <si>
    <t xml:space="preserve">1220 Corsica Dr</t>
  </si>
  <si>
    <t xml:space="preserve">Tal MLS export MLS 25617739</t>
  </si>
  <si>
    <t xml:space="preserve">2026-01-23</t>
  </si>
  <si>
    <t xml:space="preserve">1529 Amalfi Dr</t>
  </si>
  <si>
    <t xml:space="preserve">Tal MLS export MLS 25599593</t>
  </si>
  <si>
    <t xml:space="preserve">1026 Corsica Dr</t>
  </si>
  <si>
    <t xml:space="preserve">Tal MLS export MLS 25624865</t>
  </si>
  <si>
    <t xml:space="preserve">2026-01-21</t>
  </si>
  <si>
    <t xml:space="preserve">16021 Northfield St</t>
  </si>
  <si>
    <t xml:space="preserve">Tal MLS export MLS 25585813</t>
  </si>
  <si>
    <t xml:space="preserve">2025-12-12</t>
  </si>
  <si>
    <t xml:space="preserve">17819 Castellammare Dr</t>
  </si>
  <si>
    <t xml:space="preserve">Tal MLS export MLS 25608769</t>
  </si>
  <si>
    <t xml:space="preserve">2025-11-04</t>
  </si>
  <si>
    <t xml:space="preserve">14800 Corona Del Mar</t>
  </si>
  <si>
    <t xml:space="preserve">Tal MLS export MLS 25587545</t>
  </si>
  <si>
    <t xml:space="preserve">2025-10-31</t>
  </si>
  <si>
    <t xml:space="preserve">211 Alma Real Dr</t>
  </si>
  <si>
    <t xml:space="preserve">Tal MLS export MLS 25611695</t>
  </si>
  <si>
    <t xml:space="preserve">2025-09-08</t>
  </si>
  <si>
    <t xml:space="preserve">1057 Corsica Dr</t>
  </si>
  <si>
    <t xml:space="preserve">Tal MLS export MLS 25541933</t>
  </si>
  <si>
    <t xml:space="preserve">2025-08-05</t>
  </si>
  <si>
    <t xml:space="preserve">755 Napoli Dr</t>
  </si>
  <si>
    <t xml:space="preserve">Tal MLS export MLS 25568365</t>
  </si>
  <si>
    <t xml:space="preserve">2025-07-15</t>
  </si>
  <si>
    <t xml:space="preserve">13817 W Sunset Blvd</t>
  </si>
  <si>
    <t xml:space="preserve">Tal MLS export MLS 25492149</t>
  </si>
  <si>
    <t xml:space="preserve">2025-05-07</t>
  </si>
  <si>
    <t xml:space="preserve">724 Greentree Rd</t>
  </si>
  <si>
    <t xml:space="preserve">Tal MLS export MLS 25511749</t>
  </si>
  <si>
    <t xml:space="preserve">2025-04-28</t>
  </si>
  <si>
    <t xml:space="preserve">814 Toulon Dr</t>
  </si>
  <si>
    <t xml:space="preserve">Tal MLS export MLS 25498471</t>
  </si>
  <si>
    <t xml:space="preserve">2024-10-18</t>
  </si>
  <si>
    <t xml:space="preserve">500 Toyopa Dr</t>
  </si>
  <si>
    <t xml:space="preserve">Tal MLS export MLS 24-436449</t>
  </si>
  <si>
    <t xml:space="preserve">New builds for sale (asking prices, not sales)</t>
  </si>
  <si>
    <t xml:space="preserve">Listed</t>
  </si>
  <si>
    <t xml:space="preserve">Asking</t>
  </si>
  <si>
    <t xml:space="preserve">Status</t>
  </si>
  <si>
    <t xml:space="preserve">2026-10-01</t>
  </si>
  <si>
    <t xml:space="preserve">636 Lachman Ln</t>
  </si>
  <si>
    <t xml:space="preserve">Marquez Knolls (Redfin) / near Bluffs</t>
  </si>
  <si>
    <t xml:space="preserve">2027</t>
  </si>
  <si>
    <t xml:space="preserve">Active; under construction, completion early 2027; ocean views; includes lower level</t>
  </si>
  <si>
    <t xml:space="preserve">Redfin MLS 26994499</t>
  </si>
  <si>
    <t xml:space="preserve">2026-09-18</t>
  </si>
  <si>
    <t xml:space="preserve">605 Erskine Dr</t>
  </si>
  <si>
    <t xml:space="preserve">Bluffs</t>
  </si>
  <si>
    <t xml:space="preserve">2026</t>
  </si>
  <si>
    <t xml:space="preserve">Active</t>
  </si>
  <si>
    <t xml:space="preserve">Redfin</t>
  </si>
  <si>
    <t xml:space="preserve">16011 Miami Way</t>
  </si>
  <si>
    <t xml:space="preserve">Active (~150 days on market as of 9/29)</t>
  </si>
  <si>
    <t xml:space="preserve">2026-09-10</t>
  </si>
  <si>
    <t xml:space="preserve">744 Iliff St</t>
  </si>
  <si>
    <t xml:space="preserve">Alphabet</t>
  </si>
  <si>
    <t xml:space="preserve">Compass</t>
  </si>
  <si>
    <t xml:space="preserve">2026-09-17</t>
  </si>
  <si>
    <t xml:space="preserve">837 Muskingum Ave</t>
  </si>
  <si>
    <t xml:space="preserve">Alphabet/Bluffs</t>
  </si>
  <si>
    <t xml:space="preserve">Active; 18562 sf lot</t>
  </si>
  <si>
    <t xml:space="preserve">1106 Hartzell St</t>
  </si>
  <si>
    <t xml:space="preserve">Coming soon (Compass)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</si>
</sst>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;&quot;($&quot;#,##0\);\-"/>
    <numFmt numFmtId="166" formatCode="#,##0;\(#,##0\);\-"/>
    <numFmt numFmtId="167" formatCode="\$#,##0&quot;/sf&quot;"/>
    <numFmt numFmtId="168" formatCode="0%;\(0%\);\-"/>
    <numFmt numFmtId="169" formatCode="0%"/>
    <numFmt numFmtId="170" formatCode="\$#,##0;&quot;($&quot;#,##0\);\-"/>
    <numFmt numFmtId="171" formatCode="0.0%;\(0.0%\);\-"/>
    <numFmt numFmtId="172" formatCode="0.00\x"/>
    <numFmt numFmtId="173" formatCode="@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2E75B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7030A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DE4F0"/>
        <bgColor rgb="FFE4DFEC"/>
      </patternFill>
    </fill>
    <fill>
      <patternFill patternType="solid">
        <fgColor rgb="FFDEEBF7"/>
        <bgColor rgb="FFDDE4F0"/>
      </patternFill>
    </fill>
    <fill>
      <patternFill patternType="solid">
        <fgColor rgb="FFFFF2CC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E4DFEC"/>
        <bgColor rgb="FFDDE4F0"/>
      </patternFill>
    </fill>
    <fill>
      <patternFill patternType="solid">
        <fgColor rgb="FF2E75B6"/>
        <bgColor rgb="FF0066CC"/>
      </patternFill>
    </fill>
    <fill>
      <patternFill patternType="solid">
        <fgColor rgb="FF7F6000"/>
        <bgColor rgb="FF595959"/>
      </patternFill>
    </fill>
    <fill>
      <patternFill patternType="solid">
        <fgColor rgb="FF375623"/>
        <bgColor rgb="FF595959"/>
      </patternFill>
    </fill>
    <fill>
      <patternFill patternType="solid">
        <fgColor rgb="FF7030A0"/>
        <bgColor rgb="FF993366"/>
      </patternFill>
    </fill>
    <fill>
      <patternFill patternType="solid">
        <fgColor rgb="FF808080"/>
        <bgColor rgb="FF969696"/>
      </patternFill>
    </fill>
    <fill>
      <patternFill patternType="solid">
        <fgColor rgb="FFEDEDED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8CBAD"/>
        </patternFill>
      </fill>
    </dxf>
    <dxf>
      <font>
        <color rgb="FFC00000"/>
      </font>
    </dxf>
    <dxf>
      <fill>
        <patternFill patternType="solid">
          <fgColor rgb="FFDDE4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EDEDED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E4DFEC"/>
      <rgbColor rgb="FF808080"/>
      <rgbColor rgb="FF9999FF"/>
      <rgbColor rgb="FF7030A0"/>
      <rgbColor rgb="FFFFF2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EDEDED"/>
      <rgbColor rgb="FFDDE4F0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7" min="2" style="0" width="16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tr">
        <f aca="false">"Construction at $"&amp;TEXT(Assumptions!$B$4,"#,##0")&amp;"/sf fixed. Cost breakdown shows the "&amp;Assumptions!$B$31&amp;" case; all three cases are at the bottom. Change inputs on the Assumptions tab."</f>
        <v>Construction at $700/sf fixed. Cost breakdown shows the Medium case; all three cases are at the bottom. Change inputs on the Assumptions tab.</v>
      </c>
    </row>
    <row r="3" customFormat="false" ht="15" hidden="false" customHeight="false" outlineLevel="0" collapsed="false">
      <c r="A3" s="2" t="s">
        <v>1</v>
      </c>
    </row>
    <row r="5" customFormat="false" ht="31.5" hidden="false" customHeight="true" outlineLevel="0" collapsed="false">
      <c r="A5" s="3"/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customFormat="false" ht="15" hidden="false" customHeight="false" outlineLevel="0" collapsed="false">
      <c r="A6" s="5" t="s">
        <v>8</v>
      </c>
      <c r="B6" s="6"/>
      <c r="C6" s="6"/>
      <c r="D6" s="6"/>
      <c r="E6" s="6"/>
      <c r="F6" s="6"/>
      <c r="G6" s="6"/>
    </row>
    <row r="7" customFormat="false" ht="15" hidden="false" customHeight="false" outlineLevel="0" collapsed="false">
      <c r="A7" s="7" t="s">
        <v>9</v>
      </c>
      <c r="B7" s="8" t="str">
        <f aca="false">INDEX('All Lots'!$C$3:$C$138,MATCH("711 Chapala Dr",'All Lots'!$B$3:$B$138,0))</f>
        <v>Huntington</v>
      </c>
      <c r="C7" s="8" t="str">
        <f aca="false">INDEX('All Lots'!$C$3:$C$138,MATCH("611 Ocampo Dr",'All Lots'!$B$3:$B$138,0))</f>
        <v>Huntington</v>
      </c>
      <c r="D7" s="8" t="str">
        <f aca="false">INDEX('All Lots'!$C$3:$C$138,MATCH("16150 Northfield St",'All Lots'!$B$3:$B$138,0))</f>
        <v>Bluffs / El Medio</v>
      </c>
      <c r="E7" s="8" t="str">
        <f aca="false">INDEX('All Lots'!$C$3:$C$138,MATCH("14410 Villa Woods Pl",'All Lots'!$B$3:$B$138,0))</f>
        <v>Riviera</v>
      </c>
      <c r="F7" s="8" t="str">
        <f aca="false">INDEX('All Lots'!$C$3:$C$138,MATCH("909 Rivas Canyon Rd",'All Lots'!$B$3:$B$138,0))</f>
        <v>Riviera</v>
      </c>
      <c r="G7" s="8" t="str">
        <f aca="false">INDEX('All Lots'!$C$3:$C$138,MATCH("545 N Las Casas Ave",'All Lots'!$B$3:$B$138,0))</f>
        <v>Bluffs / El Medio</v>
      </c>
    </row>
    <row r="8" customFormat="false" ht="15" hidden="false" customHeight="false" outlineLevel="0" collapsed="false">
      <c r="A8" s="7" t="s">
        <v>10</v>
      </c>
      <c r="B8" s="9" t="n">
        <f aca="false">INDEX('All Lots'!$D$3:$D$138,MATCH("711 Chapala Dr",'All Lots'!$B$3:$B$138,0))</f>
        <v>4375000</v>
      </c>
      <c r="C8" s="9" t="n">
        <f aca="false">INDEX('All Lots'!$D$3:$D$138,MATCH("611 Ocampo Dr",'All Lots'!$B$3:$B$138,0))</f>
        <v>4495000</v>
      </c>
      <c r="D8" s="9" t="n">
        <f aca="false">INDEX('All Lots'!$D$3:$D$138,MATCH("16150 Northfield St",'All Lots'!$B$3:$B$138,0))</f>
        <v>1395000</v>
      </c>
      <c r="E8" s="9" t="n">
        <f aca="false">INDEX('All Lots'!$D$3:$D$138,MATCH("14410 Villa Woods Pl",'All Lots'!$B$3:$B$138,0))</f>
        <v>2795000</v>
      </c>
      <c r="F8" s="9" t="n">
        <f aca="false">INDEX('All Lots'!$D$3:$D$138,MATCH("909 Rivas Canyon Rd",'All Lots'!$B$3:$B$138,0))</f>
        <v>3750000</v>
      </c>
      <c r="G8" s="9" t="n">
        <f aca="false">INDEX('All Lots'!$D$3:$D$138,MATCH("545 N Las Casas Ave",'All Lots'!$B$3:$B$138,0))</f>
        <v>995000</v>
      </c>
    </row>
    <row r="9" customFormat="false" ht="15" hidden="false" customHeight="false" outlineLevel="0" collapsed="false">
      <c r="A9" s="7" t="s">
        <v>11</v>
      </c>
      <c r="B9" s="10" t="n">
        <f aca="false">INDEX('All Lots'!$E$3:$E$138,MATCH("711 Chapala Dr",'All Lots'!$B$3:$B$138,0))</f>
        <v>8008</v>
      </c>
      <c r="C9" s="10" t="n">
        <f aca="false">INDEX('All Lots'!$E$3:$E$138,MATCH("611 Ocampo Dr",'All Lots'!$B$3:$B$138,0))</f>
        <v>8205</v>
      </c>
      <c r="D9" s="10" t="n">
        <f aca="false">INDEX('All Lots'!$E$3:$E$138,MATCH("16150 Northfield St",'All Lots'!$B$3:$B$138,0))</f>
        <v>5556</v>
      </c>
      <c r="E9" s="10" t="n">
        <f aca="false">INDEX('All Lots'!$E$3:$E$138,MATCH("14410 Villa Woods Pl",'All Lots'!$B$3:$B$138,0))</f>
        <v>13724</v>
      </c>
      <c r="F9" s="10" t="n">
        <f aca="false">INDEX('All Lots'!$E$3:$E$138,MATCH("909 Rivas Canyon Rd",'All Lots'!$B$3:$B$138,0))</f>
        <v>18344</v>
      </c>
      <c r="G9" s="10" t="n">
        <f aca="false">INDEX('All Lots'!$E$3:$E$138,MATCH("545 N Las Casas Ave",'All Lots'!$B$3:$B$138,0))</f>
        <v>4382</v>
      </c>
    </row>
    <row r="10" customFormat="false" ht="15" hidden="false" customHeight="false" outlineLevel="0" collapsed="false">
      <c r="A10" s="7" t="s">
        <v>12</v>
      </c>
      <c r="B10" s="8" t="str">
        <f aca="false">INDEX('All Lots'!$H$3:$H$138,MATCH("711 Chapala Dr",'All Lots'!$B$3:$B$138,0))</f>
        <v>Yes</v>
      </c>
      <c r="C10" s="8" t="str">
        <f aca="false">INDEX('All Lots'!$H$3:$H$138,MATCH("611 Ocampo Dr",'All Lots'!$B$3:$B$138,0))</f>
        <v>Yes</v>
      </c>
      <c r="D10" s="8" t="str">
        <f aca="false">INDEX('All Lots'!$H$3:$H$138,MATCH("16150 Northfield St",'All Lots'!$B$3:$B$138,0))</f>
        <v>Yes</v>
      </c>
      <c r="E10" s="8" t="str">
        <f aca="false">INDEX('All Lots'!$H$3:$H$138,MATCH("14410 Villa Woods Pl",'All Lots'!$B$3:$B$138,0))</f>
        <v>No</v>
      </c>
      <c r="F10" s="8" t="str">
        <f aca="false">INDEX('All Lots'!$H$3:$H$138,MATCH("909 Rivas Canyon Rd",'All Lots'!$B$3:$B$138,0))</f>
        <v>No</v>
      </c>
      <c r="G10" s="8" t="str">
        <f aca="false">INDEX('All Lots'!$H$3:$H$138,MATCH("545 N Las Casas Ave",'All Lots'!$B$3:$B$138,0))</f>
        <v>No</v>
      </c>
    </row>
    <row r="11" customFormat="false" ht="15" hidden="false" customHeight="false" outlineLevel="0" collapsed="false">
      <c r="A11" s="11" t="s">
        <v>13</v>
      </c>
      <c r="B11" s="12"/>
      <c r="C11" s="12"/>
      <c r="D11" s="12"/>
      <c r="E11" s="12"/>
      <c r="F11" s="12"/>
      <c r="G11" s="12"/>
    </row>
    <row r="12" customFormat="false" ht="15" hidden="false" customHeight="false" outlineLevel="0" collapsed="false">
      <c r="A12" s="7" t="s">
        <v>14</v>
      </c>
      <c r="B12" s="10" t="n">
        <f aca="false">INDEX('All Lots'!$L$3:$L$138,MATCH("711 Chapala Dr",'All Lots'!$B$3:$B$138,0))</f>
        <v>7504</v>
      </c>
      <c r="C12" s="10" t="n">
        <f aca="false">INDEX('All Lots'!$L$3:$L$138,MATCH("611 Ocampo Dr",'All Lots'!$B$3:$B$138,0))</f>
        <v>7154</v>
      </c>
      <c r="D12" s="10" t="n">
        <f aca="false">INDEX('All Lots'!$L$3:$L$138,MATCH("16150 Northfield St",'All Lots'!$B$3:$B$138,0))</f>
        <v>4270</v>
      </c>
      <c r="E12" s="10" t="n">
        <f aca="false">INDEX('All Lots'!$L$3:$L$138,MATCH("14410 Villa Woods Pl",'All Lots'!$B$3:$B$138,0))</f>
        <v>5490</v>
      </c>
      <c r="F12" s="10" t="n">
        <f aca="false">INDEX('All Lots'!$L$3:$L$138,MATCH("909 Rivas Canyon Rd",'All Lots'!$B$3:$B$138,0))</f>
        <v>7338</v>
      </c>
      <c r="G12" s="10" t="n">
        <f aca="false">INDEX('All Lots'!$L$3:$L$138,MATCH("545 N Las Casas Ave",'All Lots'!$B$3:$B$138,0))</f>
        <v>3315</v>
      </c>
    </row>
    <row r="13" customFormat="false" ht="15" hidden="false" customHeight="false" outlineLevel="0" collapsed="false">
      <c r="A13" s="7" t="s">
        <v>15</v>
      </c>
      <c r="B13" s="8" t="str">
        <f aca="false">INDEX('All Lots'!$M$3:$M$138,MATCH("711 Chapala Dr",'All Lots'!$B$3:$B$138,0))</f>
        <v>Approved plans</v>
      </c>
      <c r="C13" s="8" t="str">
        <f aca="false">INDEX('All Lots'!$M$3:$M$138,MATCH("611 Ocampo Dr",'All Lots'!$B$3:$B$138,0))</f>
        <v>Approved plans</v>
      </c>
      <c r="D13" s="8" t="str">
        <f aca="false">INDEX('All Lots'!$M$3:$M$138,MATCH("16150 Northfield St",'All Lots'!$B$3:$B$138,0))</f>
        <v>Approved plans</v>
      </c>
      <c r="E13" s="8" t="str">
        <f aca="false">INDEX('All Lots'!$M$3:$M$138,MATCH("14410 Villa Woods Pl",'All Lots'!$B$3:$B$138,0))</f>
        <v>Zoning estimate</v>
      </c>
      <c r="F13" s="8" t="str">
        <f aca="false">INDEX('All Lots'!$M$3:$M$138,MATCH("909 Rivas Canyon Rd",'All Lots'!$B$3:$B$138,0))</f>
        <v>Zoning estimate</v>
      </c>
      <c r="G13" s="8" t="str">
        <f aca="false">INDEX('All Lots'!$M$3:$M$138,MATCH("545 N Las Casas Ave",'All Lots'!$B$3:$B$138,0))</f>
        <v>110% old house</v>
      </c>
    </row>
    <row r="14" customFormat="false" ht="15" hidden="false" customHeight="false" outlineLevel="0" collapsed="false">
      <c r="A14" s="7" t="s">
        <v>16</v>
      </c>
      <c r="B14" s="13" t="n">
        <f aca="false">INDEX('All Lots'!$O$3:$O$138,MATCH("711 Chapala Dr",'All Lots'!$B$3:$B$138,0))</f>
        <v>2035</v>
      </c>
      <c r="C14" s="13" t="n">
        <f aca="false">INDEX('All Lots'!$O$3:$O$138,MATCH("611 Ocampo Dr",'All Lots'!$B$3:$B$138,0))</f>
        <v>2035</v>
      </c>
      <c r="D14" s="13" t="n">
        <f aca="false">INDEX('All Lots'!$O$3:$O$138,MATCH("16150 Northfield St",'All Lots'!$B$3:$B$138,0))</f>
        <v>1540</v>
      </c>
      <c r="E14" s="13" t="n">
        <f aca="false">INDEX('All Lots'!$O$3:$O$138,MATCH("14410 Villa Woods Pl",'All Lots'!$B$3:$B$138,0))</f>
        <v>2046</v>
      </c>
      <c r="F14" s="13" t="n">
        <f aca="false">INDEX('All Lots'!$O$3:$O$138,MATCH("909 Rivas Canyon Rd",'All Lots'!$B$3:$B$138,0))</f>
        <v>2046</v>
      </c>
      <c r="G14" s="13" t="n">
        <f aca="false">INDEX('All Lots'!$O$3:$O$138,MATCH("545 N Las Casas Ave",'All Lots'!$B$3:$B$138,0))</f>
        <v>1540</v>
      </c>
    </row>
    <row r="15" customFormat="false" ht="15" hidden="false" customHeight="false" outlineLevel="0" collapsed="false">
      <c r="A15" s="14" t="s">
        <v>17</v>
      </c>
      <c r="B15" s="15" t="n">
        <f aca="false">INDEX('All Lots'!$P$3:$P$138,MATCH("711 Chapala Dr",'All Lots'!$B$3:$B$138,0))</f>
        <v>15270640</v>
      </c>
      <c r="C15" s="15" t="n">
        <f aca="false">INDEX('All Lots'!$P$3:$P$138,MATCH("611 Ocampo Dr",'All Lots'!$B$3:$B$138,0))</f>
        <v>14558390</v>
      </c>
      <c r="D15" s="15" t="n">
        <f aca="false">INDEX('All Lots'!$P$3:$P$138,MATCH("16150 Northfield St",'All Lots'!$B$3:$B$138,0))</f>
        <v>6575800</v>
      </c>
      <c r="E15" s="15" t="n">
        <f aca="false">INDEX('All Lots'!$P$3:$P$138,MATCH("14410 Villa Woods Pl",'All Lots'!$B$3:$B$138,0))</f>
        <v>11232540</v>
      </c>
      <c r="F15" s="15" t="n">
        <f aca="false">INDEX('All Lots'!$P$3:$P$138,MATCH("909 Rivas Canyon Rd",'All Lots'!$B$3:$B$138,0))</f>
        <v>15013548</v>
      </c>
      <c r="G15" s="15" t="n">
        <f aca="false">INDEX('All Lots'!$P$3:$P$138,MATCH("545 N Las Casas Ave",'All Lots'!$B$3:$B$138,0))</f>
        <v>5105100</v>
      </c>
    </row>
    <row r="16" customFormat="false" ht="15" hidden="false" customHeight="false" outlineLevel="0" collapsed="false">
      <c r="A16" s="16" t="s">
        <v>18</v>
      </c>
      <c r="B16" s="17"/>
      <c r="C16" s="17"/>
      <c r="D16" s="17"/>
      <c r="E16" s="17"/>
      <c r="F16" s="17"/>
      <c r="G16" s="17"/>
    </row>
    <row r="17" customFormat="false" ht="15" hidden="false" customHeight="false" outlineLevel="0" collapsed="false">
      <c r="A17" s="7" t="s">
        <v>19</v>
      </c>
      <c r="B17" s="9" t="n">
        <f aca="false">INDEX('All Lots'!$Q$3:$Q$138,MATCH("711 Chapala Dr",'All Lots'!$B$3:$B$138,0))</f>
        <v>4375000</v>
      </c>
      <c r="C17" s="9" t="n">
        <f aca="false">INDEX('All Lots'!$Q$3:$Q$138,MATCH("611 Ocampo Dr",'All Lots'!$B$3:$B$138,0))</f>
        <v>4495000</v>
      </c>
      <c r="D17" s="9" t="n">
        <f aca="false">INDEX('All Lots'!$Q$3:$Q$138,MATCH("16150 Northfield St",'All Lots'!$B$3:$B$138,0))</f>
        <v>1395000</v>
      </c>
      <c r="E17" s="9" t="n">
        <f aca="false">INDEX('All Lots'!$Q$3:$Q$138,MATCH("14410 Villa Woods Pl",'All Lots'!$B$3:$B$138,0))</f>
        <v>2795000</v>
      </c>
      <c r="F17" s="9" t="n">
        <f aca="false">INDEX('All Lots'!$Q$3:$Q$138,MATCH("909 Rivas Canyon Rd",'All Lots'!$B$3:$B$138,0))</f>
        <v>3750000</v>
      </c>
      <c r="G17" s="9" t="n">
        <f aca="false">INDEX('All Lots'!$Q$3:$Q$138,MATCH("545 N Las Casas Ave",'All Lots'!$B$3:$B$138,0))</f>
        <v>995000</v>
      </c>
    </row>
    <row r="18" customFormat="false" ht="15" hidden="false" customHeight="false" outlineLevel="0" collapsed="false">
      <c r="A18" s="7" t="s">
        <v>20</v>
      </c>
      <c r="B18" s="9" t="n">
        <f aca="false">INDEX('All Lots'!$R$3:$R$138,MATCH("711 Chapala Dr",'All Lots'!$B$3:$B$138,0))</f>
        <v>5252800</v>
      </c>
      <c r="C18" s="9" t="n">
        <f aca="false">INDEX('All Lots'!$R$3:$R$138,MATCH("611 Ocampo Dr",'All Lots'!$B$3:$B$138,0))</f>
        <v>5007800</v>
      </c>
      <c r="D18" s="9" t="n">
        <f aca="false">INDEX('All Lots'!$R$3:$R$138,MATCH("16150 Northfield St",'All Lots'!$B$3:$B$138,0))</f>
        <v>2989000</v>
      </c>
      <c r="E18" s="9" t="n">
        <f aca="false">INDEX('All Lots'!$R$3:$R$138,MATCH("14410 Villa Woods Pl",'All Lots'!$B$3:$B$138,0))</f>
        <v>3843000</v>
      </c>
      <c r="F18" s="9" t="n">
        <f aca="false">INDEX('All Lots'!$R$3:$R$138,MATCH("909 Rivas Canyon Rd",'All Lots'!$B$3:$B$138,0))</f>
        <v>5136600</v>
      </c>
      <c r="G18" s="9" t="n">
        <f aca="false">INDEX('All Lots'!$R$3:$R$138,MATCH("545 N Las Casas Ave",'All Lots'!$B$3:$B$138,0))</f>
        <v>2320500</v>
      </c>
    </row>
    <row r="19" customFormat="false" ht="15" hidden="false" customHeight="false" outlineLevel="0" collapsed="false">
      <c r="A19" s="7" t="s">
        <v>21</v>
      </c>
      <c r="B19" s="9" t="n">
        <f aca="false">INDEX('All Lots'!$S$3:$S$138,MATCH("711 Chapala Dr",'All Lots'!$B$3:$B$138,0))</f>
        <v>218750</v>
      </c>
      <c r="C19" s="9" t="n">
        <f aca="false">INDEX('All Lots'!$S$3:$S$138,MATCH("611 Ocampo Dr",'All Lots'!$B$3:$B$138,0))</f>
        <v>224750</v>
      </c>
      <c r="D19" s="9" t="n">
        <f aca="false">INDEX('All Lots'!$S$3:$S$138,MATCH("16150 Northfield St",'All Lots'!$B$3:$B$138,0))</f>
        <v>69750</v>
      </c>
      <c r="E19" s="9" t="n">
        <f aca="false">INDEX('All Lots'!$S$3:$S$138,MATCH("14410 Villa Woods Pl",'All Lots'!$B$3:$B$138,0))</f>
        <v>411750</v>
      </c>
      <c r="F19" s="9" t="n">
        <f aca="false">INDEX('All Lots'!$S$3:$S$138,MATCH("909 Rivas Canyon Rd",'All Lots'!$B$3:$B$138,0))</f>
        <v>550350</v>
      </c>
      <c r="G19" s="9" t="n">
        <f aca="false">INDEX('All Lots'!$S$3:$S$138,MATCH("545 N Las Casas Ave",'All Lots'!$B$3:$B$138,0))</f>
        <v>248625</v>
      </c>
    </row>
    <row r="20" customFormat="false" ht="15" hidden="false" customHeight="false" outlineLevel="0" collapsed="false">
      <c r="A20" s="7" t="s">
        <v>22</v>
      </c>
      <c r="B20" s="9" t="n">
        <f aca="false">INDEX('All Lots'!$T$3:$T$138,MATCH("711 Chapala Dr",'All Lots'!$B$3:$B$138,0))</f>
        <v>864034.7625</v>
      </c>
      <c r="C20" s="9" t="n">
        <f aca="false">INDEX('All Lots'!$T$3:$T$138,MATCH("611 Ocampo Dr",'All Lots'!$B$3:$B$138,0))</f>
        <v>853592.5125</v>
      </c>
      <c r="D20" s="9" t="n">
        <f aca="false">INDEX('All Lots'!$T$3:$T$138,MATCH("16150 Northfield St",'All Lots'!$B$3:$B$138,0))</f>
        <v>390816.5625</v>
      </c>
      <c r="E20" s="9" t="n">
        <f aca="false">INDEX('All Lots'!$T$3:$T$138,MATCH("14410 Villa Woods Pl",'All Lots'!$B$3:$B$138,0))</f>
        <v>893555.8125</v>
      </c>
      <c r="F20" s="9" t="n">
        <f aca="false">INDEX('All Lots'!$T$3:$T$138,MATCH("909 Rivas Canyon Rd",'All Lots'!$B$3:$B$138,0))</f>
        <v>1196133.4125</v>
      </c>
      <c r="G20" s="9" t="n">
        <f aca="false">INDEX('All Lots'!$T$3:$T$138,MATCH("545 N Las Casas Ave",'All Lots'!$B$3:$B$138,0))</f>
        <v>312751.96875</v>
      </c>
    </row>
    <row r="21" customFormat="false" ht="15" hidden="false" customHeight="false" outlineLevel="0" collapsed="false">
      <c r="A21" s="7" t="s">
        <v>23</v>
      </c>
      <c r="B21" s="9" t="n">
        <f aca="false">INDEX('All Lots'!$U$3:$U$138,MATCH("711 Chapala Dr",'All Lots'!$B$3:$B$138,0))</f>
        <v>105000</v>
      </c>
      <c r="C21" s="9" t="n">
        <f aca="false">INDEX('All Lots'!$U$3:$U$138,MATCH("611 Ocampo Dr",'All Lots'!$B$3:$B$138,0))</f>
        <v>107880</v>
      </c>
      <c r="D21" s="9" t="n">
        <f aca="false">INDEX('All Lots'!$U$3:$U$138,MATCH("16150 Northfield St",'All Lots'!$B$3:$B$138,0))</f>
        <v>33480</v>
      </c>
      <c r="E21" s="9" t="n">
        <f aca="false">INDEX('All Lots'!$U$3:$U$138,MATCH("14410 Villa Woods Pl",'All Lots'!$B$3:$B$138,0))</f>
        <v>100620</v>
      </c>
      <c r="F21" s="9" t="n">
        <f aca="false">INDEX('All Lots'!$U$3:$U$138,MATCH("909 Rivas Canyon Rd",'All Lots'!$B$3:$B$138,0))</f>
        <v>135000</v>
      </c>
      <c r="G21" s="9" t="n">
        <f aca="false">INDEX('All Lots'!$U$3:$U$138,MATCH("545 N Las Casas Ave",'All Lots'!$B$3:$B$138,0))</f>
        <v>23880</v>
      </c>
    </row>
    <row r="22" customFormat="false" ht="15" hidden="false" customHeight="false" outlineLevel="0" collapsed="false">
      <c r="A22" s="7" t="s">
        <v>24</v>
      </c>
      <c r="B22" s="9" t="n">
        <f aca="false">INDEX('All Lots'!$V$3:$V$138,MATCH("711 Chapala Dr",'All Lots'!$B$3:$B$138,0))</f>
        <v>619987.984</v>
      </c>
      <c r="C22" s="9" t="n">
        <f aca="false">INDEX('All Lots'!$V$3:$V$138,MATCH("611 Ocampo Dr",'All Lots'!$B$3:$B$138,0))</f>
        <v>591070.634</v>
      </c>
      <c r="D22" s="9" t="n">
        <f aca="false">INDEX('All Lots'!$V$3:$V$138,MATCH("16150 Northfield St",'All Lots'!$B$3:$B$138,0))</f>
        <v>266977.48</v>
      </c>
      <c r="E22" s="9" t="n">
        <f aca="false">INDEX('All Lots'!$V$3:$V$138,MATCH("14410 Villa Woods Pl",'All Lots'!$B$3:$B$138,0))</f>
        <v>456041.124</v>
      </c>
      <c r="F22" s="9" t="n">
        <f aca="false">INDEX('All Lots'!$V$3:$V$138,MATCH("909 Rivas Canyon Rd",'All Lots'!$B$3:$B$138,0))</f>
        <v>609550.0488</v>
      </c>
      <c r="G22" s="9" t="n">
        <f aca="false">INDEX('All Lots'!$V$3:$V$138,MATCH("545 N Las Casas Ave",'All Lots'!$B$3:$B$138,0))</f>
        <v>207267.06</v>
      </c>
    </row>
    <row r="23" customFormat="false" ht="15" hidden="false" customHeight="false" outlineLevel="0" collapsed="false">
      <c r="A23" s="7" t="s">
        <v>25</v>
      </c>
      <c r="B23" s="9" t="n">
        <f aca="false">INDEX('All Lots'!$W$3:$W$138,MATCH("711 Chapala Dr",'All Lots'!$B$3:$B$138,0))</f>
        <v>839885.2</v>
      </c>
      <c r="C23" s="9" t="n">
        <f aca="false">INDEX('All Lots'!$W$3:$W$138,MATCH("611 Ocampo Dr",'All Lots'!$B$3:$B$138,0))</f>
        <v>800711.45</v>
      </c>
      <c r="D23" s="9" t="n">
        <f aca="false">INDEX('All Lots'!$W$3:$W$138,MATCH("16150 Northfield St",'All Lots'!$B$3:$B$138,0))</f>
        <v>263032</v>
      </c>
      <c r="E23" s="9" t="n">
        <f aca="false">INDEX('All Lots'!$W$3:$W$138,MATCH("14410 Villa Woods Pl",'All Lots'!$B$3:$B$138,0))</f>
        <v>617789.7</v>
      </c>
      <c r="F23" s="9" t="n">
        <f aca="false">INDEX('All Lots'!$W$3:$W$138,MATCH("909 Rivas Canyon Rd",'All Lots'!$B$3:$B$138,0))</f>
        <v>825745.14</v>
      </c>
      <c r="G23" s="9" t="n">
        <f aca="false">INDEX('All Lots'!$W$3:$W$138,MATCH("545 N Las Casas Ave",'All Lots'!$B$3:$B$138,0))</f>
        <v>0</v>
      </c>
    </row>
    <row r="24" customFormat="false" ht="15" hidden="false" customHeight="false" outlineLevel="0" collapsed="false">
      <c r="A24" s="18" t="s">
        <v>26</v>
      </c>
      <c r="B24" s="19" t="n">
        <f aca="false">INDEX('All Lots'!$X$3:$X$138,MATCH("711 Chapala Dr",'All Lots'!$B$3:$B$138,0))</f>
        <v>12275457.9465</v>
      </c>
      <c r="C24" s="19" t="n">
        <f aca="false">INDEX('All Lots'!$X$3:$X$138,MATCH("611 Ocampo Dr",'All Lots'!$B$3:$B$138,0))</f>
        <v>12080804.5965</v>
      </c>
      <c r="D24" s="19" t="n">
        <f aca="false">INDEX('All Lots'!$X$3:$X$138,MATCH("16150 Northfield St",'All Lots'!$B$3:$B$138,0))</f>
        <v>5408056.0425</v>
      </c>
      <c r="E24" s="19" t="n">
        <f aca="false">INDEX('All Lots'!$X$3:$X$138,MATCH("14410 Villa Woods Pl",'All Lots'!$B$3:$B$138,0))</f>
        <v>9117756.6365</v>
      </c>
      <c r="F24" s="19" t="n">
        <f aca="false">INDEX('All Lots'!$X$3:$X$138,MATCH("909 Rivas Canyon Rd",'All Lots'!$B$3:$B$138,0))</f>
        <v>12203378.6013</v>
      </c>
      <c r="G24" s="19" t="n">
        <f aca="false">INDEX('All Lots'!$X$3:$X$138,MATCH("545 N Las Casas Ave",'All Lots'!$B$3:$B$138,0))</f>
        <v>4108024.02875</v>
      </c>
    </row>
    <row r="25" customFormat="false" ht="15" hidden="false" customHeight="false" outlineLevel="0" collapsed="false">
      <c r="A25" s="20" t="s">
        <v>27</v>
      </c>
      <c r="B25" s="21"/>
      <c r="C25" s="21"/>
      <c r="D25" s="21"/>
      <c r="E25" s="21"/>
      <c r="F25" s="21"/>
      <c r="G25" s="21"/>
    </row>
    <row r="26" customFormat="false" ht="15" hidden="false" customHeight="false" outlineLevel="0" collapsed="false">
      <c r="A26" s="14" t="s">
        <v>28</v>
      </c>
      <c r="B26" s="19" t="n">
        <f aca="false">INDEX('All Lots'!$Y$3:$Y$138,MATCH("711 Chapala Dr",'All Lots'!$B$3:$B$138,0))</f>
        <v>2995182.0535</v>
      </c>
      <c r="C26" s="19" t="n">
        <f aca="false">INDEX('All Lots'!$Y$3:$Y$138,MATCH("611 Ocampo Dr",'All Lots'!$B$3:$B$138,0))</f>
        <v>2477585.4035</v>
      </c>
      <c r="D26" s="19" t="n">
        <f aca="false">INDEX('All Lots'!$Y$3:$Y$138,MATCH("16150 Northfield St",'All Lots'!$B$3:$B$138,0))</f>
        <v>1167743.9575</v>
      </c>
      <c r="E26" s="19" t="n">
        <f aca="false">INDEX('All Lots'!$Y$3:$Y$138,MATCH("14410 Villa Woods Pl",'All Lots'!$B$3:$B$138,0))</f>
        <v>2114783.3635</v>
      </c>
      <c r="F26" s="19" t="n">
        <f aca="false">INDEX('All Lots'!$Y$3:$Y$138,MATCH("909 Rivas Canyon Rd",'All Lots'!$B$3:$B$138,0))</f>
        <v>2810169.3987</v>
      </c>
      <c r="G26" s="19" t="n">
        <f aca="false">INDEX('All Lots'!$Y$3:$Y$138,MATCH("545 N Las Casas Ave",'All Lots'!$B$3:$B$138,0))</f>
        <v>997075.971250001</v>
      </c>
    </row>
    <row r="27" customFormat="false" ht="15" hidden="false" customHeight="false" outlineLevel="0" collapsed="false">
      <c r="A27" s="7" t="s">
        <v>29</v>
      </c>
      <c r="B27" s="22" t="n">
        <f aca="false">INDEX('All Lots'!$Z$3:$Z$138,MATCH("711 Chapala Dr",'All Lots'!$B$3:$B$138,0))</f>
        <v>0.243997581723947</v>
      </c>
      <c r="C27" s="22" t="n">
        <f aca="false">INDEX('All Lots'!$Z$3:$Z$138,MATCH("611 Ocampo Dr",'All Lots'!$B$3:$B$138,0))</f>
        <v>0.205084469640192</v>
      </c>
      <c r="D27" s="22" t="n">
        <f aca="false">INDEX('All Lots'!$Z$3:$Z$138,MATCH("16150 Northfield St",'All Lots'!$B$3:$B$138,0))</f>
        <v>0.215926748599333</v>
      </c>
      <c r="E27" s="22" t="n">
        <f aca="false">INDEX('All Lots'!$Z$3:$Z$138,MATCH("14410 Villa Woods Pl",'All Lots'!$B$3:$B$138,0))</f>
        <v>0.231941194288313</v>
      </c>
      <c r="F27" s="22" t="n">
        <f aca="false">INDEX('All Lots'!$Z$3:$Z$138,MATCH("909 Rivas Canyon Rd",'All Lots'!$B$3:$B$138,0))</f>
        <v>0.230277982066429</v>
      </c>
      <c r="G27" s="22" t="n">
        <f aca="false">INDEX('All Lots'!$Z$3:$Z$138,MATCH("545 N Las Casas Ave",'All Lots'!$B$3:$B$138,0))</f>
        <v>0.242714250031637</v>
      </c>
    </row>
    <row r="28" customFormat="false" ht="15" hidden="false" customHeight="false" outlineLevel="0" collapsed="false">
      <c r="A28" s="7" t="s">
        <v>30</v>
      </c>
      <c r="B28" s="9" t="n">
        <f aca="false">INDEX('All Lots'!$AA$3:$AA$138,MATCH("711 Chapala Dr",'All Lots'!$B$3:$B$138,0))</f>
        <v>5235412.63985109</v>
      </c>
      <c r="C28" s="9" t="n">
        <f aca="false">INDEX('All Lots'!$AA$3:$AA$138,MATCH("611 Ocampo Dr",'All Lots'!$B$3:$B$138,0))</f>
        <v>4991223.61746998</v>
      </c>
      <c r="D28" s="9" t="n">
        <f aca="false">INDEX('All Lots'!$AA$3:$AA$138,MATCH("16150 Northfield St",'All Lots'!$B$3:$B$138,0))</f>
        <v>1660861.37056886</v>
      </c>
      <c r="E28" s="9" t="n">
        <f aca="false">INDEX('All Lots'!$AA$3:$AA$138,MATCH("14410 Villa Woods Pl",'All Lots'!$B$3:$B$138,0))</f>
        <v>3353735.28312752</v>
      </c>
      <c r="F28" s="9" t="n">
        <f aca="false">INDEX('All Lots'!$AA$3:$AA$138,MATCH("909 Rivas Canyon Rd",'All Lots'!$B$3:$B$138,0))</f>
        <v>4482642.89755733</v>
      </c>
      <c r="G28" s="9" t="n">
        <f aca="false">INDEX('All Lots'!$AA$3:$AA$138,MATCH("545 N Las Casas Ave",'All Lots'!$B$3:$B$138,0))</f>
        <v>1292902.73222788</v>
      </c>
    </row>
    <row r="29" customFormat="false" ht="15" hidden="false" customHeight="false" outlineLevel="0" collapsed="false">
      <c r="A29" s="7" t="s">
        <v>31</v>
      </c>
      <c r="B29" s="23" t="n">
        <f aca="false">INDEX('All Lots'!$AB$3:$AB$138,MATCH("711 Chapala Dr",'All Lots'!$B$3:$B$138,0))</f>
        <v>0.835655238843683</v>
      </c>
      <c r="C29" s="23" t="n">
        <f aca="false">INDEX('All Lots'!$AB$3:$AB$138,MATCH("611 Ocampo Dr",'All Lots'!$B$3:$B$138,0))</f>
        <v>0.900580768264294</v>
      </c>
      <c r="D29" s="23" t="n">
        <f aca="false">INDEX('All Lots'!$AB$3:$AB$138,MATCH("16150 Northfield St",'All Lots'!$B$3:$B$138,0))</f>
        <v>0.839925610120129</v>
      </c>
      <c r="E29" s="23" t="n">
        <f aca="false">INDEX('All Lots'!$AB$3:$AB$138,MATCH("14410 Villa Woods Pl",'All Lots'!$B$3:$B$138,0))</f>
        <v>0.833399109960023</v>
      </c>
      <c r="F29" s="23" t="n">
        <f aca="false">INDEX('All Lots'!$AB$3:$AB$138,MATCH("909 Rivas Canyon Rd",'All Lots'!$B$3:$B$138,0))</f>
        <v>0.836560057470436</v>
      </c>
      <c r="G29" s="23" t="n">
        <f aca="false">INDEX('All Lots'!$AB$3:$AB$138,MATCH("545 N Las Casas Ave",'All Lots'!$B$3:$B$138,0))</f>
        <v>0.769586122140412</v>
      </c>
    </row>
    <row r="30" customFormat="false" ht="15" hidden="false" customHeight="false" outlineLevel="0" collapsed="false">
      <c r="A30" s="24" t="s">
        <v>32</v>
      </c>
      <c r="B30" s="25"/>
      <c r="C30" s="25"/>
      <c r="D30" s="25"/>
      <c r="E30" s="25"/>
      <c r="F30" s="25"/>
      <c r="G30" s="25"/>
    </row>
    <row r="31" customFormat="false" ht="15" hidden="false" customHeight="false" outlineLevel="0" collapsed="false">
      <c r="A31" s="7" t="s">
        <v>33</v>
      </c>
      <c r="B31" s="13" t="n">
        <f aca="false">INDEX('All Lots'!$AC$3:$AC$138,MATCH("711 Chapala Dr",'All Lots'!$B$3:$B$138,0))</f>
        <v>1850</v>
      </c>
      <c r="C31" s="13" t="n">
        <f aca="false">INDEX('All Lots'!$AC$3:$AC$138,MATCH("611 Ocampo Dr",'All Lots'!$B$3:$B$138,0))</f>
        <v>1850</v>
      </c>
      <c r="D31" s="13" t="n">
        <f aca="false">INDEX('All Lots'!$AC$3:$AC$138,MATCH("16150 Northfield St",'All Lots'!$B$3:$B$138,0))</f>
        <v>1400</v>
      </c>
      <c r="E31" s="13" t="n">
        <f aca="false">INDEX('All Lots'!$AC$3:$AC$138,MATCH("14410 Villa Woods Pl",'All Lots'!$B$3:$B$138,0))</f>
        <v>1860</v>
      </c>
      <c r="F31" s="13" t="n">
        <f aca="false">INDEX('All Lots'!$AC$3:$AC$138,MATCH("909 Rivas Canyon Rd",'All Lots'!$B$3:$B$138,0))</f>
        <v>1860</v>
      </c>
      <c r="G31" s="13" t="n">
        <f aca="false">INDEX('All Lots'!$AC$3:$AC$138,MATCH("545 N Las Casas Ave",'All Lots'!$B$3:$B$138,0))</f>
        <v>1400</v>
      </c>
    </row>
    <row r="32" customFormat="false" ht="15" hidden="false" customHeight="false" outlineLevel="0" collapsed="false">
      <c r="A32" s="14" t="s">
        <v>34</v>
      </c>
      <c r="B32" s="15" t="n">
        <f aca="false">INDEX('All Lots'!$AD$3:$AD$138,MATCH("711 Chapala Dr",'All Lots'!$B$3:$B$138,0))</f>
        <v>1739657.7975</v>
      </c>
      <c r="C32" s="15" t="n">
        <f aca="false">INDEX('All Lots'!$AD$3:$AD$138,MATCH("611 Ocampo Dr",'All Lots'!$B$3:$B$138,0))</f>
        <v>1280621.0475</v>
      </c>
      <c r="D32" s="15" t="n">
        <f aca="false">INDEX('All Lots'!$AD$3:$AD$138,MATCH("16150 Northfield St",'All Lots'!$B$3:$B$138,0))</f>
        <v>618126.6375</v>
      </c>
      <c r="E32" s="15" t="n">
        <f aca="false">INDEX('All Lots'!$AD$3:$AD$138,MATCH("14410 Villa Woods Pl",'All Lots'!$B$3:$B$138,0))</f>
        <v>1344435.3475</v>
      </c>
      <c r="F32" s="15" t="n">
        <f aca="false">INDEX('All Lots'!$AD$3:$AD$138,MATCH("909 Rivas Canyon Rd",'All Lots'!$B$3:$B$138,0))</f>
        <v>1575782.7795</v>
      </c>
      <c r="G32" s="15" t="n">
        <f aca="false">INDEX('All Lots'!$AD$3:$AD$138,MATCH("545 N Las Casas Ave",'All Lots'!$B$3:$B$138,0))</f>
        <v>551818.43125</v>
      </c>
    </row>
    <row r="33" customFormat="false" ht="15" hidden="false" customHeight="false" outlineLevel="0" collapsed="false">
      <c r="A33" s="7" t="s">
        <v>35</v>
      </c>
      <c r="B33" s="13" t="n">
        <f aca="false">INDEX('All Lots'!$AE$3:$AE$138,MATCH("711 Chapala Dr",'All Lots'!$B$3:$B$138,0))</f>
        <v>2035</v>
      </c>
      <c r="C33" s="13" t="n">
        <f aca="false">INDEX('All Lots'!$AE$3:$AE$138,MATCH("611 Ocampo Dr",'All Lots'!$B$3:$B$138,0))</f>
        <v>2035</v>
      </c>
      <c r="D33" s="13" t="n">
        <f aca="false">INDEX('All Lots'!$AE$3:$AE$138,MATCH("16150 Northfield St",'All Lots'!$B$3:$B$138,0))</f>
        <v>1540</v>
      </c>
      <c r="E33" s="13" t="n">
        <f aca="false">INDEX('All Lots'!$AE$3:$AE$138,MATCH("14410 Villa Woods Pl",'All Lots'!$B$3:$B$138,0))</f>
        <v>2046</v>
      </c>
      <c r="F33" s="13" t="n">
        <f aca="false">INDEX('All Lots'!$AE$3:$AE$138,MATCH("909 Rivas Canyon Rd",'All Lots'!$B$3:$B$138,0))</f>
        <v>2046</v>
      </c>
      <c r="G33" s="13" t="n">
        <f aca="false">INDEX('All Lots'!$AE$3:$AE$138,MATCH("545 N Las Casas Ave",'All Lots'!$B$3:$B$138,0))</f>
        <v>1540</v>
      </c>
    </row>
    <row r="34" customFormat="false" ht="15" hidden="false" customHeight="false" outlineLevel="0" collapsed="false">
      <c r="A34" s="14" t="s">
        <v>36</v>
      </c>
      <c r="B34" s="15" t="n">
        <f aca="false">INDEX('All Lots'!$AF$3:$AF$138,MATCH("711 Chapala Dr",'All Lots'!$B$3:$B$138,0))</f>
        <v>2995182.0535</v>
      </c>
      <c r="C34" s="15" t="n">
        <f aca="false">INDEX('All Lots'!$AF$3:$AF$138,MATCH("611 Ocampo Dr",'All Lots'!$B$3:$B$138,0))</f>
        <v>2477585.4035</v>
      </c>
      <c r="D34" s="15" t="n">
        <f aca="false">INDEX('All Lots'!$AF$3:$AF$138,MATCH("16150 Northfield St",'All Lots'!$B$3:$B$138,0))</f>
        <v>1167743.9575</v>
      </c>
      <c r="E34" s="15" t="n">
        <f aca="false">INDEX('All Lots'!$AF$3:$AF$138,MATCH("14410 Villa Woods Pl",'All Lots'!$B$3:$B$138,0))</f>
        <v>2114783.3635</v>
      </c>
      <c r="F34" s="15" t="n">
        <f aca="false">INDEX('All Lots'!$AF$3:$AF$138,MATCH("909 Rivas Canyon Rd",'All Lots'!$B$3:$B$138,0))</f>
        <v>2810169.3987</v>
      </c>
      <c r="G34" s="15" t="n">
        <f aca="false">INDEX('All Lots'!$AF$3:$AF$138,MATCH("545 N Las Casas Ave",'All Lots'!$B$3:$B$138,0))</f>
        <v>997075.971250001</v>
      </c>
    </row>
    <row r="35" customFormat="false" ht="15" hidden="false" customHeight="false" outlineLevel="0" collapsed="false">
      <c r="A35" s="7" t="s">
        <v>37</v>
      </c>
      <c r="B35" s="13" t="n">
        <f aca="false">INDEX('All Lots'!$AG$3:$AG$138,MATCH("711 Chapala Dr",'All Lots'!$B$3:$B$138,0))</f>
        <v>2220</v>
      </c>
      <c r="C35" s="13" t="n">
        <f aca="false">INDEX('All Lots'!$AG$3:$AG$138,MATCH("611 Ocampo Dr",'All Lots'!$B$3:$B$138,0))</f>
        <v>2220</v>
      </c>
      <c r="D35" s="13" t="n">
        <f aca="false">INDEX('All Lots'!$AG$3:$AG$138,MATCH("16150 Northfield St",'All Lots'!$B$3:$B$138,0))</f>
        <v>1680</v>
      </c>
      <c r="E35" s="13" t="n">
        <f aca="false">INDEX('All Lots'!$AG$3:$AG$138,MATCH("14410 Villa Woods Pl",'All Lots'!$B$3:$B$138,0))</f>
        <v>2232</v>
      </c>
      <c r="F35" s="13" t="n">
        <f aca="false">INDEX('All Lots'!$AG$3:$AG$138,MATCH("909 Rivas Canyon Rd",'All Lots'!$B$3:$B$138,0))</f>
        <v>2232</v>
      </c>
      <c r="G35" s="13" t="n">
        <f aca="false">INDEX('All Lots'!$AG$3:$AG$138,MATCH("545 N Las Casas Ave",'All Lots'!$B$3:$B$138,0))</f>
        <v>1680</v>
      </c>
    </row>
    <row r="36" customFormat="false" ht="15" hidden="false" customHeight="false" outlineLevel="0" collapsed="false">
      <c r="A36" s="14" t="s">
        <v>38</v>
      </c>
      <c r="B36" s="15" t="n">
        <f aca="false">INDEX('All Lots'!$AH$3:$AH$138,MATCH("711 Chapala Dr",'All Lots'!$B$3:$B$138,0))</f>
        <v>4250706.3095</v>
      </c>
      <c r="C36" s="15" t="n">
        <f aca="false">INDEX('All Lots'!$AH$3:$AH$138,MATCH("611 Ocampo Dr",'All Lots'!$B$3:$B$138,0))</f>
        <v>3674549.7595</v>
      </c>
      <c r="D36" s="15" t="n">
        <f aca="false">INDEX('All Lots'!$AH$3:$AH$138,MATCH("16150 Northfield St",'All Lots'!$B$3:$B$138,0))</f>
        <v>1717361.2775</v>
      </c>
      <c r="E36" s="15" t="n">
        <f aca="false">INDEX('All Lots'!$AH$3:$AH$138,MATCH("14410 Villa Woods Pl",'All Lots'!$B$3:$B$138,0))</f>
        <v>3038302.3795</v>
      </c>
      <c r="F36" s="15" t="n">
        <f aca="false">INDEX('All Lots'!$AH$3:$AH$138,MATCH("909 Rivas Canyon Rd",'All Lots'!$B$3:$B$138,0))</f>
        <v>4044556.0179</v>
      </c>
      <c r="G36" s="15" t="n">
        <f aca="false">INDEX('All Lots'!$AH$3:$AH$138,MATCH("545 N Las Casas Ave",'All Lots'!$B$3:$B$138,0))</f>
        <v>1219565.51125</v>
      </c>
    </row>
    <row r="38" customFormat="false" ht="13.5" hidden="false" customHeight="true" outlineLevel="0" collapsed="false">
      <c r="A38" s="26" t="s">
        <v>39</v>
      </c>
      <c r="B38" s="26"/>
      <c r="C38" s="26"/>
      <c r="D38" s="26"/>
      <c r="E38" s="26"/>
      <c r="F38" s="26"/>
      <c r="G38" s="26"/>
    </row>
    <row r="39" customFormat="false" ht="25.5" hidden="false" customHeight="true" outlineLevel="0" collapsed="false">
      <c r="A39" s="27" t="s">
        <v>40</v>
      </c>
      <c r="B39" s="27"/>
      <c r="C39" s="27"/>
      <c r="D39" s="27"/>
      <c r="E39" s="27"/>
      <c r="F39" s="27"/>
      <c r="G39" s="27"/>
    </row>
    <row r="40" customFormat="false" ht="25.5" hidden="false" customHeight="true" outlineLevel="0" collapsed="false">
      <c r="A40" s="27" t="s">
        <v>41</v>
      </c>
      <c r="B40" s="27"/>
      <c r="C40" s="27"/>
      <c r="D40" s="27"/>
      <c r="E40" s="27"/>
      <c r="F40" s="27"/>
      <c r="G40" s="27"/>
    </row>
    <row r="41" customFormat="false" ht="25.5" hidden="false" customHeight="true" outlineLevel="0" collapsed="false">
      <c r="A41" s="27" t="s">
        <v>42</v>
      </c>
      <c r="B41" s="27"/>
      <c r="C41" s="27"/>
      <c r="D41" s="27"/>
      <c r="E41" s="27"/>
      <c r="F41" s="27"/>
      <c r="G41" s="27"/>
    </row>
    <row r="42" customFormat="false" ht="25.5" hidden="false" customHeight="true" outlineLevel="0" collapsed="false">
      <c r="A42" s="27" t="s">
        <v>43</v>
      </c>
      <c r="B42" s="27"/>
      <c r="C42" s="27"/>
      <c r="D42" s="27"/>
      <c r="E42" s="27"/>
      <c r="F42" s="27"/>
      <c r="G42" s="27"/>
    </row>
    <row r="43" customFormat="false" ht="25.5" hidden="false" customHeight="true" outlineLevel="0" collapsed="false">
      <c r="A43" s="27" t="s">
        <v>44</v>
      </c>
      <c r="B43" s="27"/>
      <c r="C43" s="27"/>
      <c r="D43" s="27"/>
      <c r="E43" s="27"/>
      <c r="F43" s="27"/>
      <c r="G43" s="27"/>
    </row>
  </sheetData>
  <mergeCells count="6">
    <mergeCell ref="A38:G38"/>
    <mergeCell ref="A39:G39"/>
    <mergeCell ref="A40:G40"/>
    <mergeCell ref="A41:G41"/>
    <mergeCell ref="A42:G42"/>
    <mergeCell ref="A43:G43"/>
  </mergeCells>
  <conditionalFormatting sqref="B29:G29">
    <cfRule type="expression" priority="2" aboveAverage="0" equalAverage="0" bottom="0" percent="0" rank="0" text="" dxfId="0">
      <formula>AND(ISNUMBER(B29),B29&lt;=1)</formula>
    </cfRule>
    <cfRule type="expression" priority="3" aboveAverage="0" equalAverage="0" bottom="0" percent="0" rank="0" text="" dxfId="1">
      <formula>OR(NOT(ISNUMBER(B29)),B29&gt;1)</formula>
    </cfRule>
  </conditionalFormatting>
  <conditionalFormatting sqref="B32:G32">
    <cfRule type="expression" priority="4" aboveAverage="0" equalAverage="0" bottom="0" percent="0" rank="0" text="" dxfId="2">
      <formula>B32&lt;0</formula>
    </cfRule>
  </conditionalFormatting>
  <conditionalFormatting sqref="B34:G34">
    <cfRule type="expression" priority="5" aboveAverage="0" equalAverage="0" bottom="0" percent="0" rank="0" text="" dxfId="2">
      <formula>B34&lt;0</formula>
    </cfRule>
  </conditionalFormatting>
  <conditionalFormatting sqref="B36:G36">
    <cfRule type="expression" priority="6" aboveAverage="0" equalAverage="0" bottom="0" percent="0" rank="0" text="" dxfId="2">
      <formula>B36&lt;0</formula>
    </cfRule>
  </conditionalFormatting>
  <conditionalFormatting sqref="B26:G26">
    <cfRule type="expression" priority="7" aboveAverage="0" equalAverage="0" bottom="0" percent="0" rank="0" text="" dxfId="2">
      <formula>B26&lt;0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6" min="5" style="0" width="10"/>
    <col collapsed="false" customWidth="true" hidden="false" outlineLevel="0" max="7" min="7" style="0" width="13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7"/>
    <col collapsed="false" customWidth="true" hidden="false" outlineLevel="0" max="11" min="11" style="0" width="40"/>
    <col collapsed="false" customWidth="true" hidden="false" outlineLevel="0" max="12" min="12" style="0" width="11"/>
    <col collapsed="false" customWidth="true" hidden="false" outlineLevel="0" max="13" min="13" style="0" width="17"/>
    <col collapsed="false" customWidth="true" hidden="false" outlineLevel="0" max="14" min="14" style="0" width="9"/>
    <col collapsed="false" customWidth="true" hidden="false" outlineLevel="0" max="15" min="15" style="0" width="11"/>
    <col collapsed="false" customWidth="true" hidden="false" outlineLevel="0" max="19" min="16" style="0" width="13"/>
    <col collapsed="false" customWidth="true" hidden="false" outlineLevel="0" max="20" min="20" style="0" width="12"/>
    <col collapsed="false" customWidth="true" hidden="false" outlineLevel="0" max="21" min="21" style="0" width="11"/>
    <col collapsed="false" customWidth="true" hidden="false" outlineLevel="0" max="23" min="22" style="0" width="12"/>
    <col collapsed="false" customWidth="true" hidden="false" outlineLevel="0" max="24" min="24" style="0" width="14"/>
    <col collapsed="false" customWidth="true" hidden="false" outlineLevel="0" max="25" min="25" style="0" width="13"/>
    <col collapsed="false" customWidth="true" hidden="false" outlineLevel="0" max="26" min="26" style="0" width="9"/>
    <col collapsed="false" customWidth="true" hidden="false" outlineLevel="0" max="27" min="27" style="0" width="14"/>
    <col collapsed="false" customWidth="true" hidden="false" outlineLevel="0" max="28" min="28" style="0" width="11"/>
    <col collapsed="false" customWidth="true" hidden="false" outlineLevel="0" max="29" min="29" style="0" width="10"/>
    <col collapsed="false" customWidth="true" hidden="false" outlineLevel="0" max="30" min="30" style="0" width="12"/>
    <col collapsed="false" customWidth="true" hidden="false" outlineLevel="0" max="31" min="31" style="0" width="10"/>
    <col collapsed="false" customWidth="true" hidden="false" outlineLevel="0" max="32" min="32" style="0" width="12"/>
    <col collapsed="false" customWidth="true" hidden="false" outlineLevel="0" max="33" min="33" style="0" width="10"/>
    <col collapsed="false" customWidth="true" hidden="false" outlineLevel="0" max="36" min="34" style="0" width="12"/>
    <col collapsed="false" customWidth="true" hidden="false" outlineLevel="1" max="37" min="37" style="0" width="8"/>
    <col collapsed="false" customWidth="true" hidden="false" outlineLevel="1" max="39" min="38" style="0" width="9"/>
    <col collapsed="false" customWidth="true" hidden="false" outlineLevel="1" max="42" min="40" style="0" width="12"/>
  </cols>
  <sheetData>
    <row r="1" customFormat="false" ht="15" hidden="false" customHeight="true" outlineLevel="0" collapsed="false">
      <c r="A1" s="28" t="s">
        <v>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9" t="s">
        <v>45</v>
      </c>
      <c r="M1" s="29"/>
      <c r="N1" s="29"/>
      <c r="O1" s="29"/>
      <c r="P1" s="29"/>
      <c r="Q1" s="30" t="s">
        <v>18</v>
      </c>
      <c r="R1" s="30"/>
      <c r="S1" s="30"/>
      <c r="T1" s="30"/>
      <c r="U1" s="30"/>
      <c r="V1" s="30"/>
      <c r="W1" s="30"/>
      <c r="X1" s="30"/>
      <c r="Y1" s="31" t="s">
        <v>46</v>
      </c>
      <c r="Z1" s="31"/>
      <c r="AA1" s="31"/>
      <c r="AB1" s="31"/>
      <c r="AC1" s="32" t="s">
        <v>32</v>
      </c>
      <c r="AD1" s="32"/>
      <c r="AE1" s="32"/>
      <c r="AF1" s="32"/>
      <c r="AG1" s="32"/>
      <c r="AH1" s="32"/>
      <c r="AI1" s="32"/>
      <c r="AJ1" s="32"/>
      <c r="AK1" s="33" t="s">
        <v>47</v>
      </c>
      <c r="AL1" s="33"/>
      <c r="AM1" s="33"/>
      <c r="AN1" s="33"/>
      <c r="AO1" s="33"/>
      <c r="AP1" s="33"/>
    </row>
    <row r="2" customFormat="false" ht="42" hidden="false" customHeight="true" outlineLevel="0" collapsed="false">
      <c r="A2" s="34" t="s">
        <v>48</v>
      </c>
      <c r="B2" s="34" t="s">
        <v>49</v>
      </c>
      <c r="C2" s="34" t="s">
        <v>9</v>
      </c>
      <c r="D2" s="34" t="s">
        <v>10</v>
      </c>
      <c r="E2" s="34" t="s">
        <v>11</v>
      </c>
      <c r="F2" s="34" t="s">
        <v>50</v>
      </c>
      <c r="G2" s="34" t="s">
        <v>51</v>
      </c>
      <c r="H2" s="34" t="s">
        <v>12</v>
      </c>
      <c r="I2" s="34" t="s">
        <v>52</v>
      </c>
      <c r="J2" s="34" t="s">
        <v>53</v>
      </c>
      <c r="K2" s="34" t="s">
        <v>54</v>
      </c>
      <c r="L2" s="35" t="s">
        <v>14</v>
      </c>
      <c r="M2" s="35" t="s">
        <v>15</v>
      </c>
      <c r="N2" s="35" t="s">
        <v>55</v>
      </c>
      <c r="O2" s="35" t="s">
        <v>16</v>
      </c>
      <c r="P2" s="35" t="s">
        <v>56</v>
      </c>
      <c r="Q2" s="36" t="s">
        <v>19</v>
      </c>
      <c r="R2" s="36" t="s">
        <v>20</v>
      </c>
      <c r="S2" s="36" t="s">
        <v>21</v>
      </c>
      <c r="T2" s="36" t="s">
        <v>22</v>
      </c>
      <c r="U2" s="36" t="s">
        <v>23</v>
      </c>
      <c r="V2" s="36" t="s">
        <v>24</v>
      </c>
      <c r="W2" s="36" t="s">
        <v>25</v>
      </c>
      <c r="X2" s="36" t="s">
        <v>57</v>
      </c>
      <c r="Y2" s="37" t="s">
        <v>28</v>
      </c>
      <c r="Z2" s="37" t="s">
        <v>29</v>
      </c>
      <c r="AA2" s="37" t="s">
        <v>30</v>
      </c>
      <c r="AB2" s="37" t="s">
        <v>31</v>
      </c>
      <c r="AC2" s="38" t="s">
        <v>58</v>
      </c>
      <c r="AD2" s="38" t="s">
        <v>34</v>
      </c>
      <c r="AE2" s="38" t="s">
        <v>59</v>
      </c>
      <c r="AF2" s="38" t="s">
        <v>36</v>
      </c>
      <c r="AG2" s="38" t="s">
        <v>60</v>
      </c>
      <c r="AH2" s="38" t="s">
        <v>38</v>
      </c>
      <c r="AI2" s="38" t="s">
        <v>61</v>
      </c>
      <c r="AJ2" s="38" t="s">
        <v>62</v>
      </c>
      <c r="AK2" s="39" t="s">
        <v>63</v>
      </c>
      <c r="AL2" s="39" t="s">
        <v>64</v>
      </c>
      <c r="AM2" s="39" t="s">
        <v>65</v>
      </c>
      <c r="AN2" s="39" t="s">
        <v>66</v>
      </c>
      <c r="AO2" s="39" t="s">
        <v>67</v>
      </c>
      <c r="AP2" s="39" t="s">
        <v>68</v>
      </c>
    </row>
    <row r="3" customFormat="false" ht="35.05" hidden="false" customHeight="false" outlineLevel="0" collapsed="false">
      <c r="A3" s="40" t="n">
        <v>1</v>
      </c>
      <c r="B3" s="40" t="s">
        <v>69</v>
      </c>
      <c r="C3" s="40" t="s">
        <v>70</v>
      </c>
      <c r="D3" s="41" t="n">
        <v>1099000</v>
      </c>
      <c r="E3" s="42" t="n">
        <v>7006</v>
      </c>
      <c r="F3" s="42" t="n">
        <v>2163</v>
      </c>
      <c r="G3" s="42"/>
      <c r="H3" s="43" t="s">
        <v>71</v>
      </c>
      <c r="I3" s="43" t="s">
        <v>71</v>
      </c>
      <c r="J3" s="43" t="s">
        <v>71</v>
      </c>
      <c r="K3" s="44" t="s">
        <v>72</v>
      </c>
      <c r="L3" s="45" t="n">
        <f aca="false">IF(AO3&gt;AN3,AM3,AL3)</f>
        <v>2802</v>
      </c>
      <c r="M3" s="40" t="str">
        <f aca="false">IF(AO3&gt;AN3,"Zoning estimate",IF(H3="Yes","Approved plans",IF(G3&gt;0,"Listing claim","110% old house")))</f>
        <v>Zoning estimate</v>
      </c>
      <c r="N3" s="45" t="n">
        <f aca="false">IF(AO3&gt;AN3,IF(AM3&gt;AL3,Assumptions!$B$22,Assumptions!$B$21),Assumptions!$B$21)</f>
        <v>3</v>
      </c>
      <c r="O3" s="46" t="n">
        <f aca="false">(INDEX(Assumptions!$B$36:$B$48,MATCH(AK3,Assumptions!$A$36:$A$48,0))+IF(I3="Yes",Assumptions!$B$23,0)+IF(J3="Yes",Assumptions!$B$24,0))*(1+IF(UPPER(Assumptions!$B$31)="WORST",Assumptions!$B$28,IF(UPPER(Assumptions!$B$31)="BEST",Assumptions!$B$30,Assumptions!$B$29)))</f>
        <v>2046</v>
      </c>
      <c r="P3" s="47" t="n">
        <f aca="false">L3*O3</f>
        <v>5732892</v>
      </c>
      <c r="Q3" s="47" t="n">
        <f aca="false">D3</f>
        <v>1099000</v>
      </c>
      <c r="R3" s="47" t="n">
        <f aca="false">L3*Assumptions!$B$4</f>
        <v>1961400</v>
      </c>
      <c r="S3" s="47" t="n">
        <f aca="false">IF(H3="Yes",Assumptions!$B$6*(D3),(L3)*Assumptions!$B$5)</f>
        <v>210150</v>
      </c>
      <c r="T3" s="47" t="n">
        <f aca="false">AP3*(Assumptions!$B$8*N3*Assumptions!$B$9+Assumptions!$B$10)</f>
        <v>414542.2125</v>
      </c>
      <c r="U3" s="47" t="n">
        <f aca="false">Q3*Assumptions!$B$11*N3</f>
        <v>39564</v>
      </c>
      <c r="V3" s="47" t="n">
        <f aca="false">P3*(Assumptions!$B$12+Assumptions!$B$13)</f>
        <v>232755.4152</v>
      </c>
      <c r="W3" s="47" t="n">
        <f aca="false">P3*IF(P3&gt;=Assumptions!$B$16,Assumptions!$B$17,IF(P3&gt;=Assumptions!$B$14,Assumptions!$B$15,0))</f>
        <v>229315.68</v>
      </c>
      <c r="X3" s="48" t="n">
        <f aca="false">SUM(Q3:W3)</f>
        <v>4186727.3077</v>
      </c>
      <c r="Y3" s="48" t="n">
        <f aca="false">P3-X3</f>
        <v>1546164.6923</v>
      </c>
      <c r="Z3" s="49" t="n">
        <f aca="false">IF(X3=0,0,Y3/X3)</f>
        <v>0.369301504174007</v>
      </c>
      <c r="AA3" s="47" t="n">
        <f aca="false">MAX(0,(P3/(1+Assumptions!$B$27)-(L3*(Assumptions!$B$4+IF(H3="Yes",0,Assumptions!$B$5)))*(1+(Assumptions!$B$7*(Assumptions!$B$8*N3*Assumptions!$B$9+Assumptions!$B$10)))-P3*(Assumptions!$B$12+Assumptions!$B$13+IF(P3&gt;=Assumptions!$B$16,Assumptions!$B$17,IF(P3&gt;=Assumptions!$B$14,Assumptions!$B$15,0))))/((1+IF(H3="Yes",Assumptions!$B$6,0))*(1+(Assumptions!$B$7*(Assumptions!$B$8*N3*Assumptions!$B$9+Assumptions!$B$10)))+Assumptions!$B$11*N3))</f>
        <v>1785644.73924822</v>
      </c>
      <c r="AB3" s="50" t="n">
        <f aca="false">IF(AA3&lt;=0,"no price works",D3/AA3)</f>
        <v>0.615463969872693</v>
      </c>
      <c r="AC3" s="46" t="n">
        <f aca="false">(INDEX(Assumptions!$B$36:$B$48,MATCH(AK3,Assumptions!$A$36:$A$48,0))+IF(I3="Yes",Assumptions!$B$23,0)+IF(J3="Yes",Assumptions!$B$24,0))*(1+Assumptions!$B$28)</f>
        <v>1860</v>
      </c>
      <c r="AD3" s="47" t="n">
        <f aca="false">(L3)*AC3-(((D3)+(L3)*Assumptions!$B$4+IF(H3="Yes",Assumptions!$B$6*(D3),(L3)*Assumptions!$B$5))*(1+Assumptions!$B$7*(Assumptions!$B$8*(N3)*Assumptions!$B$9+Assumptions!$B$10))+(D3)*Assumptions!$B$11*(N3)+(L3)*AC3*(Assumptions!$B$12+Assumptions!$B$13+IF((L3)*AC3&gt;=Assumptions!$B$16,Assumptions!$B$17,IF((L3)*AC3&gt;=Assumptions!$B$14,Assumptions!$B$15,0))))</f>
        <v>1275467.9555</v>
      </c>
      <c r="AE3" s="46" t="n">
        <f aca="false">(INDEX(Assumptions!$B$36:$B$48,MATCH(AK3,Assumptions!$A$36:$A$48,0))+IF(I3="Yes",Assumptions!$B$23,0)+IF(J3="Yes",Assumptions!$B$24,0))*(1+Assumptions!$B$29)</f>
        <v>2046</v>
      </c>
      <c r="AF3" s="47" t="n">
        <f aca="false">(L3)*AE3-(((D3)+(L3)*Assumptions!$B$4+IF(H3="Yes",Assumptions!$B$6*(D3),(L3)*Assumptions!$B$5))*(1+Assumptions!$B$7*(Assumptions!$B$8*(N3)*Assumptions!$B$9+Assumptions!$B$10))+(D3)*Assumptions!$B$11*(N3)+(L3)*AE3*(Assumptions!$B$12+Assumptions!$B$13+IF((L3)*AE3&gt;=Assumptions!$B$16,Assumptions!$B$17,IF((L3)*AE3&gt;=Assumptions!$B$14,Assumptions!$B$15,0))))</f>
        <v>1546164.6923</v>
      </c>
      <c r="AG3" s="46" t="n">
        <f aca="false">(INDEX(Assumptions!$B$36:$B$48,MATCH(AK3,Assumptions!$A$36:$A$48,0))+IF(I3="Yes",Assumptions!$B$23,0)+IF(J3="Yes",Assumptions!$B$24,0))*(1+Assumptions!$B$30)</f>
        <v>2232</v>
      </c>
      <c r="AH3" s="47" t="n">
        <f aca="false">(L3)*AG3-(((D3)+(L3)*Assumptions!$B$4+IF(H3="Yes",Assumptions!$B$6*(D3),(L3)*Assumptions!$B$5))*(1+Assumptions!$B$7*(Assumptions!$B$8*(N3)*Assumptions!$B$9+Assumptions!$B$10))+(D3)*Assumptions!$B$11*(N3)+(L3)*AG3*(Assumptions!$B$12+Assumptions!$B$13+IF((L3)*AG3&gt;=Assumptions!$B$16,Assumptions!$B$17,IF((L3)*AG3&gt;=Assumptions!$B$14,Assumptions!$B$15,0))))</f>
        <v>2025330.2291</v>
      </c>
      <c r="AI3" s="47" t="n">
        <f aca="false">(L3)*AE3-(((D3)+(L3)*Assumptions!$B$25+IF(H3="Yes",Assumptions!$B$6*(D3),(L3)*Assumptions!$B$5))*(1+Assumptions!$B$7*(Assumptions!$B$8*(N3)*Assumptions!$B$9+Assumptions!$B$10))+(D3)*Assumptions!$B$11*(N3)+(L3)*AE3*(Assumptions!$B$12+Assumptions!$B$13+IF((L3)*AE3&gt;=Assumptions!$B$16,Assumptions!$B$17,IF((L3)*AE3&gt;=Assumptions!$B$14,Assumptions!$B$15,0))))</f>
        <v>1704022.3673</v>
      </c>
      <c r="AJ3" s="47" t="n">
        <f aca="false">(L3)*AE3-(((D3)+(L3)*Assumptions!$B$26+IF(H3="Yes",Assumptions!$B$6*(D3),(L3)*Assumptions!$B$5))*(1+Assumptions!$B$7*(Assumptions!$B$8*(N3)*Assumptions!$B$9+Assumptions!$B$10))+(D3)*Assumptions!$B$11*(N3)+(L3)*AE3*(Assumptions!$B$12+Assumptions!$B$13+IF((L3)*AE3&gt;=Assumptions!$B$16,Assumptions!$B$17,IF((L3)*AE3&gt;=Assumptions!$B$14,Assumptions!$B$15,0))))</f>
        <v>1861880.0423</v>
      </c>
      <c r="AK3" s="40" t="s">
        <v>73</v>
      </c>
      <c r="AL3" s="45" t="n">
        <f aca="false">IF(G3&gt;0,G3,ROUND(F3*Assumptions!$B$18,0))</f>
        <v>2379</v>
      </c>
      <c r="AM3" s="45" t="n">
        <f aca="false">IF(H3="Yes",AL3,MAX(AL3,MIN(Assumptions!$B$20,ROUND(E3*Assumptions!$B$19,0))))</f>
        <v>2802</v>
      </c>
      <c r="AN3" s="47" t="n">
        <f aca="false">(AL3)*AE3-(((D3)+(AL3)*Assumptions!$B$4+IF(H3="Yes",Assumptions!$B$6*(D3),(AL3)*Assumptions!$B$5))*(1+Assumptions!$B$7*(Assumptions!$B$8*(Assumptions!$B$21)*Assumptions!$B$9+Assumptions!$B$10))+(D3)*Assumptions!$B$11*(Assumptions!$B$21)+(AL3)*AE3*(Assumptions!$B$12+Assumptions!$B$13+IF((AL3)*AE3&gt;=Assumptions!$B$16,Assumptions!$B$17,IF((AL3)*AE3&gt;=Assumptions!$B$14,Assumptions!$B$15,0))))</f>
        <v>1442491.06085</v>
      </c>
      <c r="AO3" s="47" t="n">
        <f aca="false">(AM3)*AE3-(((D3)+(AM3)*Assumptions!$B$4+IF(H3="Yes",Assumptions!$B$6*(D3),(AM3)*Assumptions!$B$5))*(1+Assumptions!$B$7*(Assumptions!$B$8*(IF(AM3&gt;AL3,Assumptions!$B$22,Assumptions!$B$21))*Assumptions!$B$9+Assumptions!$B$10))+(D3)*Assumptions!$B$11*(IF(AM3&gt;AL3,Assumptions!$B$22,Assumptions!$B$21))+(AM3)*AE3*(Assumptions!$B$12+Assumptions!$B$13+IF((AM3)*AE3&gt;=Assumptions!$B$16,Assumptions!$B$17,IF((AM3)*AE3&gt;=Assumptions!$B$14,Assumptions!$B$15,0))))</f>
        <v>1546164.6923</v>
      </c>
      <c r="AP3" s="47" t="n">
        <f aca="false">Assumptions!$B$7*(Q3+R3+S3)</f>
        <v>2125857.5</v>
      </c>
    </row>
    <row r="4" customFormat="false" ht="15" hidden="false" customHeight="false" outlineLevel="0" collapsed="false">
      <c r="A4" s="40" t="n">
        <v>2</v>
      </c>
      <c r="B4" s="40" t="s">
        <v>74</v>
      </c>
      <c r="C4" s="40" t="s">
        <v>75</v>
      </c>
      <c r="D4" s="41" t="n">
        <v>995000</v>
      </c>
      <c r="E4" s="42" t="n">
        <v>4382</v>
      </c>
      <c r="F4" s="42" t="n">
        <v>3014</v>
      </c>
      <c r="G4" s="42"/>
      <c r="H4" s="43" t="s">
        <v>71</v>
      </c>
      <c r="I4" s="43" t="s">
        <v>71</v>
      </c>
      <c r="J4" s="43" t="s">
        <v>71</v>
      </c>
      <c r="K4" s="44" t="s">
        <v>76</v>
      </c>
      <c r="L4" s="45" t="n">
        <f aca="false">IF(AO4&gt;AN4,AM4,AL4)</f>
        <v>3315</v>
      </c>
      <c r="M4" s="40" t="str">
        <f aca="false">IF(AO4&gt;AN4,"Zoning estimate",IF(H4="Yes","Approved plans",IF(G4&gt;0,"Listing claim","110% old house")))</f>
        <v>110% old house</v>
      </c>
      <c r="N4" s="45" t="n">
        <f aca="false">IF(AO4&gt;AN4,IF(AM4&gt;AL4,Assumptions!$B$22,Assumptions!$B$21),Assumptions!$B$21)</f>
        <v>2</v>
      </c>
      <c r="O4" s="46" t="n">
        <f aca="false">(INDEX(Assumptions!$B$36:$B$48,MATCH(AK4,Assumptions!$A$36:$A$48,0))+IF(I4="Yes",Assumptions!$B$23,0)+IF(J4="Yes",Assumptions!$B$24,0))*(1+IF(UPPER(Assumptions!$B$31)="WORST",Assumptions!$B$28,IF(UPPER(Assumptions!$B$31)="BEST",Assumptions!$B$30,Assumptions!$B$29)))</f>
        <v>1540</v>
      </c>
      <c r="P4" s="47" t="n">
        <f aca="false">L4*O4</f>
        <v>5105100</v>
      </c>
      <c r="Q4" s="47" t="n">
        <f aca="false">D4</f>
        <v>995000</v>
      </c>
      <c r="R4" s="47" t="n">
        <f aca="false">L4*Assumptions!$B$4</f>
        <v>2320500</v>
      </c>
      <c r="S4" s="47" t="n">
        <f aca="false">IF(H4="Yes",Assumptions!$B$6*(D4),(L4)*Assumptions!$B$5)</f>
        <v>248625</v>
      </c>
      <c r="T4" s="47" t="n">
        <f aca="false">AP4*(Assumptions!$B$8*N4*Assumptions!$B$9+Assumptions!$B$10)</f>
        <v>312751.96875</v>
      </c>
      <c r="U4" s="47" t="n">
        <f aca="false">Q4*Assumptions!$B$11*N4</f>
        <v>23880</v>
      </c>
      <c r="V4" s="47" t="n">
        <f aca="false">P4*(Assumptions!$B$12+Assumptions!$B$13)</f>
        <v>207267.06</v>
      </c>
      <c r="W4" s="47" t="n">
        <f aca="false">P4*IF(P4&gt;=Assumptions!$B$16,Assumptions!$B$17,IF(P4&gt;=Assumptions!$B$14,Assumptions!$B$15,0))</f>
        <v>0</v>
      </c>
      <c r="X4" s="48" t="n">
        <f aca="false">SUM(Q4:W4)</f>
        <v>4108024.02875</v>
      </c>
      <c r="Y4" s="48" t="n">
        <f aca="false">P4-X4</f>
        <v>997075.971250001</v>
      </c>
      <c r="Z4" s="49" t="n">
        <f aca="false">IF(X4=0,0,Y4/X4)</f>
        <v>0.242714250031637</v>
      </c>
      <c r="AA4" s="47" t="n">
        <f aca="false">MAX(0,(P4/(1+Assumptions!$B$27)-(L4*(Assumptions!$B$4+IF(H4="Yes",0,Assumptions!$B$5)))*(1+(Assumptions!$B$7*(Assumptions!$B$8*N4*Assumptions!$B$9+Assumptions!$B$10)))-P4*(Assumptions!$B$12+Assumptions!$B$13+IF(P4&gt;=Assumptions!$B$16,Assumptions!$B$17,IF(P4&gt;=Assumptions!$B$14,Assumptions!$B$15,0))))/((1+IF(H4="Yes",Assumptions!$B$6,0))*(1+(Assumptions!$B$7*(Assumptions!$B$8*N4*Assumptions!$B$9+Assumptions!$B$10)))+Assumptions!$B$11*N4))</f>
        <v>1292902.73222788</v>
      </c>
      <c r="AB4" s="50" t="n">
        <f aca="false">IF(AA4&lt;=0,"no price works",D4/AA4)</f>
        <v>0.769586122140412</v>
      </c>
      <c r="AC4" s="46" t="n">
        <f aca="false">(INDEX(Assumptions!$B$36:$B$48,MATCH(AK4,Assumptions!$A$36:$A$48,0))+IF(I4="Yes",Assumptions!$B$23,0)+IF(J4="Yes",Assumptions!$B$24,0))*(1+Assumptions!$B$28)</f>
        <v>1400</v>
      </c>
      <c r="AD4" s="47" t="n">
        <f aca="false">(L4)*AC4-(((D4)+(L4)*Assumptions!$B$4+IF(H4="Yes",Assumptions!$B$6*(D4),(L4)*Assumptions!$B$5))*(1+Assumptions!$B$7*(Assumptions!$B$8*(N4)*Assumptions!$B$9+Assumptions!$B$10))+(D4)*Assumptions!$B$11*(N4)+(L4)*AC4*(Assumptions!$B$12+Assumptions!$B$13+IF((L4)*AC4&gt;=Assumptions!$B$16,Assumptions!$B$17,IF((L4)*AC4&gt;=Assumptions!$B$14,Assumptions!$B$15,0))))</f>
        <v>551818.43125</v>
      </c>
      <c r="AE4" s="46" t="n">
        <f aca="false">(INDEX(Assumptions!$B$36:$B$48,MATCH(AK4,Assumptions!$A$36:$A$48,0))+IF(I4="Yes",Assumptions!$B$23,0)+IF(J4="Yes",Assumptions!$B$24,0))*(1+Assumptions!$B$29)</f>
        <v>1540</v>
      </c>
      <c r="AF4" s="47" t="n">
        <f aca="false">(L4)*AE4-(((D4)+(L4)*Assumptions!$B$4+IF(H4="Yes",Assumptions!$B$6*(D4),(L4)*Assumptions!$B$5))*(1+Assumptions!$B$7*(Assumptions!$B$8*(N4)*Assumptions!$B$9+Assumptions!$B$10))+(D4)*Assumptions!$B$11*(N4)+(L4)*AE4*(Assumptions!$B$12+Assumptions!$B$13+IF((L4)*AE4&gt;=Assumptions!$B$16,Assumptions!$B$17,IF((L4)*AE4&gt;=Assumptions!$B$14,Assumptions!$B$15,0))))</f>
        <v>997075.971250001</v>
      </c>
      <c r="AG4" s="46" t="n">
        <f aca="false">(INDEX(Assumptions!$B$36:$B$48,MATCH(AK4,Assumptions!$A$36:$A$48,0))+IF(I4="Yes",Assumptions!$B$23,0)+IF(J4="Yes",Assumptions!$B$24,0))*(1+Assumptions!$B$30)</f>
        <v>1680</v>
      </c>
      <c r="AH4" s="47" t="n">
        <f aca="false">(L4)*AG4-(((D4)+(L4)*Assumptions!$B$4+IF(H4="Yes",Assumptions!$B$6*(D4),(L4)*Assumptions!$B$5))*(1+Assumptions!$B$7*(Assumptions!$B$8*(N4)*Assumptions!$B$9+Assumptions!$B$10))+(D4)*Assumptions!$B$11*(N4)+(L4)*AG4*(Assumptions!$B$12+Assumptions!$B$13+IF((L4)*AG4&gt;=Assumptions!$B$16,Assumptions!$B$17,IF((L4)*AG4&gt;=Assumptions!$B$14,Assumptions!$B$15,0))))</f>
        <v>1219565.51125</v>
      </c>
      <c r="AI4" s="47" t="n">
        <f aca="false">(L4)*AE4-(((D4)+(L4)*Assumptions!$B$25+IF(H4="Yes",Assumptions!$B$6*(D4),(L4)*Assumptions!$B$5))*(1+Assumptions!$B$7*(Assumptions!$B$8*(N4)*Assumptions!$B$9+Assumptions!$B$10))+(D4)*Assumptions!$B$11*(N4)+(L4)*AE4*(Assumptions!$B$12+Assumptions!$B$13+IF((L4)*AE4&gt;=Assumptions!$B$16,Assumptions!$B$17,IF((L4)*AE4&gt;=Assumptions!$B$14,Assumptions!$B$15,0))))</f>
        <v>1177370.53375</v>
      </c>
      <c r="AJ4" s="47" t="n">
        <f aca="false">(L4)*AE4-(((D4)+(L4)*Assumptions!$B$26+IF(H4="Yes",Assumptions!$B$6*(D4),(L4)*Assumptions!$B$5))*(1+Assumptions!$B$7*(Assumptions!$B$8*(N4)*Assumptions!$B$9+Assumptions!$B$10))+(D4)*Assumptions!$B$11*(N4)+(L4)*AE4*(Assumptions!$B$12+Assumptions!$B$13+IF((L4)*AE4&gt;=Assumptions!$B$16,Assumptions!$B$17,IF((L4)*AE4&gt;=Assumptions!$B$14,Assumptions!$B$15,0))))</f>
        <v>1357665.09625</v>
      </c>
      <c r="AK4" s="40" t="s">
        <v>77</v>
      </c>
      <c r="AL4" s="45" t="n">
        <f aca="false">IF(G4&gt;0,G4,ROUND(F4*Assumptions!$B$18,0))</f>
        <v>3315</v>
      </c>
      <c r="AM4" s="45" t="n">
        <f aca="false">IF(H4="Yes",AL4,MAX(AL4,MIN(Assumptions!$B$20,ROUND(E4*Assumptions!$B$19,0))))</f>
        <v>3315</v>
      </c>
      <c r="AN4" s="47" t="n">
        <f aca="false">(AL4)*AE4-(((D4)+(AL4)*Assumptions!$B$4+IF(H4="Yes",Assumptions!$B$6*(D4),(AL4)*Assumptions!$B$5))*(1+Assumptions!$B$7*(Assumptions!$B$8*(Assumptions!$B$21)*Assumptions!$B$9+Assumptions!$B$10))+(D4)*Assumptions!$B$11*(Assumptions!$B$21)+(AL4)*AE4*(Assumptions!$B$12+Assumptions!$B$13+IF((AL4)*AE4&gt;=Assumptions!$B$16,Assumptions!$B$17,IF((AL4)*AE4&gt;=Assumptions!$B$14,Assumptions!$B$15,0))))</f>
        <v>997075.971250001</v>
      </c>
      <c r="AO4" s="47" t="n">
        <f aca="false">(AM4)*AE4-(((D4)+(AM4)*Assumptions!$B$4+IF(H4="Yes",Assumptions!$B$6*(D4),(AM4)*Assumptions!$B$5))*(1+Assumptions!$B$7*(Assumptions!$B$8*(IF(AM4&gt;AL4,Assumptions!$B$22,Assumptions!$B$21))*Assumptions!$B$9+Assumptions!$B$10))+(D4)*Assumptions!$B$11*(IF(AM4&gt;AL4,Assumptions!$B$22,Assumptions!$B$21))+(AM4)*AE4*(Assumptions!$B$12+Assumptions!$B$13+IF((AM4)*AE4&gt;=Assumptions!$B$16,Assumptions!$B$17,IF((AM4)*AE4&gt;=Assumptions!$B$14,Assumptions!$B$15,0))))</f>
        <v>997075.971250001</v>
      </c>
      <c r="AP4" s="47" t="n">
        <f aca="false">Assumptions!$B$7*(Q4+R4+S4)</f>
        <v>2316681.25</v>
      </c>
    </row>
    <row r="5" customFormat="false" ht="23.85" hidden="false" customHeight="false" outlineLevel="0" collapsed="false">
      <c r="A5" s="40" t="n">
        <v>3</v>
      </c>
      <c r="B5" s="40" t="s">
        <v>78</v>
      </c>
      <c r="C5" s="40" t="s">
        <v>79</v>
      </c>
      <c r="D5" s="41" t="n">
        <v>4375000</v>
      </c>
      <c r="E5" s="42" t="n">
        <v>8008</v>
      </c>
      <c r="F5" s="42" t="n">
        <v>3383</v>
      </c>
      <c r="G5" s="42" t="n">
        <v>7504</v>
      </c>
      <c r="H5" s="43" t="s">
        <v>80</v>
      </c>
      <c r="I5" s="43" t="s">
        <v>71</v>
      </c>
      <c r="J5" s="43" t="s">
        <v>71</v>
      </c>
      <c r="K5" s="44" t="s">
        <v>81</v>
      </c>
      <c r="L5" s="45" t="n">
        <f aca="false">IF(AO5&gt;AN5,AM5,AL5)</f>
        <v>7504</v>
      </c>
      <c r="M5" s="40" t="str">
        <f aca="false">IF(AO5&gt;AN5,"Zoning estimate",IF(H5="Yes","Approved plans",IF(G5&gt;0,"Listing claim","110% old house")))</f>
        <v>Approved plans</v>
      </c>
      <c r="N5" s="45" t="n">
        <f aca="false">IF(AO5&gt;AN5,IF(AM5&gt;AL5,Assumptions!$B$22,Assumptions!$B$21),Assumptions!$B$21)</f>
        <v>2</v>
      </c>
      <c r="O5" s="46" t="n">
        <f aca="false">(INDEX(Assumptions!$B$36:$B$48,MATCH(AK5,Assumptions!$A$36:$A$48,0))+IF(I5="Yes",Assumptions!$B$23,0)+IF(J5="Yes",Assumptions!$B$24,0))*(1+IF(UPPER(Assumptions!$B$31)="WORST",Assumptions!$B$28,IF(UPPER(Assumptions!$B$31)="BEST",Assumptions!$B$30,Assumptions!$B$29)))</f>
        <v>2035</v>
      </c>
      <c r="P5" s="47" t="n">
        <f aca="false">L5*O5</f>
        <v>15270640</v>
      </c>
      <c r="Q5" s="47" t="n">
        <f aca="false">D5</f>
        <v>4375000</v>
      </c>
      <c r="R5" s="47" t="n">
        <f aca="false">L5*Assumptions!$B$4</f>
        <v>5252800</v>
      </c>
      <c r="S5" s="47" t="n">
        <f aca="false">IF(H5="Yes",Assumptions!$B$6*(D5),(L5)*Assumptions!$B$5)</f>
        <v>218750</v>
      </c>
      <c r="T5" s="47" t="n">
        <f aca="false">AP5*(Assumptions!$B$8*N5*Assumptions!$B$9+Assumptions!$B$10)</f>
        <v>864034.7625</v>
      </c>
      <c r="U5" s="47" t="n">
        <f aca="false">Q5*Assumptions!$B$11*N5</f>
        <v>105000</v>
      </c>
      <c r="V5" s="47" t="n">
        <f aca="false">P5*(Assumptions!$B$12+Assumptions!$B$13)</f>
        <v>619987.984</v>
      </c>
      <c r="W5" s="47" t="n">
        <f aca="false">P5*IF(P5&gt;=Assumptions!$B$16,Assumptions!$B$17,IF(P5&gt;=Assumptions!$B$14,Assumptions!$B$15,0))</f>
        <v>839885.2</v>
      </c>
      <c r="X5" s="48" t="n">
        <f aca="false">SUM(Q5:W5)</f>
        <v>12275457.9465</v>
      </c>
      <c r="Y5" s="48" t="n">
        <f aca="false">P5-X5</f>
        <v>2995182.0535</v>
      </c>
      <c r="Z5" s="49" t="n">
        <f aca="false">IF(X5=0,0,Y5/X5)</f>
        <v>0.243997581723947</v>
      </c>
      <c r="AA5" s="47" t="n">
        <f aca="false">MAX(0,(P5/(1+Assumptions!$B$27)-(L5*(Assumptions!$B$4+IF(H5="Yes",0,Assumptions!$B$5)))*(1+(Assumptions!$B$7*(Assumptions!$B$8*N5*Assumptions!$B$9+Assumptions!$B$10)))-P5*(Assumptions!$B$12+Assumptions!$B$13+IF(P5&gt;=Assumptions!$B$16,Assumptions!$B$17,IF(P5&gt;=Assumptions!$B$14,Assumptions!$B$15,0))))/((1+IF(H5="Yes",Assumptions!$B$6,0))*(1+(Assumptions!$B$7*(Assumptions!$B$8*N5*Assumptions!$B$9+Assumptions!$B$10)))+Assumptions!$B$11*N5))</f>
        <v>5235412.63985109</v>
      </c>
      <c r="AB5" s="50" t="n">
        <f aca="false">IF(AA5&lt;=0,"no price works",D5/AA5)</f>
        <v>0.835655238843683</v>
      </c>
      <c r="AC5" s="46" t="n">
        <f aca="false">(INDEX(Assumptions!$B$36:$B$48,MATCH(AK5,Assumptions!$A$36:$A$48,0))+IF(I5="Yes",Assumptions!$B$23,0)+IF(J5="Yes",Assumptions!$B$24,0))*(1+Assumptions!$B$28)</f>
        <v>1850</v>
      </c>
      <c r="AD5" s="47" t="n">
        <f aca="false">(L5)*AC5-(((D5)+(L5)*Assumptions!$B$4+IF(H5="Yes",Assumptions!$B$6*(D5),(L5)*Assumptions!$B$5))*(1+Assumptions!$B$7*(Assumptions!$B$8*(N5)*Assumptions!$B$9+Assumptions!$B$10))+(D5)*Assumptions!$B$11*(N5)+(L5)*AC5*(Assumptions!$B$12+Assumptions!$B$13+IF((L5)*AC5&gt;=Assumptions!$B$16,Assumptions!$B$17,IF((L5)*AC5&gt;=Assumptions!$B$14,Assumptions!$B$15,0))))</f>
        <v>1739657.7975</v>
      </c>
      <c r="AE5" s="46" t="n">
        <f aca="false">(INDEX(Assumptions!$B$36:$B$48,MATCH(AK5,Assumptions!$A$36:$A$48,0))+IF(I5="Yes",Assumptions!$B$23,0)+IF(J5="Yes",Assumptions!$B$24,0))*(1+Assumptions!$B$29)</f>
        <v>2035</v>
      </c>
      <c r="AF5" s="47" t="n">
        <f aca="false">(L5)*AE5-(((D5)+(L5)*Assumptions!$B$4+IF(H5="Yes",Assumptions!$B$6*(D5),(L5)*Assumptions!$B$5))*(1+Assumptions!$B$7*(Assumptions!$B$8*(N5)*Assumptions!$B$9+Assumptions!$B$10))+(D5)*Assumptions!$B$11*(N5)+(L5)*AE5*(Assumptions!$B$12+Assumptions!$B$13+IF((L5)*AE5&gt;=Assumptions!$B$16,Assumptions!$B$17,IF((L5)*AE5&gt;=Assumptions!$B$14,Assumptions!$B$15,0))))</f>
        <v>2995182.0535</v>
      </c>
      <c r="AG5" s="46" t="n">
        <f aca="false">(INDEX(Assumptions!$B$36:$B$48,MATCH(AK5,Assumptions!$A$36:$A$48,0))+IF(I5="Yes",Assumptions!$B$23,0)+IF(J5="Yes",Assumptions!$B$24,0))*(1+Assumptions!$B$30)</f>
        <v>2220</v>
      </c>
      <c r="AH5" s="47" t="n">
        <f aca="false">(L5)*AG5-(((D5)+(L5)*Assumptions!$B$4+IF(H5="Yes",Assumptions!$B$6*(D5),(L5)*Assumptions!$B$5))*(1+Assumptions!$B$7*(Assumptions!$B$8*(N5)*Assumptions!$B$9+Assumptions!$B$10))+(D5)*Assumptions!$B$11*(N5)+(L5)*AG5*(Assumptions!$B$12+Assumptions!$B$13+IF((L5)*AG5&gt;=Assumptions!$B$16,Assumptions!$B$17,IF((L5)*AG5&gt;=Assumptions!$B$14,Assumptions!$B$15,0))))</f>
        <v>4250706.3095</v>
      </c>
      <c r="AI5" s="47" t="n">
        <f aca="false">(L5)*AE5-(((D5)+(L5)*Assumptions!$B$25+IF(H5="Yes",Assumptions!$B$6*(D5),(L5)*Assumptions!$B$5))*(1+Assumptions!$B$7*(Assumptions!$B$8*(N5)*Assumptions!$B$9+Assumptions!$B$10))+(D5)*Assumptions!$B$11*(N5)+(L5)*AE5*(Assumptions!$B$12+Assumptions!$B$13+IF((L5)*AE5&gt;=Assumptions!$B$16,Assumptions!$B$17,IF((L5)*AE5&gt;=Assumptions!$B$14,Assumptions!$B$15,0))))</f>
        <v>3403305.8535</v>
      </c>
      <c r="AJ5" s="47" t="n">
        <f aca="false">(L5)*AE5-(((D5)+(L5)*Assumptions!$B$26+IF(H5="Yes",Assumptions!$B$6*(D5),(L5)*Assumptions!$B$5))*(1+Assumptions!$B$7*(Assumptions!$B$8*(N5)*Assumptions!$B$9+Assumptions!$B$10))+(D5)*Assumptions!$B$11*(N5)+(L5)*AE5*(Assumptions!$B$12+Assumptions!$B$13+IF((L5)*AE5&gt;=Assumptions!$B$16,Assumptions!$B$17,IF((L5)*AE5&gt;=Assumptions!$B$14,Assumptions!$B$15,0))))</f>
        <v>3811429.6535</v>
      </c>
      <c r="AK5" s="40" t="s">
        <v>82</v>
      </c>
      <c r="AL5" s="45" t="n">
        <f aca="false">IF(G5&gt;0,G5,ROUND(F5*Assumptions!$B$18,0))</f>
        <v>7504</v>
      </c>
      <c r="AM5" s="45" t="n">
        <f aca="false">IF(H5="Yes",AL5,MAX(AL5,MIN(Assumptions!$B$20,ROUND(E5*Assumptions!$B$19,0))))</f>
        <v>7504</v>
      </c>
      <c r="AN5" s="47" t="n">
        <f aca="false">(AL5)*AE5-(((D5)+(AL5)*Assumptions!$B$4+IF(H5="Yes",Assumptions!$B$6*(D5),(AL5)*Assumptions!$B$5))*(1+Assumptions!$B$7*(Assumptions!$B$8*(Assumptions!$B$21)*Assumptions!$B$9+Assumptions!$B$10))+(D5)*Assumptions!$B$11*(Assumptions!$B$21)+(AL5)*AE5*(Assumptions!$B$12+Assumptions!$B$13+IF((AL5)*AE5&gt;=Assumptions!$B$16,Assumptions!$B$17,IF((AL5)*AE5&gt;=Assumptions!$B$14,Assumptions!$B$15,0))))</f>
        <v>2995182.0535</v>
      </c>
      <c r="AO5" s="47" t="n">
        <f aca="false">(AM5)*AE5-(((D5)+(AM5)*Assumptions!$B$4+IF(H5="Yes",Assumptions!$B$6*(D5),(AM5)*Assumptions!$B$5))*(1+Assumptions!$B$7*(Assumptions!$B$8*(IF(AM5&gt;AL5,Assumptions!$B$22,Assumptions!$B$21))*Assumptions!$B$9+Assumptions!$B$10))+(D5)*Assumptions!$B$11*(IF(AM5&gt;AL5,Assumptions!$B$22,Assumptions!$B$21))+(AM5)*AE5*(Assumptions!$B$12+Assumptions!$B$13+IF((AM5)*AE5&gt;=Assumptions!$B$16,Assumptions!$B$17,IF((AM5)*AE5&gt;=Assumptions!$B$14,Assumptions!$B$15,0))))</f>
        <v>2995182.0535</v>
      </c>
      <c r="AP5" s="47" t="n">
        <f aca="false">Assumptions!$B$7*(Q5+R5+S5)</f>
        <v>6400257.5</v>
      </c>
    </row>
    <row r="6" customFormat="false" ht="15" hidden="false" customHeight="false" outlineLevel="0" collapsed="false">
      <c r="A6" s="40" t="n">
        <v>4</v>
      </c>
      <c r="B6" s="40" t="s">
        <v>83</v>
      </c>
      <c r="C6" s="40" t="s">
        <v>70</v>
      </c>
      <c r="D6" s="41" t="n">
        <v>2795000</v>
      </c>
      <c r="E6" s="42" t="n">
        <v>13724</v>
      </c>
      <c r="F6" s="42" t="n">
        <v>4219</v>
      </c>
      <c r="G6" s="42"/>
      <c r="H6" s="43" t="s">
        <v>71</v>
      </c>
      <c r="I6" s="43" t="s">
        <v>71</v>
      </c>
      <c r="J6" s="43" t="s">
        <v>71</v>
      </c>
      <c r="K6" s="44" t="s">
        <v>84</v>
      </c>
      <c r="L6" s="45" t="n">
        <f aca="false">IF(AO6&gt;AN6,AM6,AL6)</f>
        <v>5490</v>
      </c>
      <c r="M6" s="40" t="str">
        <f aca="false">IF(AO6&gt;AN6,"Zoning estimate",IF(H6="Yes","Approved plans",IF(G6&gt;0,"Listing claim","110% old house")))</f>
        <v>Zoning estimate</v>
      </c>
      <c r="N6" s="45" t="n">
        <f aca="false">IF(AO6&gt;AN6,IF(AM6&gt;AL6,Assumptions!$B$22,Assumptions!$B$21),Assumptions!$B$21)</f>
        <v>3</v>
      </c>
      <c r="O6" s="46" t="n">
        <f aca="false">(INDEX(Assumptions!$B$36:$B$48,MATCH(AK6,Assumptions!$A$36:$A$48,0))+IF(I6="Yes",Assumptions!$B$23,0)+IF(J6="Yes",Assumptions!$B$24,0))*(1+IF(UPPER(Assumptions!$B$31)="WORST",Assumptions!$B$28,IF(UPPER(Assumptions!$B$31)="BEST",Assumptions!$B$30,Assumptions!$B$29)))</f>
        <v>2046</v>
      </c>
      <c r="P6" s="47" t="n">
        <f aca="false">L6*O6</f>
        <v>11232540</v>
      </c>
      <c r="Q6" s="47" t="n">
        <f aca="false">D6</f>
        <v>2795000</v>
      </c>
      <c r="R6" s="47" t="n">
        <f aca="false">L6*Assumptions!$B$4</f>
        <v>3843000</v>
      </c>
      <c r="S6" s="47" t="n">
        <f aca="false">IF(H6="Yes",Assumptions!$B$6*(D6),(L6)*Assumptions!$B$5)</f>
        <v>411750</v>
      </c>
      <c r="T6" s="47" t="n">
        <f aca="false">AP6*(Assumptions!$B$8*N6*Assumptions!$B$9+Assumptions!$B$10)</f>
        <v>893555.8125</v>
      </c>
      <c r="U6" s="47" t="n">
        <f aca="false">Q6*Assumptions!$B$11*N6</f>
        <v>100620</v>
      </c>
      <c r="V6" s="47" t="n">
        <f aca="false">P6*(Assumptions!$B$12+Assumptions!$B$13)</f>
        <v>456041.124</v>
      </c>
      <c r="W6" s="47" t="n">
        <f aca="false">P6*IF(P6&gt;=Assumptions!$B$16,Assumptions!$B$17,IF(P6&gt;=Assumptions!$B$14,Assumptions!$B$15,0))</f>
        <v>617789.7</v>
      </c>
      <c r="X6" s="48" t="n">
        <f aca="false">SUM(Q6:W6)</f>
        <v>9117756.6365</v>
      </c>
      <c r="Y6" s="48" t="n">
        <f aca="false">P6-X6</f>
        <v>2114783.3635</v>
      </c>
      <c r="Z6" s="49" t="n">
        <f aca="false">IF(X6=0,0,Y6/X6)</f>
        <v>0.231941194288313</v>
      </c>
      <c r="AA6" s="47" t="n">
        <f aca="false">MAX(0,(P6/(1+Assumptions!$B$27)-(L6*(Assumptions!$B$4+IF(H6="Yes",0,Assumptions!$B$5)))*(1+(Assumptions!$B$7*(Assumptions!$B$8*N6*Assumptions!$B$9+Assumptions!$B$10)))-P6*(Assumptions!$B$12+Assumptions!$B$13+IF(P6&gt;=Assumptions!$B$16,Assumptions!$B$17,IF(P6&gt;=Assumptions!$B$14,Assumptions!$B$15,0))))/((1+IF(H6="Yes",Assumptions!$B$6,0))*(1+(Assumptions!$B$7*(Assumptions!$B$8*N6*Assumptions!$B$9+Assumptions!$B$10)))+Assumptions!$B$11*N6))</f>
        <v>3353735.28312752</v>
      </c>
      <c r="AB6" s="50" t="n">
        <f aca="false">IF(AA6&lt;=0,"no price works",D6/AA6)</f>
        <v>0.833399109960023</v>
      </c>
      <c r="AC6" s="46" t="n">
        <f aca="false">(INDEX(Assumptions!$B$36:$B$48,MATCH(AK6,Assumptions!$A$36:$A$48,0))+IF(I6="Yes",Assumptions!$B$23,0)+IF(J6="Yes",Assumptions!$B$24,0))*(1+Assumptions!$B$28)</f>
        <v>1860</v>
      </c>
      <c r="AD6" s="47" t="n">
        <f aca="false">(L6)*AC6-(((D6)+(L6)*Assumptions!$B$4+IF(H6="Yes",Assumptions!$B$6*(D6),(L6)*Assumptions!$B$5))*(1+Assumptions!$B$7*(Assumptions!$B$8*(N6)*Assumptions!$B$9+Assumptions!$B$10))+(D6)*Assumptions!$B$11*(N6)+(L6)*AC6*(Assumptions!$B$12+Assumptions!$B$13+IF((L6)*AC6&gt;=Assumptions!$B$16,Assumptions!$B$17,IF((L6)*AC6&gt;=Assumptions!$B$14,Assumptions!$B$15,0))))</f>
        <v>1344435.3475</v>
      </c>
      <c r="AE6" s="46" t="n">
        <f aca="false">(INDEX(Assumptions!$B$36:$B$48,MATCH(AK6,Assumptions!$A$36:$A$48,0))+IF(I6="Yes",Assumptions!$B$23,0)+IF(J6="Yes",Assumptions!$B$24,0))*(1+Assumptions!$B$29)</f>
        <v>2046</v>
      </c>
      <c r="AF6" s="47" t="n">
        <f aca="false">(L6)*AE6-(((D6)+(L6)*Assumptions!$B$4+IF(H6="Yes",Assumptions!$B$6*(D6),(L6)*Assumptions!$B$5))*(1+Assumptions!$B$7*(Assumptions!$B$8*(N6)*Assumptions!$B$9+Assumptions!$B$10))+(D6)*Assumptions!$B$11*(N6)+(L6)*AE6*(Assumptions!$B$12+Assumptions!$B$13+IF((L6)*AE6&gt;=Assumptions!$B$16,Assumptions!$B$17,IF((L6)*AE6&gt;=Assumptions!$B$14,Assumptions!$B$15,0))))</f>
        <v>2114783.3635</v>
      </c>
      <c r="AG6" s="46" t="n">
        <f aca="false">(INDEX(Assumptions!$B$36:$B$48,MATCH(AK6,Assumptions!$A$36:$A$48,0))+IF(I6="Yes",Assumptions!$B$23,0)+IF(J6="Yes",Assumptions!$B$24,0))*(1+Assumptions!$B$30)</f>
        <v>2232</v>
      </c>
      <c r="AH6" s="47" t="n">
        <f aca="false">(L6)*AG6-(((D6)+(L6)*Assumptions!$B$4+IF(H6="Yes",Assumptions!$B$6*(D6),(L6)*Assumptions!$B$5))*(1+Assumptions!$B$7*(Assumptions!$B$8*(N6)*Assumptions!$B$9+Assumptions!$B$10))+(D6)*Assumptions!$B$11*(N6)+(L6)*AG6*(Assumptions!$B$12+Assumptions!$B$13+IF((L6)*AG6&gt;=Assumptions!$B$16,Assumptions!$B$17,IF((L6)*AG6&gt;=Assumptions!$B$14,Assumptions!$B$15,0))))</f>
        <v>3038302.3795</v>
      </c>
      <c r="AI6" s="47" t="n">
        <f aca="false">(L6)*AE6-(((D6)+(L6)*Assumptions!$B$25+IF(H6="Yes",Assumptions!$B$6*(D6),(L6)*Assumptions!$B$5))*(1+Assumptions!$B$7*(Assumptions!$B$8*(N6)*Assumptions!$B$9+Assumptions!$B$10))+(D6)*Assumptions!$B$11*(N6)+(L6)*AE6*(Assumptions!$B$12+Assumptions!$B$13+IF((L6)*AE6&gt;=Assumptions!$B$16,Assumptions!$B$17,IF((L6)*AE6&gt;=Assumptions!$B$14,Assumptions!$B$15,0))))</f>
        <v>2424076.2385</v>
      </c>
      <c r="AJ6" s="47" t="n">
        <f aca="false">(L6)*AE6-(((D6)+(L6)*Assumptions!$B$26+IF(H6="Yes",Assumptions!$B$6*(D6),(L6)*Assumptions!$B$5))*(1+Assumptions!$B$7*(Assumptions!$B$8*(N6)*Assumptions!$B$9+Assumptions!$B$10))+(D6)*Assumptions!$B$11*(N6)+(L6)*AE6*(Assumptions!$B$12+Assumptions!$B$13+IF((L6)*AE6&gt;=Assumptions!$B$16,Assumptions!$B$17,IF((L6)*AE6&gt;=Assumptions!$B$14,Assumptions!$B$15,0))))</f>
        <v>2733369.1135</v>
      </c>
      <c r="AK6" s="40" t="s">
        <v>73</v>
      </c>
      <c r="AL6" s="45" t="n">
        <f aca="false">IF(G6&gt;0,G6,ROUND(F6*Assumptions!$B$18,0))</f>
        <v>4641</v>
      </c>
      <c r="AM6" s="45" t="n">
        <f aca="false">IF(H6="Yes",AL6,MAX(AL6,MIN(Assumptions!$B$20,ROUND(E6*Assumptions!$B$19,0))))</f>
        <v>5490</v>
      </c>
      <c r="AN6" s="47" t="n">
        <f aca="false">(AL6)*AE6-(((D6)+(AL6)*Assumptions!$B$4+IF(H6="Yes",Assumptions!$B$6*(D6),(AL6)*Assumptions!$B$5))*(1+Assumptions!$B$7*(Assumptions!$B$8*(Assumptions!$B$21)*Assumptions!$B$9+Assumptions!$B$10))+(D6)*Assumptions!$B$11*(Assumptions!$B$21)+(AL6)*AE6*(Assumptions!$B$12+Assumptions!$B$13+IF((AL6)*AE6&gt;=Assumptions!$B$16,Assumptions!$B$17,IF((AL6)*AE6&gt;=Assumptions!$B$14,Assumptions!$B$15,0))))</f>
        <v>1710416.57215</v>
      </c>
      <c r="AO6" s="47" t="n">
        <f aca="false">(AM6)*AE6-(((D6)+(AM6)*Assumptions!$B$4+IF(H6="Yes",Assumptions!$B$6*(D6),(AM6)*Assumptions!$B$5))*(1+Assumptions!$B$7*(Assumptions!$B$8*(IF(AM6&gt;AL6,Assumptions!$B$22,Assumptions!$B$21))*Assumptions!$B$9+Assumptions!$B$10))+(D6)*Assumptions!$B$11*(IF(AM6&gt;AL6,Assumptions!$B$22,Assumptions!$B$21))+(AM6)*AE6*(Assumptions!$B$12+Assumptions!$B$13+IF((AM6)*AE6&gt;=Assumptions!$B$16,Assumptions!$B$17,IF((AM6)*AE6&gt;=Assumptions!$B$14,Assumptions!$B$15,0))))</f>
        <v>2114783.3635</v>
      </c>
      <c r="AP6" s="47" t="n">
        <f aca="false">Assumptions!$B$7*(Q6+R6+S6)</f>
        <v>4582337.5</v>
      </c>
    </row>
    <row r="7" customFormat="false" ht="23.85" hidden="false" customHeight="false" outlineLevel="0" collapsed="false">
      <c r="A7" s="40" t="n">
        <v>5</v>
      </c>
      <c r="B7" s="40" t="s">
        <v>85</v>
      </c>
      <c r="C7" s="40" t="s">
        <v>75</v>
      </c>
      <c r="D7" s="41" t="n">
        <v>1395000</v>
      </c>
      <c r="E7" s="42" t="n">
        <v>5556</v>
      </c>
      <c r="F7" s="42" t="n">
        <v>1302</v>
      </c>
      <c r="G7" s="42" t="n">
        <v>4270</v>
      </c>
      <c r="H7" s="43" t="s">
        <v>80</v>
      </c>
      <c r="I7" s="43" t="s">
        <v>71</v>
      </c>
      <c r="J7" s="43" t="s">
        <v>71</v>
      </c>
      <c r="K7" s="44" t="s">
        <v>86</v>
      </c>
      <c r="L7" s="45" t="n">
        <f aca="false">IF(AO7&gt;AN7,AM7,AL7)</f>
        <v>4270</v>
      </c>
      <c r="M7" s="40" t="str">
        <f aca="false">IF(AO7&gt;AN7,"Zoning estimate",IF(H7="Yes","Approved plans",IF(G7&gt;0,"Listing claim","110% old house")))</f>
        <v>Approved plans</v>
      </c>
      <c r="N7" s="45" t="n">
        <f aca="false">IF(AO7&gt;AN7,IF(AM7&gt;AL7,Assumptions!$B$22,Assumptions!$B$21),Assumptions!$B$21)</f>
        <v>2</v>
      </c>
      <c r="O7" s="46" t="n">
        <f aca="false">(INDEX(Assumptions!$B$36:$B$48,MATCH(AK7,Assumptions!$A$36:$A$48,0))+IF(I7="Yes",Assumptions!$B$23,0)+IF(J7="Yes",Assumptions!$B$24,0))*(1+IF(UPPER(Assumptions!$B$31)="WORST",Assumptions!$B$28,IF(UPPER(Assumptions!$B$31)="BEST",Assumptions!$B$30,Assumptions!$B$29)))</f>
        <v>1540</v>
      </c>
      <c r="P7" s="47" t="n">
        <f aca="false">L7*O7</f>
        <v>6575800</v>
      </c>
      <c r="Q7" s="47" t="n">
        <f aca="false">D7</f>
        <v>1395000</v>
      </c>
      <c r="R7" s="47" t="n">
        <f aca="false">L7*Assumptions!$B$4</f>
        <v>2989000</v>
      </c>
      <c r="S7" s="47" t="n">
        <f aca="false">IF(H7="Yes",Assumptions!$B$6*(D7),(L7)*Assumptions!$B$5)</f>
        <v>69750</v>
      </c>
      <c r="T7" s="47" t="n">
        <f aca="false">AP7*(Assumptions!$B$8*N7*Assumptions!$B$9+Assumptions!$B$10)</f>
        <v>390816.5625</v>
      </c>
      <c r="U7" s="47" t="n">
        <f aca="false">Q7*Assumptions!$B$11*N7</f>
        <v>33480</v>
      </c>
      <c r="V7" s="47" t="n">
        <f aca="false">P7*(Assumptions!$B$12+Assumptions!$B$13)</f>
        <v>266977.48</v>
      </c>
      <c r="W7" s="47" t="n">
        <f aca="false">P7*IF(P7&gt;=Assumptions!$B$16,Assumptions!$B$17,IF(P7&gt;=Assumptions!$B$14,Assumptions!$B$15,0))</f>
        <v>263032</v>
      </c>
      <c r="X7" s="48" t="n">
        <f aca="false">SUM(Q7:W7)</f>
        <v>5408056.0425</v>
      </c>
      <c r="Y7" s="48" t="n">
        <f aca="false">P7-X7</f>
        <v>1167743.9575</v>
      </c>
      <c r="Z7" s="49" t="n">
        <f aca="false">IF(X7=0,0,Y7/X7)</f>
        <v>0.215926748599333</v>
      </c>
      <c r="AA7" s="47" t="n">
        <f aca="false">MAX(0,(P7/(1+Assumptions!$B$27)-(L7*(Assumptions!$B$4+IF(H7="Yes",0,Assumptions!$B$5)))*(1+(Assumptions!$B$7*(Assumptions!$B$8*N7*Assumptions!$B$9+Assumptions!$B$10)))-P7*(Assumptions!$B$12+Assumptions!$B$13+IF(P7&gt;=Assumptions!$B$16,Assumptions!$B$17,IF(P7&gt;=Assumptions!$B$14,Assumptions!$B$15,0))))/((1+IF(H7="Yes",Assumptions!$B$6,0))*(1+(Assumptions!$B$7*(Assumptions!$B$8*N7*Assumptions!$B$9+Assumptions!$B$10)))+Assumptions!$B$11*N7))</f>
        <v>1660861.37056886</v>
      </c>
      <c r="AB7" s="50" t="n">
        <f aca="false">IF(AA7&lt;=0,"no price works",D7/AA7)</f>
        <v>0.839925610120129</v>
      </c>
      <c r="AC7" s="46" t="n">
        <f aca="false">(INDEX(Assumptions!$B$36:$B$48,MATCH(AK7,Assumptions!$A$36:$A$48,0))+IF(I7="Yes",Assumptions!$B$23,0)+IF(J7="Yes",Assumptions!$B$24,0))*(1+Assumptions!$B$28)</f>
        <v>1400</v>
      </c>
      <c r="AD7" s="47" t="n">
        <f aca="false">(L7)*AC7-(((D7)+(L7)*Assumptions!$B$4+IF(H7="Yes",Assumptions!$B$6*(D7),(L7)*Assumptions!$B$5))*(1+Assumptions!$B$7*(Assumptions!$B$8*(N7)*Assumptions!$B$9+Assumptions!$B$10))+(D7)*Assumptions!$B$11*(N7)+(L7)*AC7*(Assumptions!$B$12+Assumptions!$B$13+IF((L7)*AC7&gt;=Assumptions!$B$16,Assumptions!$B$17,IF((L7)*AC7&gt;=Assumptions!$B$14,Assumptions!$B$15,0))))</f>
        <v>618126.6375</v>
      </c>
      <c r="AE7" s="46" t="n">
        <f aca="false">(INDEX(Assumptions!$B$36:$B$48,MATCH(AK7,Assumptions!$A$36:$A$48,0))+IF(I7="Yes",Assumptions!$B$23,0)+IF(J7="Yes",Assumptions!$B$24,0))*(1+Assumptions!$B$29)</f>
        <v>1540</v>
      </c>
      <c r="AF7" s="47" t="n">
        <f aca="false">(L7)*AE7-(((D7)+(L7)*Assumptions!$B$4+IF(H7="Yes",Assumptions!$B$6*(D7),(L7)*Assumptions!$B$5))*(1+Assumptions!$B$7*(Assumptions!$B$8*(N7)*Assumptions!$B$9+Assumptions!$B$10))+(D7)*Assumptions!$B$11*(N7)+(L7)*AE7*(Assumptions!$B$12+Assumptions!$B$13+IF((L7)*AE7&gt;=Assumptions!$B$16,Assumptions!$B$17,IF((L7)*AE7&gt;=Assumptions!$B$14,Assumptions!$B$15,0))))</f>
        <v>1167743.9575</v>
      </c>
      <c r="AG7" s="46" t="n">
        <f aca="false">(INDEX(Assumptions!$B$36:$B$48,MATCH(AK7,Assumptions!$A$36:$A$48,0))+IF(I7="Yes",Assumptions!$B$23,0)+IF(J7="Yes",Assumptions!$B$24,0))*(1+Assumptions!$B$30)</f>
        <v>1680</v>
      </c>
      <c r="AH7" s="47" t="n">
        <f aca="false">(L7)*AG7-(((D7)+(L7)*Assumptions!$B$4+IF(H7="Yes",Assumptions!$B$6*(D7),(L7)*Assumptions!$B$5))*(1+Assumptions!$B$7*(Assumptions!$B$8*(N7)*Assumptions!$B$9+Assumptions!$B$10))+(D7)*Assumptions!$B$11*(N7)+(L7)*AG7*(Assumptions!$B$12+Assumptions!$B$13+IF((L7)*AG7&gt;=Assumptions!$B$16,Assumptions!$B$17,IF((L7)*AG7&gt;=Assumptions!$B$14,Assumptions!$B$15,0))))</f>
        <v>1717361.2775</v>
      </c>
      <c r="AI7" s="47" t="n">
        <f aca="false">(L7)*AE7-(((D7)+(L7)*Assumptions!$B$25+IF(H7="Yes",Assumptions!$B$6*(D7),(L7)*Assumptions!$B$5))*(1+Assumptions!$B$7*(Assumptions!$B$8*(N7)*Assumptions!$B$9+Assumptions!$B$10))+(D7)*Assumptions!$B$11*(N7)+(L7)*AE7*(Assumptions!$B$12+Assumptions!$B$13+IF((L7)*AE7&gt;=Assumptions!$B$16,Assumptions!$B$17,IF((L7)*AE7&gt;=Assumptions!$B$14,Assumptions!$B$15,0))))</f>
        <v>1399978.5825</v>
      </c>
      <c r="AJ7" s="47" t="n">
        <f aca="false">(L7)*AE7-(((D7)+(L7)*Assumptions!$B$26+IF(H7="Yes",Assumptions!$B$6*(D7),(L7)*Assumptions!$B$5))*(1+Assumptions!$B$7*(Assumptions!$B$8*(N7)*Assumptions!$B$9+Assumptions!$B$10))+(D7)*Assumptions!$B$11*(N7)+(L7)*AE7*(Assumptions!$B$12+Assumptions!$B$13+IF((L7)*AE7&gt;=Assumptions!$B$16,Assumptions!$B$17,IF((L7)*AE7&gt;=Assumptions!$B$14,Assumptions!$B$15,0))))</f>
        <v>1632213.2075</v>
      </c>
      <c r="AK7" s="40" t="s">
        <v>77</v>
      </c>
      <c r="AL7" s="45" t="n">
        <f aca="false">IF(G7&gt;0,G7,ROUND(F7*Assumptions!$B$18,0))</f>
        <v>4270</v>
      </c>
      <c r="AM7" s="45" t="n">
        <f aca="false">IF(H7="Yes",AL7,MAX(AL7,MIN(Assumptions!$B$20,ROUND(E7*Assumptions!$B$19,0))))</f>
        <v>4270</v>
      </c>
      <c r="AN7" s="47" t="n">
        <f aca="false">(AL7)*AE7-(((D7)+(AL7)*Assumptions!$B$4+IF(H7="Yes",Assumptions!$B$6*(D7),(AL7)*Assumptions!$B$5))*(1+Assumptions!$B$7*(Assumptions!$B$8*(Assumptions!$B$21)*Assumptions!$B$9+Assumptions!$B$10))+(D7)*Assumptions!$B$11*(Assumptions!$B$21)+(AL7)*AE7*(Assumptions!$B$12+Assumptions!$B$13+IF((AL7)*AE7&gt;=Assumptions!$B$16,Assumptions!$B$17,IF((AL7)*AE7&gt;=Assumptions!$B$14,Assumptions!$B$15,0))))</f>
        <v>1167743.9575</v>
      </c>
      <c r="AO7" s="47" t="n">
        <f aca="false">(AM7)*AE7-(((D7)+(AM7)*Assumptions!$B$4+IF(H7="Yes",Assumptions!$B$6*(D7),(AM7)*Assumptions!$B$5))*(1+Assumptions!$B$7*(Assumptions!$B$8*(IF(AM7&gt;AL7,Assumptions!$B$22,Assumptions!$B$21))*Assumptions!$B$9+Assumptions!$B$10))+(D7)*Assumptions!$B$11*(IF(AM7&gt;AL7,Assumptions!$B$22,Assumptions!$B$21))+(AM7)*AE7*(Assumptions!$B$12+Assumptions!$B$13+IF((AM7)*AE7&gt;=Assumptions!$B$16,Assumptions!$B$17,IF((AM7)*AE7&gt;=Assumptions!$B$14,Assumptions!$B$15,0))))</f>
        <v>1167743.9575</v>
      </c>
      <c r="AP7" s="47" t="n">
        <f aca="false">Assumptions!$B$7*(Q7+R7+S7)</f>
        <v>2894937.5</v>
      </c>
    </row>
    <row r="8" customFormat="false" ht="15" hidden="false" customHeight="false" outlineLevel="0" collapsed="false">
      <c r="A8" s="40" t="n">
        <v>6</v>
      </c>
      <c r="B8" s="40" t="s">
        <v>87</v>
      </c>
      <c r="C8" s="40" t="s">
        <v>70</v>
      </c>
      <c r="D8" s="41" t="n">
        <v>3750000</v>
      </c>
      <c r="E8" s="42" t="n">
        <v>18344</v>
      </c>
      <c r="F8" s="42" t="n">
        <v>3254</v>
      </c>
      <c r="G8" s="42"/>
      <c r="H8" s="43" t="s">
        <v>71</v>
      </c>
      <c r="I8" s="43" t="s">
        <v>71</v>
      </c>
      <c r="J8" s="43" t="s">
        <v>71</v>
      </c>
      <c r="K8" s="44"/>
      <c r="L8" s="45" t="n">
        <f aca="false">IF(AO8&gt;AN8,AM8,AL8)</f>
        <v>7338</v>
      </c>
      <c r="M8" s="40" t="str">
        <f aca="false">IF(AO8&gt;AN8,"Zoning estimate",IF(H8="Yes","Approved plans",IF(G8&gt;0,"Listing claim","110% old house")))</f>
        <v>Zoning estimate</v>
      </c>
      <c r="N8" s="45" t="n">
        <f aca="false">IF(AO8&gt;AN8,IF(AM8&gt;AL8,Assumptions!$B$22,Assumptions!$B$21),Assumptions!$B$21)</f>
        <v>3</v>
      </c>
      <c r="O8" s="46" t="n">
        <f aca="false">(INDEX(Assumptions!$B$36:$B$48,MATCH(AK8,Assumptions!$A$36:$A$48,0))+IF(I8="Yes",Assumptions!$B$23,0)+IF(J8="Yes",Assumptions!$B$24,0))*(1+IF(UPPER(Assumptions!$B$31)="WORST",Assumptions!$B$28,IF(UPPER(Assumptions!$B$31)="BEST",Assumptions!$B$30,Assumptions!$B$29)))</f>
        <v>2046</v>
      </c>
      <c r="P8" s="47" t="n">
        <f aca="false">L8*O8</f>
        <v>15013548</v>
      </c>
      <c r="Q8" s="47" t="n">
        <f aca="false">D8</f>
        <v>3750000</v>
      </c>
      <c r="R8" s="47" t="n">
        <f aca="false">L8*Assumptions!$B$4</f>
        <v>5136600</v>
      </c>
      <c r="S8" s="47" t="n">
        <f aca="false">IF(H8="Yes",Assumptions!$B$6*(D8),(L8)*Assumptions!$B$5)</f>
        <v>550350</v>
      </c>
      <c r="T8" s="47" t="n">
        <f aca="false">AP8*(Assumptions!$B$8*N8*Assumptions!$B$9+Assumptions!$B$10)</f>
        <v>1196133.4125</v>
      </c>
      <c r="U8" s="47" t="n">
        <f aca="false">Q8*Assumptions!$B$11*N8</f>
        <v>135000</v>
      </c>
      <c r="V8" s="47" t="n">
        <f aca="false">P8*(Assumptions!$B$12+Assumptions!$B$13)</f>
        <v>609550.0488</v>
      </c>
      <c r="W8" s="47" t="n">
        <f aca="false">P8*IF(P8&gt;=Assumptions!$B$16,Assumptions!$B$17,IF(P8&gt;=Assumptions!$B$14,Assumptions!$B$15,0))</f>
        <v>825745.14</v>
      </c>
      <c r="X8" s="48" t="n">
        <f aca="false">SUM(Q8:W8)</f>
        <v>12203378.6013</v>
      </c>
      <c r="Y8" s="48" t="n">
        <f aca="false">P8-X8</f>
        <v>2810169.3987</v>
      </c>
      <c r="Z8" s="49" t="n">
        <f aca="false">IF(X8=0,0,Y8/X8)</f>
        <v>0.230277982066429</v>
      </c>
      <c r="AA8" s="47" t="n">
        <f aca="false">MAX(0,(P8/(1+Assumptions!$B$27)-(L8*(Assumptions!$B$4+IF(H8="Yes",0,Assumptions!$B$5)))*(1+(Assumptions!$B$7*(Assumptions!$B$8*N8*Assumptions!$B$9+Assumptions!$B$10)))-P8*(Assumptions!$B$12+Assumptions!$B$13+IF(P8&gt;=Assumptions!$B$16,Assumptions!$B$17,IF(P8&gt;=Assumptions!$B$14,Assumptions!$B$15,0))))/((1+IF(H8="Yes",Assumptions!$B$6,0))*(1+(Assumptions!$B$7*(Assumptions!$B$8*N8*Assumptions!$B$9+Assumptions!$B$10)))+Assumptions!$B$11*N8))</f>
        <v>4482642.89755733</v>
      </c>
      <c r="AB8" s="50" t="n">
        <f aca="false">IF(AA8&lt;=0,"no price works",D8/AA8)</f>
        <v>0.836560057470436</v>
      </c>
      <c r="AC8" s="46" t="n">
        <f aca="false">(INDEX(Assumptions!$B$36:$B$48,MATCH(AK8,Assumptions!$A$36:$A$48,0))+IF(I8="Yes",Assumptions!$B$23,0)+IF(J8="Yes",Assumptions!$B$24,0))*(1+Assumptions!$B$28)</f>
        <v>1860</v>
      </c>
      <c r="AD8" s="47" t="n">
        <f aca="false">(L8)*AC8-(((D8)+(L8)*Assumptions!$B$4+IF(H8="Yes",Assumptions!$B$6*(D8),(L8)*Assumptions!$B$5))*(1+Assumptions!$B$7*(Assumptions!$B$8*(N8)*Assumptions!$B$9+Assumptions!$B$10))+(D8)*Assumptions!$B$11*(N8)+(L8)*AC8*(Assumptions!$B$12+Assumptions!$B$13+IF((L8)*AC8&gt;=Assumptions!$B$16,Assumptions!$B$17,IF((L8)*AC8&gt;=Assumptions!$B$14,Assumptions!$B$15,0))))</f>
        <v>1575782.7795</v>
      </c>
      <c r="AE8" s="46" t="n">
        <f aca="false">(INDEX(Assumptions!$B$36:$B$48,MATCH(AK8,Assumptions!$A$36:$A$48,0))+IF(I8="Yes",Assumptions!$B$23,0)+IF(J8="Yes",Assumptions!$B$24,0))*(1+Assumptions!$B$29)</f>
        <v>2046</v>
      </c>
      <c r="AF8" s="47" t="n">
        <f aca="false">(L8)*AE8-(((D8)+(L8)*Assumptions!$B$4+IF(H8="Yes",Assumptions!$B$6*(D8),(L8)*Assumptions!$B$5))*(1+Assumptions!$B$7*(Assumptions!$B$8*(N8)*Assumptions!$B$9+Assumptions!$B$10))+(D8)*Assumptions!$B$11*(N8)+(L8)*AE8*(Assumptions!$B$12+Assumptions!$B$13+IF((L8)*AE8&gt;=Assumptions!$B$16,Assumptions!$B$17,IF((L8)*AE8&gt;=Assumptions!$B$14,Assumptions!$B$15,0))))</f>
        <v>2810169.3987</v>
      </c>
      <c r="AG8" s="46" t="n">
        <f aca="false">(INDEX(Assumptions!$B$36:$B$48,MATCH(AK8,Assumptions!$A$36:$A$48,0))+IF(I8="Yes",Assumptions!$B$23,0)+IF(J8="Yes",Assumptions!$B$24,0))*(1+Assumptions!$B$30)</f>
        <v>2232</v>
      </c>
      <c r="AH8" s="47" t="n">
        <f aca="false">(L8)*AG8-(((D8)+(L8)*Assumptions!$B$4+IF(H8="Yes",Assumptions!$B$6*(D8),(L8)*Assumptions!$B$5))*(1+Assumptions!$B$7*(Assumptions!$B$8*(N8)*Assumptions!$B$9+Assumptions!$B$10))+(D8)*Assumptions!$B$11*(N8)+(L8)*AG8*(Assumptions!$B$12+Assumptions!$B$13+IF((L8)*AG8&gt;=Assumptions!$B$16,Assumptions!$B$17,IF((L8)*AG8&gt;=Assumptions!$B$14,Assumptions!$B$15,0))))</f>
        <v>4044556.0179</v>
      </c>
      <c r="AI8" s="47" t="n">
        <f aca="false">(L8)*AE8-(((D8)+(L8)*Assumptions!$B$25+IF(H8="Yes",Assumptions!$B$6*(D8),(L8)*Assumptions!$B$5))*(1+Assumptions!$B$7*(Assumptions!$B$8*(N8)*Assumptions!$B$9+Assumptions!$B$10))+(D8)*Assumptions!$B$11*(N8)+(L8)*AE8*(Assumptions!$B$12+Assumptions!$B$13+IF((L8)*AE8&gt;=Assumptions!$B$16,Assumptions!$B$17,IF((L8)*AE8&gt;=Assumptions!$B$14,Assumptions!$B$15,0))))</f>
        <v>3223573.9737</v>
      </c>
      <c r="AJ8" s="47" t="n">
        <f aca="false">(L8)*AE8-(((D8)+(L8)*Assumptions!$B$26+IF(H8="Yes",Assumptions!$B$6*(D8),(L8)*Assumptions!$B$5))*(1+Assumptions!$B$7*(Assumptions!$B$8*(N8)*Assumptions!$B$9+Assumptions!$B$10))+(D8)*Assumptions!$B$11*(N8)+(L8)*AE8*(Assumptions!$B$12+Assumptions!$B$13+IF((L8)*AE8&gt;=Assumptions!$B$16,Assumptions!$B$17,IF((L8)*AE8&gt;=Assumptions!$B$14,Assumptions!$B$15,0))))</f>
        <v>3636978.5487</v>
      </c>
      <c r="AK8" s="40" t="s">
        <v>73</v>
      </c>
      <c r="AL8" s="45" t="n">
        <f aca="false">IF(G8&gt;0,G8,ROUND(F8*Assumptions!$B$18,0))</f>
        <v>3579</v>
      </c>
      <c r="AM8" s="45" t="n">
        <f aca="false">IF(H8="Yes",AL8,MAX(AL8,MIN(Assumptions!$B$20,ROUND(E8*Assumptions!$B$19,0))))</f>
        <v>7338</v>
      </c>
      <c r="AN8" s="47" t="n">
        <f aca="false">(AL8)*AE8-(((D8)+(AL8)*Assumptions!$B$4+IF(H8="Yes",Assumptions!$B$6*(D8),(AL8)*Assumptions!$B$5))*(1+Assumptions!$B$7*(Assumptions!$B$8*(Assumptions!$B$21)*Assumptions!$B$9+Assumptions!$B$10))+(D8)*Assumptions!$B$11*(Assumptions!$B$21)+(AL8)*AE8*(Assumptions!$B$12+Assumptions!$B$13+IF((AL8)*AE8&gt;=Assumptions!$B$16,Assumptions!$B$17,IF((AL8)*AE8&gt;=Assumptions!$B$14,Assumptions!$B$15,0))))</f>
        <v>-453752.16915</v>
      </c>
      <c r="AO8" s="47" t="n">
        <f aca="false">(AM8)*AE8-(((D8)+(AM8)*Assumptions!$B$4+IF(H8="Yes",Assumptions!$B$6*(D8),(AM8)*Assumptions!$B$5))*(1+Assumptions!$B$7*(Assumptions!$B$8*(IF(AM8&gt;AL8,Assumptions!$B$22,Assumptions!$B$21))*Assumptions!$B$9+Assumptions!$B$10))+(D8)*Assumptions!$B$11*(IF(AM8&gt;AL8,Assumptions!$B$22,Assumptions!$B$21))+(AM8)*AE8*(Assumptions!$B$12+Assumptions!$B$13+IF((AM8)*AE8&gt;=Assumptions!$B$16,Assumptions!$B$17,IF((AM8)*AE8&gt;=Assumptions!$B$14,Assumptions!$B$15,0))))</f>
        <v>2810169.3987</v>
      </c>
      <c r="AP8" s="47" t="n">
        <f aca="false">Assumptions!$B$7*(Q8+R8+S8)</f>
        <v>6134017.5</v>
      </c>
    </row>
    <row r="9" customFormat="false" ht="23.85" hidden="false" customHeight="false" outlineLevel="0" collapsed="false">
      <c r="A9" s="40" t="n">
        <v>7</v>
      </c>
      <c r="B9" s="40" t="s">
        <v>88</v>
      </c>
      <c r="C9" s="40" t="s">
        <v>79</v>
      </c>
      <c r="D9" s="41" t="n">
        <v>4495000</v>
      </c>
      <c r="E9" s="42" t="n">
        <v>8205</v>
      </c>
      <c r="F9" s="42" t="n">
        <v>3513</v>
      </c>
      <c r="G9" s="42" t="n">
        <v>7154</v>
      </c>
      <c r="H9" s="43" t="s">
        <v>80</v>
      </c>
      <c r="I9" s="43" t="s">
        <v>71</v>
      </c>
      <c r="J9" s="43" t="s">
        <v>71</v>
      </c>
      <c r="K9" s="44" t="s">
        <v>89</v>
      </c>
      <c r="L9" s="45" t="n">
        <f aca="false">IF(AO9&gt;AN9,AM9,AL9)</f>
        <v>7154</v>
      </c>
      <c r="M9" s="40" t="str">
        <f aca="false">IF(AO9&gt;AN9,"Zoning estimate",IF(H9="Yes","Approved plans",IF(G9&gt;0,"Listing claim","110% old house")))</f>
        <v>Approved plans</v>
      </c>
      <c r="N9" s="45" t="n">
        <f aca="false">IF(AO9&gt;AN9,IF(AM9&gt;AL9,Assumptions!$B$22,Assumptions!$B$21),Assumptions!$B$21)</f>
        <v>2</v>
      </c>
      <c r="O9" s="46" t="n">
        <f aca="false">(INDEX(Assumptions!$B$36:$B$48,MATCH(AK9,Assumptions!$A$36:$A$48,0))+IF(I9="Yes",Assumptions!$B$23,0)+IF(J9="Yes",Assumptions!$B$24,0))*(1+IF(UPPER(Assumptions!$B$31)="WORST",Assumptions!$B$28,IF(UPPER(Assumptions!$B$31)="BEST",Assumptions!$B$30,Assumptions!$B$29)))</f>
        <v>2035</v>
      </c>
      <c r="P9" s="47" t="n">
        <f aca="false">L9*O9</f>
        <v>14558390</v>
      </c>
      <c r="Q9" s="47" t="n">
        <f aca="false">D9</f>
        <v>4495000</v>
      </c>
      <c r="R9" s="47" t="n">
        <f aca="false">L9*Assumptions!$B$4</f>
        <v>5007800</v>
      </c>
      <c r="S9" s="47" t="n">
        <f aca="false">IF(H9="Yes",Assumptions!$B$6*(D9),(L9)*Assumptions!$B$5)</f>
        <v>224750</v>
      </c>
      <c r="T9" s="47" t="n">
        <f aca="false">AP9*(Assumptions!$B$8*N9*Assumptions!$B$9+Assumptions!$B$10)</f>
        <v>853592.5125</v>
      </c>
      <c r="U9" s="47" t="n">
        <f aca="false">Q9*Assumptions!$B$11*N9</f>
        <v>107880</v>
      </c>
      <c r="V9" s="47" t="n">
        <f aca="false">P9*(Assumptions!$B$12+Assumptions!$B$13)</f>
        <v>591070.634</v>
      </c>
      <c r="W9" s="47" t="n">
        <f aca="false">P9*IF(P9&gt;=Assumptions!$B$16,Assumptions!$B$17,IF(P9&gt;=Assumptions!$B$14,Assumptions!$B$15,0))</f>
        <v>800711.45</v>
      </c>
      <c r="X9" s="48" t="n">
        <f aca="false">SUM(Q9:W9)</f>
        <v>12080804.5965</v>
      </c>
      <c r="Y9" s="48" t="n">
        <f aca="false">P9-X9</f>
        <v>2477585.4035</v>
      </c>
      <c r="Z9" s="49" t="n">
        <f aca="false">IF(X9=0,0,Y9/X9)</f>
        <v>0.205084469640192</v>
      </c>
      <c r="AA9" s="47" t="n">
        <f aca="false">MAX(0,(P9/(1+Assumptions!$B$27)-(L9*(Assumptions!$B$4+IF(H9="Yes",0,Assumptions!$B$5)))*(1+(Assumptions!$B$7*(Assumptions!$B$8*N9*Assumptions!$B$9+Assumptions!$B$10)))-P9*(Assumptions!$B$12+Assumptions!$B$13+IF(P9&gt;=Assumptions!$B$16,Assumptions!$B$17,IF(P9&gt;=Assumptions!$B$14,Assumptions!$B$15,0))))/((1+IF(H9="Yes",Assumptions!$B$6,0))*(1+(Assumptions!$B$7*(Assumptions!$B$8*N9*Assumptions!$B$9+Assumptions!$B$10)))+Assumptions!$B$11*N9))</f>
        <v>4991223.61746998</v>
      </c>
      <c r="AB9" s="50" t="n">
        <f aca="false">IF(AA9&lt;=0,"no price works",D9/AA9)</f>
        <v>0.900580768264294</v>
      </c>
      <c r="AC9" s="46" t="n">
        <f aca="false">(INDEX(Assumptions!$B$36:$B$48,MATCH(AK9,Assumptions!$A$36:$A$48,0))+IF(I9="Yes",Assumptions!$B$23,0)+IF(J9="Yes",Assumptions!$B$24,0))*(1+Assumptions!$B$28)</f>
        <v>1850</v>
      </c>
      <c r="AD9" s="47" t="n">
        <f aca="false">(L9)*AC9-(((D9)+(L9)*Assumptions!$B$4+IF(H9="Yes",Assumptions!$B$6*(D9),(L9)*Assumptions!$B$5))*(1+Assumptions!$B$7*(Assumptions!$B$8*(N9)*Assumptions!$B$9+Assumptions!$B$10))+(D9)*Assumptions!$B$11*(N9)+(L9)*AC9*(Assumptions!$B$12+Assumptions!$B$13+IF((L9)*AC9&gt;=Assumptions!$B$16,Assumptions!$B$17,IF((L9)*AC9&gt;=Assumptions!$B$14,Assumptions!$B$15,0))))</f>
        <v>1280621.0475</v>
      </c>
      <c r="AE9" s="46" t="n">
        <f aca="false">(INDEX(Assumptions!$B$36:$B$48,MATCH(AK9,Assumptions!$A$36:$A$48,0))+IF(I9="Yes",Assumptions!$B$23,0)+IF(J9="Yes",Assumptions!$B$24,0))*(1+Assumptions!$B$29)</f>
        <v>2035</v>
      </c>
      <c r="AF9" s="47" t="n">
        <f aca="false">(L9)*AE9-(((D9)+(L9)*Assumptions!$B$4+IF(H9="Yes",Assumptions!$B$6*(D9),(L9)*Assumptions!$B$5))*(1+Assumptions!$B$7*(Assumptions!$B$8*(N9)*Assumptions!$B$9+Assumptions!$B$10))+(D9)*Assumptions!$B$11*(N9)+(L9)*AE9*(Assumptions!$B$12+Assumptions!$B$13+IF((L9)*AE9&gt;=Assumptions!$B$16,Assumptions!$B$17,IF((L9)*AE9&gt;=Assumptions!$B$14,Assumptions!$B$15,0))))</f>
        <v>2477585.4035</v>
      </c>
      <c r="AG9" s="46" t="n">
        <f aca="false">(INDEX(Assumptions!$B$36:$B$48,MATCH(AK9,Assumptions!$A$36:$A$48,0))+IF(I9="Yes",Assumptions!$B$23,0)+IF(J9="Yes",Assumptions!$B$24,0))*(1+Assumptions!$B$30)</f>
        <v>2220</v>
      </c>
      <c r="AH9" s="47" t="n">
        <f aca="false">(L9)*AG9-(((D9)+(L9)*Assumptions!$B$4+IF(H9="Yes",Assumptions!$B$6*(D9),(L9)*Assumptions!$B$5))*(1+Assumptions!$B$7*(Assumptions!$B$8*(N9)*Assumptions!$B$9+Assumptions!$B$10))+(D9)*Assumptions!$B$11*(N9)+(L9)*AG9*(Assumptions!$B$12+Assumptions!$B$13+IF((L9)*AG9&gt;=Assumptions!$B$16,Assumptions!$B$17,IF((L9)*AG9&gt;=Assumptions!$B$14,Assumptions!$B$15,0))))</f>
        <v>3674549.7595</v>
      </c>
      <c r="AI9" s="47" t="n">
        <f aca="false">(L9)*AE9-(((D9)+(L9)*Assumptions!$B$25+IF(H9="Yes",Assumptions!$B$6*(D9),(L9)*Assumptions!$B$5))*(1+Assumptions!$B$7*(Assumptions!$B$8*(N9)*Assumptions!$B$9+Assumptions!$B$10))+(D9)*Assumptions!$B$11*(N9)+(L9)*AE9*(Assumptions!$B$12+Assumptions!$B$13+IF((L9)*AE9&gt;=Assumptions!$B$16,Assumptions!$B$17,IF((L9)*AE9&gt;=Assumptions!$B$14,Assumptions!$B$15,0))))</f>
        <v>2866673.5785</v>
      </c>
      <c r="AJ9" s="47" t="n">
        <f aca="false">(L9)*AE9-(((D9)+(L9)*Assumptions!$B$26+IF(H9="Yes",Assumptions!$B$6*(D9),(L9)*Assumptions!$B$5))*(1+Assumptions!$B$7*(Assumptions!$B$8*(N9)*Assumptions!$B$9+Assumptions!$B$10))+(D9)*Assumptions!$B$11*(N9)+(L9)*AE9*(Assumptions!$B$12+Assumptions!$B$13+IF((L9)*AE9&gt;=Assumptions!$B$16,Assumptions!$B$17,IF((L9)*AE9&gt;=Assumptions!$B$14,Assumptions!$B$15,0))))</f>
        <v>3255761.7535</v>
      </c>
      <c r="AK9" s="40" t="s">
        <v>82</v>
      </c>
      <c r="AL9" s="45" t="n">
        <f aca="false">IF(G9&gt;0,G9,ROUND(F9*Assumptions!$B$18,0))</f>
        <v>7154</v>
      </c>
      <c r="AM9" s="45" t="n">
        <f aca="false">IF(H9="Yes",AL9,MAX(AL9,MIN(Assumptions!$B$20,ROUND(E9*Assumptions!$B$19,0))))</f>
        <v>7154</v>
      </c>
      <c r="AN9" s="47" t="n">
        <f aca="false">(AL9)*AE9-(((D9)+(AL9)*Assumptions!$B$4+IF(H9="Yes",Assumptions!$B$6*(D9),(AL9)*Assumptions!$B$5))*(1+Assumptions!$B$7*(Assumptions!$B$8*(Assumptions!$B$21)*Assumptions!$B$9+Assumptions!$B$10))+(D9)*Assumptions!$B$11*(Assumptions!$B$21)+(AL9)*AE9*(Assumptions!$B$12+Assumptions!$B$13+IF((AL9)*AE9&gt;=Assumptions!$B$16,Assumptions!$B$17,IF((AL9)*AE9&gt;=Assumptions!$B$14,Assumptions!$B$15,0))))</f>
        <v>2477585.4035</v>
      </c>
      <c r="AO9" s="47" t="n">
        <f aca="false">(AM9)*AE9-(((D9)+(AM9)*Assumptions!$B$4+IF(H9="Yes",Assumptions!$B$6*(D9),(AM9)*Assumptions!$B$5))*(1+Assumptions!$B$7*(Assumptions!$B$8*(IF(AM9&gt;AL9,Assumptions!$B$22,Assumptions!$B$21))*Assumptions!$B$9+Assumptions!$B$10))+(D9)*Assumptions!$B$11*(IF(AM9&gt;AL9,Assumptions!$B$22,Assumptions!$B$21))+(AM9)*AE9*(Assumptions!$B$12+Assumptions!$B$13+IF((AM9)*AE9&gt;=Assumptions!$B$16,Assumptions!$B$17,IF((AM9)*AE9&gt;=Assumptions!$B$14,Assumptions!$B$15,0))))</f>
        <v>2477585.4035</v>
      </c>
      <c r="AP9" s="47" t="n">
        <f aca="false">Assumptions!$B$7*(Q9+R9+S9)</f>
        <v>6322907.5</v>
      </c>
    </row>
    <row r="10" customFormat="false" ht="15" hidden="false" customHeight="false" outlineLevel="0" collapsed="false">
      <c r="A10" s="40" t="n">
        <v>8</v>
      </c>
      <c r="B10" s="40" t="s">
        <v>90</v>
      </c>
      <c r="C10" s="40" t="s">
        <v>70</v>
      </c>
      <c r="D10" s="41" t="n">
        <v>2670000</v>
      </c>
      <c r="E10" s="42" t="n">
        <v>11467</v>
      </c>
      <c r="F10" s="42" t="n">
        <v>2283</v>
      </c>
      <c r="G10" s="42"/>
      <c r="H10" s="43" t="s">
        <v>71</v>
      </c>
      <c r="I10" s="43" t="s">
        <v>80</v>
      </c>
      <c r="J10" s="43" t="s">
        <v>71</v>
      </c>
      <c r="K10" s="44"/>
      <c r="L10" s="45" t="n">
        <f aca="false">IF(AO10&gt;AN10,AM10,AL10)</f>
        <v>4587</v>
      </c>
      <c r="M10" s="40" t="str">
        <f aca="false">IF(AO10&gt;AN10,"Zoning estimate",IF(H10="Yes","Approved plans",IF(G10&gt;0,"Listing claim","110% old house")))</f>
        <v>Zoning estimate</v>
      </c>
      <c r="N10" s="45" t="n">
        <f aca="false">IF(AO10&gt;AN10,IF(AM10&gt;AL10,Assumptions!$B$22,Assumptions!$B$21),Assumptions!$B$21)</f>
        <v>3</v>
      </c>
      <c r="O10" s="46" t="n">
        <f aca="false">(INDEX(Assumptions!$B$36:$B$48,MATCH(AK10,Assumptions!$A$36:$A$48,0))+IF(I10="Yes",Assumptions!$B$23,0)+IF(J10="Yes",Assumptions!$B$24,0))*(1+IF(UPPER(Assumptions!$B$31)="WORST",Assumptions!$B$28,IF(UPPER(Assumptions!$B$31)="BEST",Assumptions!$B$30,Assumptions!$B$29)))</f>
        <v>2156</v>
      </c>
      <c r="P10" s="47" t="n">
        <f aca="false">L10*O10</f>
        <v>9889572</v>
      </c>
      <c r="Q10" s="47" t="n">
        <f aca="false">D10</f>
        <v>2670000</v>
      </c>
      <c r="R10" s="47" t="n">
        <f aca="false">L10*Assumptions!$B$4</f>
        <v>3210900</v>
      </c>
      <c r="S10" s="47" t="n">
        <f aca="false">IF(H10="Yes",Assumptions!$B$6*(D10),(L10)*Assumptions!$B$5)</f>
        <v>344025</v>
      </c>
      <c r="T10" s="47" t="n">
        <f aca="false">AP10*(Assumptions!$B$8*N10*Assumptions!$B$9+Assumptions!$B$10)</f>
        <v>789009.24375</v>
      </c>
      <c r="U10" s="47" t="n">
        <f aca="false">Q10*Assumptions!$B$11*N10</f>
        <v>96120</v>
      </c>
      <c r="V10" s="47" t="n">
        <f aca="false">P10*(Assumptions!$B$12+Assumptions!$B$13)</f>
        <v>401516.6232</v>
      </c>
      <c r="W10" s="47" t="n">
        <f aca="false">P10*IF(P10&gt;=Assumptions!$B$16,Assumptions!$B$17,IF(P10&gt;=Assumptions!$B$14,Assumptions!$B$15,0))</f>
        <v>395582.88</v>
      </c>
      <c r="X10" s="48" t="n">
        <f aca="false">SUM(Q10:W10)</f>
        <v>7907153.74695</v>
      </c>
      <c r="Y10" s="48" t="n">
        <f aca="false">P10-X10</f>
        <v>1982418.25305</v>
      </c>
      <c r="Z10" s="49" t="n">
        <f aca="false">IF(X10=0,0,Y10/X10)</f>
        <v>0.250711990242339</v>
      </c>
      <c r="AA10" s="47" t="n">
        <f aca="false">MAX(0,(P10/(1+Assumptions!$B$27)-(L10*(Assumptions!$B$4+IF(H10="Yes",0,Assumptions!$B$5)))*(1+(Assumptions!$B$7*(Assumptions!$B$8*N10*Assumptions!$B$9+Assumptions!$B$10)))-P10*(Assumptions!$B$12+Assumptions!$B$13+IF(P10&gt;=Assumptions!$B$16,Assumptions!$B$17,IF(P10&gt;=Assumptions!$B$14,Assumptions!$B$15,0))))/((1+IF(H10="Yes",Assumptions!$B$6,0))*(1+(Assumptions!$B$7*(Assumptions!$B$8*N10*Assumptions!$B$9+Assumptions!$B$10)))+Assumptions!$B$11*N10))</f>
        <v>3265548.55225711</v>
      </c>
      <c r="AB10" s="50" t="n">
        <f aca="false">IF(AA10&lt;=0,"no price works",D10/AA10)</f>
        <v>0.817626796010895</v>
      </c>
      <c r="AC10" s="46" t="n">
        <f aca="false">(INDEX(Assumptions!$B$36:$B$48,MATCH(AK10,Assumptions!$A$36:$A$48,0))+IF(I10="Yes",Assumptions!$B$23,0)+IF(J10="Yes",Assumptions!$B$24,0))*(1+Assumptions!$B$28)</f>
        <v>1960</v>
      </c>
      <c r="AD10" s="47" t="n">
        <f aca="false">(L10)*AC10-(((D10)+(L10)*Assumptions!$B$4+IF(H10="Yes",Assumptions!$B$6*(D10),(L10)*Assumptions!$B$5))*(1+Assumptions!$B$7*(Assumptions!$B$8*(N10)*Assumptions!$B$9+Assumptions!$B$10))+(D10)*Assumptions!$B$11*(N10)+(L10)*AC10*(Assumptions!$B$12+Assumptions!$B$13+IF((L10)*AC10&gt;=Assumptions!$B$16,Assumptions!$B$17,IF((L10)*AC10&gt;=Assumptions!$B$14,Assumptions!$B$15,0))))</f>
        <v>1155829.84425</v>
      </c>
      <c r="AE10" s="46" t="n">
        <f aca="false">(INDEX(Assumptions!$B$36:$B$48,MATCH(AK10,Assumptions!$A$36:$A$48,0))+IF(I10="Yes",Assumptions!$B$23,0)+IF(J10="Yes",Assumptions!$B$24,0))*(1+Assumptions!$B$29)</f>
        <v>2156</v>
      </c>
      <c r="AF10" s="47" t="n">
        <f aca="false">(L10)*AE10-(((D10)+(L10)*Assumptions!$B$4+IF(H10="Yes",Assumptions!$B$6*(D10),(L10)*Assumptions!$B$5))*(1+Assumptions!$B$7*(Assumptions!$B$8*(N10)*Assumptions!$B$9+Assumptions!$B$10))+(D10)*Assumptions!$B$11*(N10)+(L10)*AE10*(Assumptions!$B$12+Assumptions!$B$13+IF((L10)*AE10&gt;=Assumptions!$B$16,Assumptions!$B$17,IF((L10)*AE10&gt;=Assumptions!$B$14,Assumptions!$B$15,0))))</f>
        <v>1982418.25305</v>
      </c>
      <c r="AG10" s="46" t="n">
        <f aca="false">(INDEX(Assumptions!$B$36:$B$48,MATCH(AK10,Assumptions!$A$36:$A$48,0))+IF(I10="Yes",Assumptions!$B$23,0)+IF(J10="Yes",Assumptions!$B$24,0))*(1+Assumptions!$B$30)</f>
        <v>2352</v>
      </c>
      <c r="AH10" s="47" t="n">
        <f aca="false">(L10)*AG10-(((D10)+(L10)*Assumptions!$B$4+IF(H10="Yes",Assumptions!$B$6*(D10),(L10)*Assumptions!$B$5))*(1+Assumptions!$B$7*(Assumptions!$B$8*(N10)*Assumptions!$B$9+Assumptions!$B$10))+(D10)*Assumptions!$B$11*(N10)+(L10)*AG10*(Assumptions!$B$12+Assumptions!$B$13+IF((L10)*AG10&gt;=Assumptions!$B$16,Assumptions!$B$17,IF((L10)*AG10&gt;=Assumptions!$B$14,Assumptions!$B$15,0))))</f>
        <v>2809006.66185</v>
      </c>
      <c r="AI10" s="47" t="n">
        <f aca="false">(L10)*AE10-(((D10)+(L10)*Assumptions!$B$25+IF(H10="Yes",Assumptions!$B$6*(D10),(L10)*Assumptions!$B$5))*(1+Assumptions!$B$7*(Assumptions!$B$8*(N10)*Assumptions!$B$9+Assumptions!$B$10))+(D10)*Assumptions!$B$11*(N10)+(L10)*AE10*(Assumptions!$B$12+Assumptions!$B$13+IF((L10)*AE10&gt;=Assumptions!$B$16,Assumptions!$B$17,IF((L10)*AE10&gt;=Assumptions!$B$14,Assumptions!$B$15,0))))</f>
        <v>2240838.36555</v>
      </c>
      <c r="AJ10" s="47" t="n">
        <f aca="false">(L10)*AE10-(((D10)+(L10)*Assumptions!$B$26+IF(H10="Yes",Assumptions!$B$6*(D10),(L10)*Assumptions!$B$5))*(1+Assumptions!$B$7*(Assumptions!$B$8*(N10)*Assumptions!$B$9+Assumptions!$B$10))+(D10)*Assumptions!$B$11*(N10)+(L10)*AE10*(Assumptions!$B$12+Assumptions!$B$13+IF((L10)*AE10&gt;=Assumptions!$B$16,Assumptions!$B$17,IF((L10)*AE10&gt;=Assumptions!$B$14,Assumptions!$B$15,0))))</f>
        <v>2499258.47805</v>
      </c>
      <c r="AK10" s="40" t="s">
        <v>73</v>
      </c>
      <c r="AL10" s="45" t="n">
        <f aca="false">IF(G10&gt;0,G10,ROUND(F10*Assumptions!$B$18,0))</f>
        <v>2511</v>
      </c>
      <c r="AM10" s="45" t="n">
        <f aca="false">IF(H10="Yes",AL10,MAX(AL10,MIN(Assumptions!$B$20,ROUND(E10*Assumptions!$B$19,0))))</f>
        <v>4587</v>
      </c>
      <c r="AN10" s="47" t="n">
        <f aca="false">(AL10)*AE10-(((D10)+(AL10)*Assumptions!$B$4+IF(H10="Yes",Assumptions!$B$6*(D10),(AL10)*Assumptions!$B$5))*(1+Assumptions!$B$7*(Assumptions!$B$8*(Assumptions!$B$21)*Assumptions!$B$9+Assumptions!$B$10))+(D10)*Assumptions!$B$11*(Assumptions!$B$21)+(AL10)*AE10*(Assumptions!$B$12+Assumptions!$B$13+IF((AL10)*AE10&gt;=Assumptions!$B$16,Assumptions!$B$17,IF((AL10)*AE10&gt;=Assumptions!$B$14,Assumptions!$B$15,0))))</f>
        <v>-107790.70335</v>
      </c>
      <c r="AO10" s="47" t="n">
        <f aca="false">(AM10)*AE10-(((D10)+(AM10)*Assumptions!$B$4+IF(H10="Yes",Assumptions!$B$6*(D10),(AM10)*Assumptions!$B$5))*(1+Assumptions!$B$7*(Assumptions!$B$8*(IF(AM10&gt;AL10,Assumptions!$B$22,Assumptions!$B$21))*Assumptions!$B$9+Assumptions!$B$10))+(D10)*Assumptions!$B$11*(IF(AM10&gt;AL10,Assumptions!$B$22,Assumptions!$B$21))+(AM10)*AE10*(Assumptions!$B$12+Assumptions!$B$13+IF((AM10)*AE10&gt;=Assumptions!$B$16,Assumptions!$B$17,IF((AM10)*AE10&gt;=Assumptions!$B$14,Assumptions!$B$15,0))))</f>
        <v>1982418.25305</v>
      </c>
      <c r="AP10" s="47" t="n">
        <f aca="false">Assumptions!$B$7*(Q10+R10+S10)</f>
        <v>4046201.25</v>
      </c>
    </row>
    <row r="11" customFormat="false" ht="15" hidden="false" customHeight="false" outlineLevel="0" collapsed="false">
      <c r="A11" s="40" t="n">
        <v>9</v>
      </c>
      <c r="B11" s="40" t="s">
        <v>91</v>
      </c>
      <c r="C11" s="40" t="s">
        <v>75</v>
      </c>
      <c r="D11" s="41" t="n">
        <v>999000</v>
      </c>
      <c r="E11" s="42" t="n">
        <v>7813</v>
      </c>
      <c r="F11" s="42" t="n">
        <v>1044</v>
      </c>
      <c r="G11" s="42"/>
      <c r="H11" s="43" t="s">
        <v>71</v>
      </c>
      <c r="I11" s="43" t="s">
        <v>80</v>
      </c>
      <c r="J11" s="43" t="s">
        <v>71</v>
      </c>
      <c r="K11" s="44" t="s">
        <v>92</v>
      </c>
      <c r="L11" s="45" t="n">
        <f aca="false">IF(AO11&gt;AN11,AM11,AL11)</f>
        <v>3125</v>
      </c>
      <c r="M11" s="40" t="str">
        <f aca="false">IF(AO11&gt;AN11,"Zoning estimate",IF(H11="Yes","Approved plans",IF(G11&gt;0,"Listing claim","110% old house")))</f>
        <v>Zoning estimate</v>
      </c>
      <c r="N11" s="45" t="n">
        <f aca="false">IF(AO11&gt;AN11,IF(AM11&gt;AL11,Assumptions!$B$22,Assumptions!$B$21),Assumptions!$B$21)</f>
        <v>3</v>
      </c>
      <c r="O11" s="46" t="n">
        <f aca="false">(INDEX(Assumptions!$B$36:$B$48,MATCH(AK11,Assumptions!$A$36:$A$48,0))+IF(I11="Yes",Assumptions!$B$23,0)+IF(J11="Yes",Assumptions!$B$24,0))*(1+IF(UPPER(Assumptions!$B$31)="WORST",Assumptions!$B$28,IF(UPPER(Assumptions!$B$31)="BEST",Assumptions!$B$30,Assumptions!$B$29)))</f>
        <v>1650</v>
      </c>
      <c r="P11" s="47" t="n">
        <f aca="false">L11*O11</f>
        <v>5156250</v>
      </c>
      <c r="Q11" s="47" t="n">
        <f aca="false">D11</f>
        <v>999000</v>
      </c>
      <c r="R11" s="47" t="n">
        <f aca="false">L11*Assumptions!$B$4</f>
        <v>2187500</v>
      </c>
      <c r="S11" s="47" t="n">
        <f aca="false">IF(H11="Yes",Assumptions!$B$6*(D11),(L11)*Assumptions!$B$5)</f>
        <v>234375</v>
      </c>
      <c r="T11" s="47" t="n">
        <f aca="false">AP11*(Assumptions!$B$8*N11*Assumptions!$B$9+Assumptions!$B$10)</f>
        <v>433595.90625</v>
      </c>
      <c r="U11" s="47" t="n">
        <f aca="false">Q11*Assumptions!$B$11*N11</f>
        <v>35964</v>
      </c>
      <c r="V11" s="47" t="n">
        <f aca="false">P11*(Assumptions!$B$12+Assumptions!$B$13)</f>
        <v>209343.75</v>
      </c>
      <c r="W11" s="47" t="n">
        <f aca="false">P11*IF(P11&gt;=Assumptions!$B$16,Assumptions!$B$17,IF(P11&gt;=Assumptions!$B$14,Assumptions!$B$15,0))</f>
        <v>0</v>
      </c>
      <c r="X11" s="48" t="n">
        <f aca="false">SUM(Q11:W11)</f>
        <v>4099778.65625</v>
      </c>
      <c r="Y11" s="48" t="n">
        <f aca="false">P11-X11</f>
        <v>1056471.34375</v>
      </c>
      <c r="Z11" s="49" t="n">
        <f aca="false">IF(X11=0,0,Y11/X11)</f>
        <v>0.257689849216479</v>
      </c>
      <c r="AA11" s="47" t="n">
        <f aca="false">MAX(0,(P11/(1+Assumptions!$B$27)-(L11*(Assumptions!$B$4+IF(H11="Yes",0,Assumptions!$B$5)))*(1+(Assumptions!$B$7*(Assumptions!$B$8*N11*Assumptions!$B$9+Assumptions!$B$10)))-P11*(Assumptions!$B$12+Assumptions!$B$13+IF(P11&gt;=Assumptions!$B$16,Assumptions!$B$17,IF(P11&gt;=Assumptions!$B$14,Assumptions!$B$15,0))))/((1+IF(H11="Yes",Assumptions!$B$6,0))*(1+(Assumptions!$B$7*(Assumptions!$B$8*N11*Assumptions!$B$9+Assumptions!$B$10)))+Assumptions!$B$11*N11))</f>
        <v>1329180.17280061</v>
      </c>
      <c r="AB11" s="50" t="n">
        <f aca="false">IF(AA11&lt;=0,"no price works",D11/AA11)</f>
        <v>0.751591108897662</v>
      </c>
      <c r="AC11" s="46" t="n">
        <f aca="false">(INDEX(Assumptions!$B$36:$B$48,MATCH(AK11,Assumptions!$A$36:$A$48,0))+IF(I11="Yes",Assumptions!$B$23,0)+IF(J11="Yes",Assumptions!$B$24,0))*(1+Assumptions!$B$28)</f>
        <v>1500</v>
      </c>
      <c r="AD11" s="47" t="n">
        <f aca="false">(L11)*AC11-(((D11)+(L11)*Assumptions!$B$4+IF(H11="Yes",Assumptions!$B$6*(D11),(L11)*Assumptions!$B$5))*(1+Assumptions!$B$7*(Assumptions!$B$8*(N11)*Assumptions!$B$9+Assumptions!$B$10))+(D11)*Assumptions!$B$11*(N11)+(L11)*AC11*(Assumptions!$B$12+Assumptions!$B$13+IF((L11)*AC11&gt;=Assumptions!$B$16,Assumptions!$B$17,IF((L11)*AC11&gt;=Assumptions!$B$14,Assumptions!$B$15,0))))</f>
        <v>606752.593750001</v>
      </c>
      <c r="AE11" s="46" t="n">
        <f aca="false">(INDEX(Assumptions!$B$36:$B$48,MATCH(AK11,Assumptions!$A$36:$A$48,0))+IF(I11="Yes",Assumptions!$B$23,0)+IF(J11="Yes",Assumptions!$B$24,0))*(1+Assumptions!$B$29)</f>
        <v>1650</v>
      </c>
      <c r="AF11" s="47" t="n">
        <f aca="false">(L11)*AE11-(((D11)+(L11)*Assumptions!$B$4+IF(H11="Yes",Assumptions!$B$6*(D11),(L11)*Assumptions!$B$5))*(1+Assumptions!$B$7*(Assumptions!$B$8*(N11)*Assumptions!$B$9+Assumptions!$B$10))+(D11)*Assumptions!$B$11*(N11)+(L11)*AE11*(Assumptions!$B$12+Assumptions!$B$13+IF((L11)*AE11&gt;=Assumptions!$B$16,Assumptions!$B$17,IF((L11)*AE11&gt;=Assumptions!$B$14,Assumptions!$B$15,0))))</f>
        <v>1056471.34375</v>
      </c>
      <c r="AG11" s="46" t="n">
        <f aca="false">(INDEX(Assumptions!$B$36:$B$48,MATCH(AK11,Assumptions!$A$36:$A$48,0))+IF(I11="Yes",Assumptions!$B$23,0)+IF(J11="Yes",Assumptions!$B$24,0))*(1+Assumptions!$B$30)</f>
        <v>1800</v>
      </c>
      <c r="AH11" s="47" t="n">
        <f aca="false">(L11)*AG11-(((D11)+(L11)*Assumptions!$B$4+IF(H11="Yes",Assumptions!$B$6*(D11),(L11)*Assumptions!$B$5))*(1+Assumptions!$B$7*(Assumptions!$B$8*(N11)*Assumptions!$B$9+Assumptions!$B$10))+(D11)*Assumptions!$B$11*(N11)+(L11)*AG11*(Assumptions!$B$12+Assumptions!$B$13+IF((L11)*AG11&gt;=Assumptions!$B$16,Assumptions!$B$17,IF((L11)*AG11&gt;=Assumptions!$B$14,Assumptions!$B$15,0))))</f>
        <v>1281190.09375</v>
      </c>
      <c r="AI11" s="47" t="n">
        <f aca="false">(L11)*AE11-(((D11)+(L11)*Assumptions!$B$25+IF(H11="Yes",Assumptions!$B$6*(D11),(L11)*Assumptions!$B$5))*(1+Assumptions!$B$7*(Assumptions!$B$8*(N11)*Assumptions!$B$9+Assumptions!$B$10))+(D11)*Assumptions!$B$11*(N11)+(L11)*AE11*(Assumptions!$B$12+Assumptions!$B$13+IF((L11)*AE11&gt;=Assumptions!$B$16,Assumptions!$B$17,IF((L11)*AE11&gt;=Assumptions!$B$14,Assumptions!$B$15,0))))</f>
        <v>1232526.03125</v>
      </c>
      <c r="AJ11" s="47" t="n">
        <f aca="false">(L11)*AE11-(((D11)+(L11)*Assumptions!$B$26+IF(H11="Yes",Assumptions!$B$6*(D11),(L11)*Assumptions!$B$5))*(1+Assumptions!$B$7*(Assumptions!$B$8*(N11)*Assumptions!$B$9+Assumptions!$B$10))+(D11)*Assumptions!$B$11*(N11)+(L11)*AE11*(Assumptions!$B$12+Assumptions!$B$13+IF((L11)*AE11&gt;=Assumptions!$B$16,Assumptions!$B$17,IF((L11)*AE11&gt;=Assumptions!$B$14,Assumptions!$B$15,0))))</f>
        <v>1408580.71875</v>
      </c>
      <c r="AK11" s="40" t="s">
        <v>77</v>
      </c>
      <c r="AL11" s="45" t="n">
        <f aca="false">IF(G11&gt;0,G11,ROUND(F11*Assumptions!$B$18,0))</f>
        <v>1148</v>
      </c>
      <c r="AM11" s="45" t="n">
        <f aca="false">IF(H11="Yes",AL11,MAX(AL11,MIN(Assumptions!$B$20,ROUND(E11*Assumptions!$B$19,0))))</f>
        <v>3125</v>
      </c>
      <c r="AN11" s="47" t="n">
        <f aca="false">(AL11)*AE11-(((D11)+(AL11)*Assumptions!$B$4+IF(H11="Yes",Assumptions!$B$6*(D11),(AL11)*Assumptions!$B$5))*(1+Assumptions!$B$7*(Assumptions!$B$8*(Assumptions!$B$21)*Assumptions!$B$9+Assumptions!$B$10))+(D11)*Assumptions!$B$11*(Assumptions!$B$21)+(AL11)*AE11*(Assumptions!$B$12+Assumptions!$B$13+IF((AL11)*AE11&gt;=Assumptions!$B$16,Assumptions!$B$17,IF((AL11)*AE11&gt;=Assumptions!$B$14,Assumptions!$B$15,0))))</f>
        <v>-261113.945</v>
      </c>
      <c r="AO11" s="47" t="n">
        <f aca="false">(AM11)*AE11-(((D11)+(AM11)*Assumptions!$B$4+IF(H11="Yes",Assumptions!$B$6*(D11),(AM11)*Assumptions!$B$5))*(1+Assumptions!$B$7*(Assumptions!$B$8*(IF(AM11&gt;AL11,Assumptions!$B$22,Assumptions!$B$21))*Assumptions!$B$9+Assumptions!$B$10))+(D11)*Assumptions!$B$11*(IF(AM11&gt;AL11,Assumptions!$B$22,Assumptions!$B$21))+(AM11)*AE11*(Assumptions!$B$12+Assumptions!$B$13+IF((AM11)*AE11&gt;=Assumptions!$B$16,Assumptions!$B$17,IF((AM11)*AE11&gt;=Assumptions!$B$14,Assumptions!$B$15,0))))</f>
        <v>1056471.34375</v>
      </c>
      <c r="AP11" s="47" t="n">
        <f aca="false">Assumptions!$B$7*(Q11+R11+S11)</f>
        <v>2223568.75</v>
      </c>
    </row>
    <row r="12" customFormat="false" ht="15" hidden="false" customHeight="false" outlineLevel="0" collapsed="false">
      <c r="A12" s="40" t="n">
        <v>10</v>
      </c>
      <c r="B12" s="40" t="s">
        <v>93</v>
      </c>
      <c r="C12" s="40" t="s">
        <v>75</v>
      </c>
      <c r="D12" s="41" t="n">
        <v>990000</v>
      </c>
      <c r="E12" s="42" t="n">
        <v>7400</v>
      </c>
      <c r="F12" s="42" t="n">
        <v>1694</v>
      </c>
      <c r="G12" s="42"/>
      <c r="H12" s="43" t="s">
        <v>71</v>
      </c>
      <c r="I12" s="43" t="s">
        <v>71</v>
      </c>
      <c r="J12" s="43" t="s">
        <v>71</v>
      </c>
      <c r="K12" s="44" t="s">
        <v>94</v>
      </c>
      <c r="L12" s="45" t="n">
        <f aca="false">IF(AO12&gt;AN12,AM12,AL12)</f>
        <v>2960</v>
      </c>
      <c r="M12" s="40" t="str">
        <f aca="false">IF(AO12&gt;AN12,"Zoning estimate",IF(H12="Yes","Approved plans",IF(G12&gt;0,"Listing claim","110% old house")))</f>
        <v>Zoning estimate</v>
      </c>
      <c r="N12" s="45" t="n">
        <f aca="false">IF(AO12&gt;AN12,IF(AM12&gt;AL12,Assumptions!$B$22,Assumptions!$B$21),Assumptions!$B$21)</f>
        <v>3</v>
      </c>
      <c r="O12" s="46" t="n">
        <f aca="false">(INDEX(Assumptions!$B$36:$B$48,MATCH(AK12,Assumptions!$A$36:$A$48,0))+IF(I12="Yes",Assumptions!$B$23,0)+IF(J12="Yes",Assumptions!$B$24,0))*(1+IF(UPPER(Assumptions!$B$31)="WORST",Assumptions!$B$28,IF(UPPER(Assumptions!$B$31)="BEST",Assumptions!$B$30,Assumptions!$B$29)))</f>
        <v>1540</v>
      </c>
      <c r="P12" s="47" t="n">
        <f aca="false">L12*O12</f>
        <v>4558400</v>
      </c>
      <c r="Q12" s="47" t="n">
        <f aca="false">D12</f>
        <v>990000</v>
      </c>
      <c r="R12" s="47" t="n">
        <f aca="false">L12*Assumptions!$B$4</f>
        <v>2072000</v>
      </c>
      <c r="S12" s="47" t="n">
        <f aca="false">IF(H12="Yes",Assumptions!$B$6*(D12),(L12)*Assumptions!$B$5)</f>
        <v>222000</v>
      </c>
      <c r="T12" s="47" t="n">
        <f aca="false">AP12*(Assumptions!$B$8*N12*Assumptions!$B$9+Assumptions!$B$10)</f>
        <v>416247</v>
      </c>
      <c r="U12" s="47" t="n">
        <f aca="false">Q12*Assumptions!$B$11*N12</f>
        <v>35640</v>
      </c>
      <c r="V12" s="47" t="n">
        <f aca="false">P12*(Assumptions!$B$12+Assumptions!$B$13)</f>
        <v>185071.04</v>
      </c>
      <c r="W12" s="47" t="n">
        <f aca="false">P12*IF(P12&gt;=Assumptions!$B$16,Assumptions!$B$17,IF(P12&gt;=Assumptions!$B$14,Assumptions!$B$15,0))</f>
        <v>0</v>
      </c>
      <c r="X12" s="48" t="n">
        <f aca="false">SUM(Q12:W12)</f>
        <v>3920958.04</v>
      </c>
      <c r="Y12" s="48" t="n">
        <f aca="false">P12-X12</f>
        <v>637441.960000001</v>
      </c>
      <c r="Z12" s="49" t="n">
        <f aca="false">IF(X12=0,0,Y12/X12)</f>
        <v>0.162573012385514</v>
      </c>
      <c r="AA12" s="47" t="n">
        <f aca="false">MAX(0,(P12/(1+Assumptions!$B$27)-(L12*(Assumptions!$B$4+IF(H12="Yes",0,Assumptions!$B$5)))*(1+(Assumptions!$B$7*(Assumptions!$B$8*N12*Assumptions!$B$9+Assumptions!$B$10)))-P12*(Assumptions!$B$12+Assumptions!$B$13+IF(P12&gt;=Assumptions!$B$16,Assumptions!$B$17,IF(P12&gt;=Assumptions!$B$14,Assumptions!$B$15,0))))/((1+IF(H12="Yes",Assumptions!$B$6,0))*(1+(Assumptions!$B$7*(Assumptions!$B$8*N12*Assumptions!$B$9+Assumptions!$B$10)))+Assumptions!$B$11*N12))</f>
        <v>1026867.81075599</v>
      </c>
      <c r="AB12" s="50" t="n">
        <f aca="false">IF(AA12&lt;=0,"no price works",D12/AA12)</f>
        <v>0.964096828851959</v>
      </c>
      <c r="AC12" s="46" t="n">
        <f aca="false">(INDEX(Assumptions!$B$36:$B$48,MATCH(AK12,Assumptions!$A$36:$A$48,0))+IF(I12="Yes",Assumptions!$B$23,0)+IF(J12="Yes",Assumptions!$B$24,0))*(1+Assumptions!$B$28)</f>
        <v>1400</v>
      </c>
      <c r="AD12" s="47" t="n">
        <f aca="false">(L12)*AC12-(((D12)+(L12)*Assumptions!$B$4+IF(H12="Yes",Assumptions!$B$6*(D12),(L12)*Assumptions!$B$5))*(1+Assumptions!$B$7*(Assumptions!$B$8*(N12)*Assumptions!$B$9+Assumptions!$B$10))+(D12)*Assumptions!$B$11*(N12)+(L12)*AC12*(Assumptions!$B$12+Assumptions!$B$13+IF((L12)*AC12&gt;=Assumptions!$B$16,Assumptions!$B$17,IF((L12)*AC12&gt;=Assumptions!$B$14,Assumptions!$B$15,0))))</f>
        <v>239866.600000001</v>
      </c>
      <c r="AE12" s="46" t="n">
        <f aca="false">(INDEX(Assumptions!$B$36:$B$48,MATCH(AK12,Assumptions!$A$36:$A$48,0))+IF(I12="Yes",Assumptions!$B$23,0)+IF(J12="Yes",Assumptions!$B$24,0))*(1+Assumptions!$B$29)</f>
        <v>1540</v>
      </c>
      <c r="AF12" s="47" t="n">
        <f aca="false">(L12)*AE12-(((D12)+(L12)*Assumptions!$B$4+IF(H12="Yes",Assumptions!$B$6*(D12),(L12)*Assumptions!$B$5))*(1+Assumptions!$B$7*(Assumptions!$B$8*(N12)*Assumptions!$B$9+Assumptions!$B$10))+(D12)*Assumptions!$B$11*(N12)+(L12)*AE12*(Assumptions!$B$12+Assumptions!$B$13+IF((L12)*AE12&gt;=Assumptions!$B$16,Assumptions!$B$17,IF((L12)*AE12&gt;=Assumptions!$B$14,Assumptions!$B$15,0))))</f>
        <v>637441.960000001</v>
      </c>
      <c r="AG12" s="46" t="n">
        <f aca="false">(INDEX(Assumptions!$B$36:$B$48,MATCH(AK12,Assumptions!$A$36:$A$48,0))+IF(I12="Yes",Assumptions!$B$23,0)+IF(J12="Yes",Assumptions!$B$24,0))*(1+Assumptions!$B$30)</f>
        <v>1680</v>
      </c>
      <c r="AH12" s="47" t="n">
        <f aca="false">(L12)*AG12-(((D12)+(L12)*Assumptions!$B$4+IF(H12="Yes",Assumptions!$B$6*(D12),(L12)*Assumptions!$B$5))*(1+Assumptions!$B$7*(Assumptions!$B$8*(N12)*Assumptions!$B$9+Assumptions!$B$10))+(D12)*Assumptions!$B$11*(N12)+(L12)*AG12*(Assumptions!$B$12+Assumptions!$B$13+IF((L12)*AG12&gt;=Assumptions!$B$16,Assumptions!$B$17,IF((L12)*AG12&gt;=Assumptions!$B$14,Assumptions!$B$15,0))))</f>
        <v>1035017.32</v>
      </c>
      <c r="AI12" s="47" t="n">
        <f aca="false">(L12)*AE12-(((D12)+(L12)*Assumptions!$B$25+IF(H12="Yes",Assumptions!$B$6*(D12),(L12)*Assumptions!$B$5))*(1+Assumptions!$B$7*(Assumptions!$B$8*(N12)*Assumptions!$B$9+Assumptions!$B$10))+(D12)*Assumptions!$B$11*(N12)+(L12)*AE12*(Assumptions!$B$12+Assumptions!$B$13+IF((L12)*AE12&gt;=Assumptions!$B$16,Assumptions!$B$17,IF((L12)*AE12&gt;=Assumptions!$B$14,Assumptions!$B$15,0))))</f>
        <v>804200.960000001</v>
      </c>
      <c r="AJ12" s="47" t="n">
        <f aca="false">(L12)*AE12-(((D12)+(L12)*Assumptions!$B$26+IF(H12="Yes",Assumptions!$B$6*(D12),(L12)*Assumptions!$B$5))*(1+Assumptions!$B$7*(Assumptions!$B$8*(N12)*Assumptions!$B$9+Assumptions!$B$10))+(D12)*Assumptions!$B$11*(N12)+(L12)*AE12*(Assumptions!$B$12+Assumptions!$B$13+IF((L12)*AE12&gt;=Assumptions!$B$16,Assumptions!$B$17,IF((L12)*AE12&gt;=Assumptions!$B$14,Assumptions!$B$15,0))))</f>
        <v>970959.960000001</v>
      </c>
      <c r="AK12" s="40" t="s">
        <v>77</v>
      </c>
      <c r="AL12" s="45" t="n">
        <f aca="false">IF(G12&gt;0,G12,ROUND(F12*Assumptions!$B$18,0))</f>
        <v>1863</v>
      </c>
      <c r="AM12" s="45" t="n">
        <f aca="false">IF(H12="Yes",AL12,MAX(AL12,MIN(Assumptions!$B$20,ROUND(E12*Assumptions!$B$19,0))))</f>
        <v>2960</v>
      </c>
      <c r="AN12" s="47" t="n">
        <f aca="false">(AL12)*AE12-(((D12)+(AL12)*Assumptions!$B$4+IF(H12="Yes",Assumptions!$B$6*(D12),(AL12)*Assumptions!$B$5))*(1+Assumptions!$B$7*(Assumptions!$B$8*(Assumptions!$B$21)*Assumptions!$B$9+Assumptions!$B$10))+(D12)*Assumptions!$B$11*(Assumptions!$B$21)+(AL12)*AE12*(Assumptions!$B$12+Assumptions!$B$13+IF((AL12)*AE12&gt;=Assumptions!$B$16,Assumptions!$B$17,IF((AL12)*AE12&gt;=Assumptions!$B$14,Assumptions!$B$15,0))))</f>
        <v>81384.6442500008</v>
      </c>
      <c r="AO12" s="47" t="n">
        <f aca="false">(AM12)*AE12-(((D12)+(AM12)*Assumptions!$B$4+IF(H12="Yes",Assumptions!$B$6*(D12),(AM12)*Assumptions!$B$5))*(1+Assumptions!$B$7*(Assumptions!$B$8*(IF(AM12&gt;AL12,Assumptions!$B$22,Assumptions!$B$21))*Assumptions!$B$9+Assumptions!$B$10))+(D12)*Assumptions!$B$11*(IF(AM12&gt;AL12,Assumptions!$B$22,Assumptions!$B$21))+(AM12)*AE12*(Assumptions!$B$12+Assumptions!$B$13+IF((AM12)*AE12&gt;=Assumptions!$B$16,Assumptions!$B$17,IF((AM12)*AE12&gt;=Assumptions!$B$14,Assumptions!$B$15,0))))</f>
        <v>637441.960000001</v>
      </c>
      <c r="AP12" s="47" t="n">
        <f aca="false">Assumptions!$B$7*(Q12+R12+S12)</f>
        <v>2134600</v>
      </c>
    </row>
    <row r="13" customFormat="false" ht="15" hidden="false" customHeight="false" outlineLevel="0" collapsed="false">
      <c r="A13" s="40" t="n">
        <v>11</v>
      </c>
      <c r="B13" s="40" t="s">
        <v>95</v>
      </c>
      <c r="C13" s="40" t="s">
        <v>70</v>
      </c>
      <c r="D13" s="41" t="n">
        <v>2350000</v>
      </c>
      <c r="E13" s="42" t="n">
        <v>9447</v>
      </c>
      <c r="F13" s="42" t="n">
        <v>1571</v>
      </c>
      <c r="G13" s="42"/>
      <c r="H13" s="43" t="s">
        <v>71</v>
      </c>
      <c r="I13" s="43" t="s">
        <v>71</v>
      </c>
      <c r="J13" s="43" t="s">
        <v>71</v>
      </c>
      <c r="K13" s="44" t="s">
        <v>96</v>
      </c>
      <c r="L13" s="45" t="n">
        <f aca="false">IF(AO13&gt;AN13,AM13,AL13)</f>
        <v>3779</v>
      </c>
      <c r="M13" s="40" t="str">
        <f aca="false">IF(AO13&gt;AN13,"Zoning estimate",IF(H13="Yes","Approved plans",IF(G13&gt;0,"Listing claim","110% old house")))</f>
        <v>Zoning estimate</v>
      </c>
      <c r="N13" s="45" t="n">
        <f aca="false">IF(AO13&gt;AN13,IF(AM13&gt;AL13,Assumptions!$B$22,Assumptions!$B$21),Assumptions!$B$21)</f>
        <v>3</v>
      </c>
      <c r="O13" s="46" t="n">
        <f aca="false">(INDEX(Assumptions!$B$36:$B$48,MATCH(AK13,Assumptions!$A$36:$A$48,0))+IF(I13="Yes",Assumptions!$B$23,0)+IF(J13="Yes",Assumptions!$B$24,0))*(1+IF(UPPER(Assumptions!$B$31)="WORST",Assumptions!$B$28,IF(UPPER(Assumptions!$B$31)="BEST",Assumptions!$B$30,Assumptions!$B$29)))</f>
        <v>2046</v>
      </c>
      <c r="P13" s="47" t="n">
        <f aca="false">L13*O13</f>
        <v>7731834</v>
      </c>
      <c r="Q13" s="47" t="n">
        <f aca="false">D13</f>
        <v>2350000</v>
      </c>
      <c r="R13" s="47" t="n">
        <f aca="false">L13*Assumptions!$B$4</f>
        <v>2645300</v>
      </c>
      <c r="S13" s="47" t="n">
        <f aca="false">IF(H13="Yes",Assumptions!$B$6*(D13),(L13)*Assumptions!$B$5)</f>
        <v>283425</v>
      </c>
      <c r="T13" s="47" t="n">
        <f aca="false">AP13*(Assumptions!$B$8*N13*Assumptions!$B$9+Assumptions!$B$10)</f>
        <v>669078.39375</v>
      </c>
      <c r="U13" s="47" t="n">
        <f aca="false">Q13*Assumptions!$B$11*N13</f>
        <v>84600</v>
      </c>
      <c r="V13" s="47" t="n">
        <f aca="false">P13*(Assumptions!$B$12+Assumptions!$B$13)</f>
        <v>313912.4604</v>
      </c>
      <c r="W13" s="47" t="n">
        <f aca="false">P13*IF(P13&gt;=Assumptions!$B$16,Assumptions!$B$17,IF(P13&gt;=Assumptions!$B$14,Assumptions!$B$15,0))</f>
        <v>309273.36</v>
      </c>
      <c r="X13" s="48" t="n">
        <f aca="false">SUM(Q13:W13)</f>
        <v>6655589.21415</v>
      </c>
      <c r="Y13" s="48" t="n">
        <f aca="false">P13-X13</f>
        <v>1076244.78585</v>
      </c>
      <c r="Z13" s="49" t="n">
        <f aca="false">IF(X13=0,0,Y13/X13)</f>
        <v>0.16170541047844</v>
      </c>
      <c r="AA13" s="47" t="n">
        <f aca="false">MAX(0,(P13/(1+Assumptions!$B$27)-(L13*(Assumptions!$B$4+IF(H13="Yes",0,Assumptions!$B$5)))*(1+(Assumptions!$B$7*(Assumptions!$B$8*N13*Assumptions!$B$9+Assumptions!$B$10)))-P13*(Assumptions!$B$12+Assumptions!$B$13+IF(P13&gt;=Assumptions!$B$16,Assumptions!$B$17,IF(P13&gt;=Assumptions!$B$14,Assumptions!$B$15,0))))/((1+IF(H13="Yes",Assumptions!$B$6,0))*(1+(Assumptions!$B$7*(Assumptions!$B$8*N13*Assumptions!$B$9+Assumptions!$B$10)))+Assumptions!$B$11*N13))</f>
        <v>2408262.4802352</v>
      </c>
      <c r="AB13" s="50" t="n">
        <f aca="false">IF(AA13&lt;=0,"no price works",D13/AA13)</f>
        <v>0.975807254934474</v>
      </c>
      <c r="AC13" s="46" t="n">
        <f aca="false">(INDEX(Assumptions!$B$36:$B$48,MATCH(AK13,Assumptions!$A$36:$A$48,0))+IF(I13="Yes",Assumptions!$B$23,0)+IF(J13="Yes",Assumptions!$B$24,0))*(1+Assumptions!$B$28)</f>
        <v>1860</v>
      </c>
      <c r="AD13" s="47" t="n">
        <f aca="false">(L13)*AC13-(((D13)+(L13)*Assumptions!$B$4+IF(H13="Yes",Assumptions!$B$6*(D13),(L13)*Assumptions!$B$5))*(1+Assumptions!$B$7*(Assumptions!$B$8*(N13)*Assumptions!$B$9+Assumptions!$B$10))+(D13)*Assumptions!$B$11*(N13)+(L13)*AC13*(Assumptions!$B$12+Assumptions!$B$13+IF((L13)*AC13&gt;=Assumptions!$B$16,Assumptions!$B$17,IF((L13)*AC13&gt;=Assumptions!$B$14,Assumptions!$B$15,0))))</f>
        <v>430004.04225</v>
      </c>
      <c r="AE13" s="46" t="n">
        <f aca="false">(INDEX(Assumptions!$B$36:$B$48,MATCH(AK13,Assumptions!$A$36:$A$48,0))+IF(I13="Yes",Assumptions!$B$23,0)+IF(J13="Yes",Assumptions!$B$24,0))*(1+Assumptions!$B$29)</f>
        <v>2046</v>
      </c>
      <c r="AF13" s="47" t="n">
        <f aca="false">(L13)*AE13-(((D13)+(L13)*Assumptions!$B$4+IF(H13="Yes",Assumptions!$B$6*(D13),(L13)*Assumptions!$B$5))*(1+Assumptions!$B$7*(Assumptions!$B$8*(N13)*Assumptions!$B$9+Assumptions!$B$10))+(D13)*Assumptions!$B$11*(N13)+(L13)*AE13*(Assumptions!$B$12+Assumptions!$B$13+IF((L13)*AE13&gt;=Assumptions!$B$16,Assumptions!$B$17,IF((L13)*AE13&gt;=Assumptions!$B$14,Assumptions!$B$15,0))))</f>
        <v>1076244.78585</v>
      </c>
      <c r="AG13" s="46" t="n">
        <f aca="false">(INDEX(Assumptions!$B$36:$B$48,MATCH(AK13,Assumptions!$A$36:$A$48,0))+IF(I13="Yes",Assumptions!$B$23,0)+IF(J13="Yes",Assumptions!$B$24,0))*(1+Assumptions!$B$30)</f>
        <v>2232</v>
      </c>
      <c r="AH13" s="47" t="n">
        <f aca="false">(L13)*AG13-(((D13)+(L13)*Assumptions!$B$4+IF(H13="Yes",Assumptions!$B$6*(D13),(L13)*Assumptions!$B$5))*(1+Assumptions!$B$7*(Assumptions!$B$8*(N13)*Assumptions!$B$9+Assumptions!$B$10))+(D13)*Assumptions!$B$11*(N13)+(L13)*AG13*(Assumptions!$B$12+Assumptions!$B$13+IF((L13)*AG13&gt;=Assumptions!$B$16,Assumptions!$B$17,IF((L13)*AG13&gt;=Assumptions!$B$14,Assumptions!$B$15,0))))</f>
        <v>1722485.52945</v>
      </c>
      <c r="AI13" s="47" t="n">
        <f aca="false">(L13)*AE13-(((D13)+(L13)*Assumptions!$B$25+IF(H13="Yes",Assumptions!$B$6*(D13),(L13)*Assumptions!$B$5))*(1+Assumptions!$B$7*(Assumptions!$B$8*(N13)*Assumptions!$B$9+Assumptions!$B$10))+(D13)*Assumptions!$B$11*(N13)+(L13)*AE13*(Assumptions!$B$12+Assumptions!$B$13+IF((L13)*AE13&gt;=Assumptions!$B$16,Assumptions!$B$17,IF((L13)*AE13&gt;=Assumptions!$B$14,Assumptions!$B$15,0))))</f>
        <v>1289144.19835</v>
      </c>
      <c r="AJ13" s="47" t="n">
        <f aca="false">(L13)*AE13-(((D13)+(L13)*Assumptions!$B$26+IF(H13="Yes",Assumptions!$B$6*(D13),(L13)*Assumptions!$B$5))*(1+Assumptions!$B$7*(Assumptions!$B$8*(N13)*Assumptions!$B$9+Assumptions!$B$10))+(D13)*Assumptions!$B$11*(N13)+(L13)*AE13*(Assumptions!$B$12+Assumptions!$B$13+IF((L13)*AE13&gt;=Assumptions!$B$16,Assumptions!$B$17,IF((L13)*AE13&gt;=Assumptions!$B$14,Assumptions!$B$15,0))))</f>
        <v>1502043.61085</v>
      </c>
      <c r="AK13" s="40" t="s">
        <v>73</v>
      </c>
      <c r="AL13" s="45" t="n">
        <f aca="false">IF(G13&gt;0,G13,ROUND(F13*Assumptions!$B$18,0))</f>
        <v>1728</v>
      </c>
      <c r="AM13" s="45" t="n">
        <f aca="false">IF(H13="Yes",AL13,MAX(AL13,MIN(Assumptions!$B$20,ROUND(E13*Assumptions!$B$19,0))))</f>
        <v>3779</v>
      </c>
      <c r="AN13" s="47" t="n">
        <f aca="false">(AL13)*AE13-(((D13)+(AL13)*Assumptions!$B$4+IF(H13="Yes",Assumptions!$B$6*(D13),(AL13)*Assumptions!$B$5))*(1+Assumptions!$B$7*(Assumptions!$B$8*(Assumptions!$B$21)*Assumptions!$B$9+Assumptions!$B$10))+(D13)*Assumptions!$B$11*(Assumptions!$B$21)+(AL13)*AE13*(Assumptions!$B$12+Assumptions!$B$13+IF((AL13)*AE13&gt;=Assumptions!$B$16,Assumptions!$B$17,IF((AL13)*AE13&gt;=Assumptions!$B$14,Assumptions!$B$15,0))))</f>
        <v>-677380.1128</v>
      </c>
      <c r="AO13" s="47" t="n">
        <f aca="false">(AM13)*AE13-(((D13)+(AM13)*Assumptions!$B$4+IF(H13="Yes",Assumptions!$B$6*(D13),(AM13)*Assumptions!$B$5))*(1+Assumptions!$B$7*(Assumptions!$B$8*(IF(AM13&gt;AL13,Assumptions!$B$22,Assumptions!$B$21))*Assumptions!$B$9+Assumptions!$B$10))+(D13)*Assumptions!$B$11*(IF(AM13&gt;AL13,Assumptions!$B$22,Assumptions!$B$21))+(AM13)*AE13*(Assumptions!$B$12+Assumptions!$B$13+IF((AM13)*AE13&gt;=Assumptions!$B$16,Assumptions!$B$17,IF((AM13)*AE13&gt;=Assumptions!$B$14,Assumptions!$B$15,0))))</f>
        <v>1076244.78585</v>
      </c>
      <c r="AP13" s="47" t="n">
        <f aca="false">Assumptions!$B$7*(Q13+R13+S13)</f>
        <v>3431171.25</v>
      </c>
    </row>
    <row r="14" customFormat="false" ht="15" hidden="false" customHeight="false" outlineLevel="0" collapsed="false">
      <c r="A14" s="40" t="n">
        <v>12</v>
      </c>
      <c r="B14" s="40" t="s">
        <v>97</v>
      </c>
      <c r="C14" s="40" t="s">
        <v>79</v>
      </c>
      <c r="D14" s="41" t="n">
        <v>3595000</v>
      </c>
      <c r="E14" s="42" t="n">
        <v>8630</v>
      </c>
      <c r="F14" s="42" t="n">
        <v>4929</v>
      </c>
      <c r="G14" s="42"/>
      <c r="H14" s="43" t="s">
        <v>71</v>
      </c>
      <c r="I14" s="43" t="s">
        <v>71</v>
      </c>
      <c r="J14" s="43" t="s">
        <v>71</v>
      </c>
      <c r="K14" s="44" t="s">
        <v>98</v>
      </c>
      <c r="L14" s="45" t="n">
        <f aca="false">IF(AO14&gt;AN14,AM14,AL14)</f>
        <v>5422</v>
      </c>
      <c r="M14" s="40" t="str">
        <f aca="false">IF(AO14&gt;AN14,"Zoning estimate",IF(H14="Yes","Approved plans",IF(G14&gt;0,"Listing claim","110% old house")))</f>
        <v>110% old house</v>
      </c>
      <c r="N14" s="45" t="n">
        <f aca="false">IF(AO14&gt;AN14,IF(AM14&gt;AL14,Assumptions!$B$22,Assumptions!$B$21),Assumptions!$B$21)</f>
        <v>2</v>
      </c>
      <c r="O14" s="46" t="n">
        <f aca="false">(INDEX(Assumptions!$B$36:$B$48,MATCH(AK14,Assumptions!$A$36:$A$48,0))+IF(I14="Yes",Assumptions!$B$23,0)+IF(J14="Yes",Assumptions!$B$24,0))*(1+IF(UPPER(Assumptions!$B$31)="WORST",Assumptions!$B$28,IF(UPPER(Assumptions!$B$31)="BEST",Assumptions!$B$30,Assumptions!$B$29)))</f>
        <v>2035</v>
      </c>
      <c r="P14" s="47" t="n">
        <f aca="false">L14*O14</f>
        <v>11033770</v>
      </c>
      <c r="Q14" s="47" t="n">
        <f aca="false">D14</f>
        <v>3595000</v>
      </c>
      <c r="R14" s="47" t="n">
        <f aca="false">L14*Assumptions!$B$4</f>
        <v>3795400</v>
      </c>
      <c r="S14" s="47" t="n">
        <f aca="false">IF(H14="Yes",Assumptions!$B$6*(D14),(L14)*Assumptions!$B$5)</f>
        <v>406650</v>
      </c>
      <c r="T14" s="47" t="n">
        <f aca="false">AP14*(Assumptions!$B$8*N14*Assumptions!$B$9+Assumptions!$B$10)</f>
        <v>684191.1375</v>
      </c>
      <c r="U14" s="47" t="n">
        <f aca="false">Q14*Assumptions!$B$11*N14</f>
        <v>86280</v>
      </c>
      <c r="V14" s="47" t="n">
        <f aca="false">P14*(Assumptions!$B$12+Assumptions!$B$13)</f>
        <v>447971.062</v>
      </c>
      <c r="W14" s="47" t="n">
        <f aca="false">P14*IF(P14&gt;=Assumptions!$B$16,Assumptions!$B$17,IF(P14&gt;=Assumptions!$B$14,Assumptions!$B$15,0))</f>
        <v>606857.35</v>
      </c>
      <c r="X14" s="48" t="n">
        <f aca="false">SUM(Q14:W14)</f>
        <v>9622349.5495</v>
      </c>
      <c r="Y14" s="48" t="n">
        <f aca="false">P14-X14</f>
        <v>1411420.4505</v>
      </c>
      <c r="Z14" s="49" t="n">
        <f aca="false">IF(X14=0,0,Y14/X14)</f>
        <v>0.146681477661903</v>
      </c>
      <c r="AA14" s="47" t="n">
        <f aca="false">MAX(0,(P14/(1+Assumptions!$B$27)-(L14*(Assumptions!$B$4+IF(H14="Yes",0,Assumptions!$B$5)))*(1+(Assumptions!$B$7*(Assumptions!$B$8*N14*Assumptions!$B$9+Assumptions!$B$10)))-P14*(Assumptions!$B$12+Assumptions!$B$13+IF(P14&gt;=Assumptions!$B$16,Assumptions!$B$17,IF(P14&gt;=Assumptions!$B$14,Assumptions!$B$15,0))))/((1+IF(H14="Yes",Assumptions!$B$6,0))*(1+(Assumptions!$B$7*(Assumptions!$B$8*N14*Assumptions!$B$9+Assumptions!$B$10)))+Assumptions!$B$11*N14))</f>
        <v>3570024.1144103</v>
      </c>
      <c r="AB14" s="50" t="n">
        <f aca="false">IF(AA14&lt;=0,"no price works",D14/AA14)</f>
        <v>1.00699599912754</v>
      </c>
      <c r="AC14" s="46" t="n">
        <f aca="false">(INDEX(Assumptions!$B$36:$B$48,MATCH(AK14,Assumptions!$A$36:$A$48,0))+IF(I14="Yes",Assumptions!$B$23,0)+IF(J14="Yes",Assumptions!$B$24,0))*(1+Assumptions!$B$28)</f>
        <v>1850</v>
      </c>
      <c r="AD14" s="47" t="n">
        <f aca="false">(L14)*AC14-(((D14)+(L14)*Assumptions!$B$4+IF(H14="Yes",Assumptions!$B$6*(D14),(L14)*Assumptions!$B$5))*(1+Assumptions!$B$7*(Assumptions!$B$8*(N14)*Assumptions!$B$9+Assumptions!$B$10))+(D14)*Assumptions!$B$11*(N14)+(L14)*AC14*(Assumptions!$B$12+Assumptions!$B$13+IF((L14)*AC14&gt;=Assumptions!$B$16,Assumptions!$B$17,IF((L14)*AC14&gt;=Assumptions!$B$14,Assumptions!$B$15,0))))</f>
        <v>654704.442500001</v>
      </c>
      <c r="AE14" s="46" t="n">
        <f aca="false">(INDEX(Assumptions!$B$36:$B$48,MATCH(AK14,Assumptions!$A$36:$A$48,0))+IF(I14="Yes",Assumptions!$B$23,0)+IF(J14="Yes",Assumptions!$B$24,0))*(1+Assumptions!$B$29)</f>
        <v>2035</v>
      </c>
      <c r="AF14" s="47" t="n">
        <f aca="false">(L14)*AE14-(((D14)+(L14)*Assumptions!$B$4+IF(H14="Yes",Assumptions!$B$6*(D14),(L14)*Assumptions!$B$5))*(1+Assumptions!$B$7*(Assumptions!$B$8*(N14)*Assumptions!$B$9+Assumptions!$B$10))+(D14)*Assumptions!$B$11*(N14)+(L14)*AE14*(Assumptions!$B$12+Assumptions!$B$13+IF((L14)*AE14&gt;=Assumptions!$B$16,Assumptions!$B$17,IF((L14)*AE14&gt;=Assumptions!$B$14,Assumptions!$B$15,0))))</f>
        <v>1411420.4505</v>
      </c>
      <c r="AG14" s="46" t="n">
        <f aca="false">(INDEX(Assumptions!$B$36:$B$48,MATCH(AK14,Assumptions!$A$36:$A$48,0))+IF(I14="Yes",Assumptions!$B$23,0)+IF(J14="Yes",Assumptions!$B$24,0))*(1+Assumptions!$B$30)</f>
        <v>2220</v>
      </c>
      <c r="AH14" s="47" t="n">
        <f aca="false">(L14)*AG14-(((D14)+(L14)*Assumptions!$B$4+IF(H14="Yes",Assumptions!$B$6*(D14),(L14)*Assumptions!$B$5))*(1+Assumptions!$B$7*(Assumptions!$B$8*(N14)*Assumptions!$B$9+Assumptions!$B$10))+(D14)*Assumptions!$B$11*(N14)+(L14)*AG14*(Assumptions!$B$12+Assumptions!$B$13+IF((L14)*AG14&gt;=Assumptions!$B$16,Assumptions!$B$17,IF((L14)*AG14&gt;=Assumptions!$B$14,Assumptions!$B$15,0))))</f>
        <v>2318596.9585</v>
      </c>
      <c r="AI14" s="47" t="n">
        <f aca="false">(L14)*AE14-(((D14)+(L14)*Assumptions!$B$25+IF(H14="Yes",Assumptions!$B$6*(D14),(L14)*Assumptions!$B$5))*(1+Assumptions!$B$7*(Assumptions!$B$8*(N14)*Assumptions!$B$9+Assumptions!$B$10))+(D14)*Assumptions!$B$11*(N14)+(L14)*AE14*(Assumptions!$B$12+Assumptions!$B$13+IF((L14)*AE14&gt;=Assumptions!$B$16,Assumptions!$B$17,IF((L14)*AE14&gt;=Assumptions!$B$14,Assumptions!$B$15,0))))</f>
        <v>1706309.4755</v>
      </c>
      <c r="AJ14" s="47" t="n">
        <f aca="false">(L14)*AE14-(((D14)+(L14)*Assumptions!$B$26+IF(H14="Yes",Assumptions!$B$6*(D14),(L14)*Assumptions!$B$5))*(1+Assumptions!$B$7*(Assumptions!$B$8*(N14)*Assumptions!$B$9+Assumptions!$B$10))+(D14)*Assumptions!$B$11*(N14)+(L14)*AE14*(Assumptions!$B$12+Assumptions!$B$13+IF((L14)*AE14&gt;=Assumptions!$B$16,Assumptions!$B$17,IF((L14)*AE14&gt;=Assumptions!$B$14,Assumptions!$B$15,0))))</f>
        <v>2001198.5005</v>
      </c>
      <c r="AK14" s="40" t="s">
        <v>82</v>
      </c>
      <c r="AL14" s="45" t="n">
        <f aca="false">IF(G14&gt;0,G14,ROUND(F14*Assumptions!$B$18,0))</f>
        <v>5422</v>
      </c>
      <c r="AM14" s="45" t="n">
        <f aca="false">IF(H14="Yes",AL14,MAX(AL14,MIN(Assumptions!$B$20,ROUND(E14*Assumptions!$B$19,0))))</f>
        <v>5422</v>
      </c>
      <c r="AN14" s="47" t="n">
        <f aca="false">(AL14)*AE14-(((D14)+(AL14)*Assumptions!$B$4+IF(H14="Yes",Assumptions!$B$6*(D14),(AL14)*Assumptions!$B$5))*(1+Assumptions!$B$7*(Assumptions!$B$8*(Assumptions!$B$21)*Assumptions!$B$9+Assumptions!$B$10))+(D14)*Assumptions!$B$11*(Assumptions!$B$21)+(AL14)*AE14*(Assumptions!$B$12+Assumptions!$B$13+IF((AL14)*AE14&gt;=Assumptions!$B$16,Assumptions!$B$17,IF((AL14)*AE14&gt;=Assumptions!$B$14,Assumptions!$B$15,0))))</f>
        <v>1411420.4505</v>
      </c>
      <c r="AO14" s="47" t="n">
        <f aca="false">(AM14)*AE14-(((D14)+(AM14)*Assumptions!$B$4+IF(H14="Yes",Assumptions!$B$6*(D14),(AM14)*Assumptions!$B$5))*(1+Assumptions!$B$7*(Assumptions!$B$8*(IF(AM14&gt;AL14,Assumptions!$B$22,Assumptions!$B$21))*Assumptions!$B$9+Assumptions!$B$10))+(D14)*Assumptions!$B$11*(IF(AM14&gt;AL14,Assumptions!$B$22,Assumptions!$B$21))+(AM14)*AE14*(Assumptions!$B$12+Assumptions!$B$13+IF((AM14)*AE14&gt;=Assumptions!$B$16,Assumptions!$B$17,IF((AM14)*AE14&gt;=Assumptions!$B$14,Assumptions!$B$15,0))))</f>
        <v>1411420.4505</v>
      </c>
      <c r="AP14" s="47" t="n">
        <f aca="false">Assumptions!$B$7*(Q14+R14+S14)</f>
        <v>5068082.5</v>
      </c>
    </row>
    <row r="15" customFormat="false" ht="15" hidden="false" customHeight="false" outlineLevel="0" collapsed="false">
      <c r="A15" s="40" t="n">
        <v>13</v>
      </c>
      <c r="B15" s="40" t="s">
        <v>99</v>
      </c>
      <c r="C15" s="40" t="s">
        <v>75</v>
      </c>
      <c r="D15" s="41" t="n">
        <v>899000</v>
      </c>
      <c r="E15" s="42" t="n">
        <v>4946</v>
      </c>
      <c r="F15" s="42" t="n">
        <v>2052</v>
      </c>
      <c r="G15" s="42"/>
      <c r="H15" s="43" t="s">
        <v>71</v>
      </c>
      <c r="I15" s="43" t="s">
        <v>71</v>
      </c>
      <c r="J15" s="43" t="s">
        <v>71</v>
      </c>
      <c r="K15" s="44" t="s">
        <v>100</v>
      </c>
      <c r="L15" s="45" t="n">
        <f aca="false">IF(AO15&gt;AN15,AM15,AL15)</f>
        <v>2257</v>
      </c>
      <c r="M15" s="40" t="str">
        <f aca="false">IF(AO15&gt;AN15,"Zoning estimate",IF(H15="Yes","Approved plans",IF(G15&gt;0,"Listing claim","110% old house")))</f>
        <v>110% old house</v>
      </c>
      <c r="N15" s="45" t="n">
        <f aca="false">IF(AO15&gt;AN15,IF(AM15&gt;AL15,Assumptions!$B$22,Assumptions!$B$21),Assumptions!$B$21)</f>
        <v>2</v>
      </c>
      <c r="O15" s="46" t="n">
        <f aca="false">(INDEX(Assumptions!$B$36:$B$48,MATCH(AK15,Assumptions!$A$36:$A$48,0))+IF(I15="Yes",Assumptions!$B$23,0)+IF(J15="Yes",Assumptions!$B$24,0))*(1+IF(UPPER(Assumptions!$B$31)="WORST",Assumptions!$B$28,IF(UPPER(Assumptions!$B$31)="BEST",Assumptions!$B$30,Assumptions!$B$29)))</f>
        <v>1540</v>
      </c>
      <c r="P15" s="47" t="n">
        <f aca="false">L15*O15</f>
        <v>3475780</v>
      </c>
      <c r="Q15" s="47" t="n">
        <f aca="false">D15</f>
        <v>899000</v>
      </c>
      <c r="R15" s="47" t="n">
        <f aca="false">L15*Assumptions!$B$4</f>
        <v>1579900</v>
      </c>
      <c r="S15" s="47" t="n">
        <f aca="false">IF(H15="Yes",Assumptions!$B$6*(D15),(L15)*Assumptions!$B$5)</f>
        <v>169275</v>
      </c>
      <c r="T15" s="47" t="n">
        <f aca="false">AP15*(Assumptions!$B$8*N15*Assumptions!$B$9+Assumptions!$B$10)</f>
        <v>232377.35625</v>
      </c>
      <c r="U15" s="47" t="n">
        <f aca="false">Q15*Assumptions!$B$11*N15</f>
        <v>21576</v>
      </c>
      <c r="V15" s="47" t="n">
        <f aca="false">P15*(Assumptions!$B$12+Assumptions!$B$13)</f>
        <v>141116.668</v>
      </c>
      <c r="W15" s="47" t="n">
        <f aca="false">P15*IF(P15&gt;=Assumptions!$B$16,Assumptions!$B$17,IF(P15&gt;=Assumptions!$B$14,Assumptions!$B$15,0))</f>
        <v>0</v>
      </c>
      <c r="X15" s="48" t="n">
        <f aca="false">SUM(Q15:W15)</f>
        <v>3043245.02425</v>
      </c>
      <c r="Y15" s="48" t="n">
        <f aca="false">P15-X15</f>
        <v>432534.97575</v>
      </c>
      <c r="Z15" s="49" t="n">
        <f aca="false">IF(X15=0,0,Y15/X15)</f>
        <v>0.142129526969849</v>
      </c>
      <c r="AA15" s="47" t="n">
        <f aca="false">MAX(0,(P15/(1+Assumptions!$B$27)-(L15*(Assumptions!$B$4+IF(H15="Yes",0,Assumptions!$B$5)))*(1+(Assumptions!$B$7*(Assumptions!$B$8*N15*Assumptions!$B$9+Assumptions!$B$10)))-P15*(Assumptions!$B$12+Assumptions!$B$13+IF(P15&gt;=Assumptions!$B$16,Assumptions!$B$17,IF(P15&gt;=Assumptions!$B$14,Assumptions!$B$15,0))))/((1+IF(H15="Yes",Assumptions!$B$6,0))*(1+(Assumptions!$B$7*(Assumptions!$B$8*N15*Assumptions!$B$9+Assumptions!$B$10)))+Assumptions!$B$11*N15))</f>
        <v>880265.902455002</v>
      </c>
      <c r="AB15" s="50" t="n">
        <f aca="false">IF(AA15&lt;=0,"no price works",D15/AA15)</f>
        <v>1.02128231650544</v>
      </c>
      <c r="AC15" s="46" t="n">
        <f aca="false">(INDEX(Assumptions!$B$36:$B$48,MATCH(AK15,Assumptions!$A$36:$A$48,0))+IF(I15="Yes",Assumptions!$B$23,0)+IF(J15="Yes",Assumptions!$B$24,0))*(1+Assumptions!$B$28)</f>
        <v>1400</v>
      </c>
      <c r="AD15" s="47" t="n">
        <f aca="false">(L15)*AC15-(((D15)+(L15)*Assumptions!$B$4+IF(H15="Yes",Assumptions!$B$6*(D15),(L15)*Assumptions!$B$5))*(1+Assumptions!$B$7*(Assumptions!$B$8*(N15)*Assumptions!$B$9+Assumptions!$B$10))+(D15)*Assumptions!$B$11*(N15)+(L15)*AC15*(Assumptions!$B$12+Assumptions!$B$13+IF((L15)*AC15&gt;=Assumptions!$B$16,Assumptions!$B$17,IF((L15)*AC15&gt;=Assumptions!$B$14,Assumptions!$B$15,0))))</f>
        <v>129383.76375</v>
      </c>
      <c r="AE15" s="46" t="n">
        <f aca="false">(INDEX(Assumptions!$B$36:$B$48,MATCH(AK15,Assumptions!$A$36:$A$48,0))+IF(I15="Yes",Assumptions!$B$23,0)+IF(J15="Yes",Assumptions!$B$24,0))*(1+Assumptions!$B$29)</f>
        <v>1540</v>
      </c>
      <c r="AF15" s="47" t="n">
        <f aca="false">(L15)*AE15-(((D15)+(L15)*Assumptions!$B$4+IF(H15="Yes",Assumptions!$B$6*(D15),(L15)*Assumptions!$B$5))*(1+Assumptions!$B$7*(Assumptions!$B$8*(N15)*Assumptions!$B$9+Assumptions!$B$10))+(D15)*Assumptions!$B$11*(N15)+(L15)*AE15*(Assumptions!$B$12+Assumptions!$B$13+IF((L15)*AE15&gt;=Assumptions!$B$16,Assumptions!$B$17,IF((L15)*AE15&gt;=Assumptions!$B$14,Assumptions!$B$15,0))))</f>
        <v>432534.97575</v>
      </c>
      <c r="AG15" s="46" t="n">
        <f aca="false">(INDEX(Assumptions!$B$36:$B$48,MATCH(AK15,Assumptions!$A$36:$A$48,0))+IF(I15="Yes",Assumptions!$B$23,0)+IF(J15="Yes",Assumptions!$B$24,0))*(1+Assumptions!$B$30)</f>
        <v>1680</v>
      </c>
      <c r="AH15" s="47" t="n">
        <f aca="false">(L15)*AG15-(((D15)+(L15)*Assumptions!$B$4+IF(H15="Yes",Assumptions!$B$6*(D15),(L15)*Assumptions!$B$5))*(1+Assumptions!$B$7*(Assumptions!$B$8*(N15)*Assumptions!$B$9+Assumptions!$B$10))+(D15)*Assumptions!$B$11*(N15)+(L15)*AG15*(Assumptions!$B$12+Assumptions!$B$13+IF((L15)*AG15&gt;=Assumptions!$B$16,Assumptions!$B$17,IF((L15)*AG15&gt;=Assumptions!$B$14,Assumptions!$B$15,0))))</f>
        <v>735686.18775</v>
      </c>
      <c r="AI15" s="47" t="n">
        <f aca="false">(L15)*AE15-(((D15)+(L15)*Assumptions!$B$25+IF(H15="Yes",Assumptions!$B$6*(D15),(L15)*Assumptions!$B$5))*(1+Assumptions!$B$7*(Assumptions!$B$8*(N15)*Assumptions!$B$9+Assumptions!$B$10))+(D15)*Assumptions!$B$11*(N15)+(L15)*AE15*(Assumptions!$B$12+Assumptions!$B$13+IF((L15)*AE15&gt;=Assumptions!$B$16,Assumptions!$B$17,IF((L15)*AE15&gt;=Assumptions!$B$14,Assumptions!$B$15,0))))</f>
        <v>555287.563250001</v>
      </c>
      <c r="AJ15" s="47" t="n">
        <f aca="false">(L15)*AE15-(((D15)+(L15)*Assumptions!$B$26+IF(H15="Yes",Assumptions!$B$6*(D15),(L15)*Assumptions!$B$5))*(1+Assumptions!$B$7*(Assumptions!$B$8*(N15)*Assumptions!$B$9+Assumptions!$B$10))+(D15)*Assumptions!$B$11*(N15)+(L15)*AE15*(Assumptions!$B$12+Assumptions!$B$13+IF((L15)*AE15&gt;=Assumptions!$B$16,Assumptions!$B$17,IF((L15)*AE15&gt;=Assumptions!$B$14,Assumptions!$B$15,0))))</f>
        <v>678040.150750001</v>
      </c>
      <c r="AK15" s="40" t="s">
        <v>77</v>
      </c>
      <c r="AL15" s="45" t="n">
        <f aca="false">IF(G15&gt;0,G15,ROUND(F15*Assumptions!$B$18,0))</f>
        <v>2257</v>
      </c>
      <c r="AM15" s="45" t="n">
        <f aca="false">IF(H15="Yes",AL15,MAX(AL15,MIN(Assumptions!$B$20,ROUND(E15*Assumptions!$B$19,0))))</f>
        <v>2257</v>
      </c>
      <c r="AN15" s="47" t="n">
        <f aca="false">(AL15)*AE15-(((D15)+(AL15)*Assumptions!$B$4+IF(H15="Yes",Assumptions!$B$6*(D15),(AL15)*Assumptions!$B$5))*(1+Assumptions!$B$7*(Assumptions!$B$8*(Assumptions!$B$21)*Assumptions!$B$9+Assumptions!$B$10))+(D15)*Assumptions!$B$11*(Assumptions!$B$21)+(AL15)*AE15*(Assumptions!$B$12+Assumptions!$B$13+IF((AL15)*AE15&gt;=Assumptions!$B$16,Assumptions!$B$17,IF((AL15)*AE15&gt;=Assumptions!$B$14,Assumptions!$B$15,0))))</f>
        <v>432534.97575</v>
      </c>
      <c r="AO15" s="47" t="n">
        <f aca="false">(AM15)*AE15-(((D15)+(AM15)*Assumptions!$B$4+IF(H15="Yes",Assumptions!$B$6*(D15),(AM15)*Assumptions!$B$5))*(1+Assumptions!$B$7*(Assumptions!$B$8*(IF(AM15&gt;AL15,Assumptions!$B$22,Assumptions!$B$21))*Assumptions!$B$9+Assumptions!$B$10))+(D15)*Assumptions!$B$11*(IF(AM15&gt;AL15,Assumptions!$B$22,Assumptions!$B$21))+(AM15)*AE15*(Assumptions!$B$12+Assumptions!$B$13+IF((AM15)*AE15&gt;=Assumptions!$B$16,Assumptions!$B$17,IF((AM15)*AE15&gt;=Assumptions!$B$14,Assumptions!$B$15,0))))</f>
        <v>432534.97575</v>
      </c>
      <c r="AP15" s="47" t="n">
        <f aca="false">Assumptions!$B$7*(Q15+R15+S15)</f>
        <v>1721313.75</v>
      </c>
    </row>
    <row r="16" customFormat="false" ht="23.85" hidden="false" customHeight="false" outlineLevel="0" collapsed="false">
      <c r="A16" s="40" t="n">
        <v>14</v>
      </c>
      <c r="B16" s="40" t="s">
        <v>101</v>
      </c>
      <c r="C16" s="40" t="s">
        <v>102</v>
      </c>
      <c r="D16" s="41" t="n">
        <v>990000</v>
      </c>
      <c r="E16" s="42" t="n">
        <v>13699</v>
      </c>
      <c r="F16" s="42" t="n">
        <v>2061</v>
      </c>
      <c r="G16" s="42"/>
      <c r="H16" s="43" t="s">
        <v>71</v>
      </c>
      <c r="I16" s="43" t="s">
        <v>71</v>
      </c>
      <c r="J16" s="43" t="s">
        <v>71</v>
      </c>
      <c r="K16" s="44" t="s">
        <v>103</v>
      </c>
      <c r="L16" s="45" t="n">
        <f aca="false">IF(AO16&gt;AN16,AM16,AL16)</f>
        <v>5480</v>
      </c>
      <c r="M16" s="40" t="str">
        <f aca="false">IF(AO16&gt;AN16,"Zoning estimate",IF(H16="Yes","Approved plans",IF(G16&gt;0,"Listing claim","110% old house")))</f>
        <v>Zoning estimate</v>
      </c>
      <c r="N16" s="45" t="n">
        <f aca="false">IF(AO16&gt;AN16,IF(AM16&gt;AL16,Assumptions!$B$22,Assumptions!$B$21),Assumptions!$B$21)</f>
        <v>3</v>
      </c>
      <c r="O16" s="46" t="n">
        <f aca="false">(INDEX(Assumptions!$B$36:$B$48,MATCH(AK16,Assumptions!$A$36:$A$48,0))+IF(I16="Yes",Assumptions!$B$23,0)+IF(J16="Yes",Assumptions!$B$24,0))*(1+IF(UPPER(Assumptions!$B$31)="WORST",Assumptions!$B$28,IF(UPPER(Assumptions!$B$31)="BEST",Assumptions!$B$30,Assumptions!$B$29)))</f>
        <v>1375</v>
      </c>
      <c r="P16" s="47" t="n">
        <f aca="false">L16*O16</f>
        <v>7535000</v>
      </c>
      <c r="Q16" s="47" t="n">
        <f aca="false">D16</f>
        <v>990000</v>
      </c>
      <c r="R16" s="47" t="n">
        <f aca="false">L16*Assumptions!$B$4</f>
        <v>3836000</v>
      </c>
      <c r="S16" s="47" t="n">
        <f aca="false">IF(H16="Yes",Assumptions!$B$6*(D16),(L16)*Assumptions!$B$5)</f>
        <v>411000</v>
      </c>
      <c r="T16" s="47" t="n">
        <f aca="false">AP16*(Assumptions!$B$8*N16*Assumptions!$B$9+Assumptions!$B$10)</f>
        <v>663789.75</v>
      </c>
      <c r="U16" s="47" t="n">
        <f aca="false">Q16*Assumptions!$B$11*N16</f>
        <v>35640</v>
      </c>
      <c r="V16" s="47" t="n">
        <f aca="false">P16*(Assumptions!$B$12+Assumptions!$B$13)</f>
        <v>305921</v>
      </c>
      <c r="W16" s="47" t="n">
        <f aca="false">P16*IF(P16&gt;=Assumptions!$B$16,Assumptions!$B$17,IF(P16&gt;=Assumptions!$B$14,Assumptions!$B$15,0))</f>
        <v>301400</v>
      </c>
      <c r="X16" s="48" t="n">
        <f aca="false">SUM(Q16:W16)</f>
        <v>6543750.75</v>
      </c>
      <c r="Y16" s="48" t="n">
        <f aca="false">P16-X16</f>
        <v>991249.25</v>
      </c>
      <c r="Z16" s="49" t="n">
        <f aca="false">IF(X16=0,0,Y16/X16)</f>
        <v>0.15148028827351</v>
      </c>
      <c r="AA16" s="47" t="n">
        <f aca="false">MAX(0,(P16/(1+Assumptions!$B$27)-(L16*(Assumptions!$B$4+IF(H16="Yes",0,Assumptions!$B$5)))*(1+(Assumptions!$B$7*(Assumptions!$B$8*N16*Assumptions!$B$9+Assumptions!$B$10)))-P16*(Assumptions!$B$12+Assumptions!$B$13+IF(P16&gt;=Assumptions!$B$16,Assumptions!$B$17,IF(P16&gt;=Assumptions!$B$14,Assumptions!$B$15,0))))/((1+IF(H16="Yes",Assumptions!$B$6,0))*(1+(Assumptions!$B$7*(Assumptions!$B$8*N16*Assumptions!$B$9+Assumptions!$B$10)))+Assumptions!$B$11*N16))</f>
        <v>997244.173763473</v>
      </c>
      <c r="AB16" s="50" t="n">
        <f aca="false">IF(AA16&lt;=0,"no price works",D16/AA16)</f>
        <v>0.992735807383928</v>
      </c>
      <c r="AC16" s="46" t="n">
        <f aca="false">(INDEX(Assumptions!$B$36:$B$48,MATCH(AK16,Assumptions!$A$36:$A$48,0))+IF(I16="Yes",Assumptions!$B$23,0)+IF(J16="Yes",Assumptions!$B$24,0))*(1+Assumptions!$B$28)</f>
        <v>1250</v>
      </c>
      <c r="AD16" s="47" t="n">
        <f aca="false">(L16)*AC16-(((D16)+(L16)*Assumptions!$B$4+IF(H16="Yes",Assumptions!$B$6*(D16),(L16)*Assumptions!$B$5))*(1+Assumptions!$B$7*(Assumptions!$B$8*(N16)*Assumptions!$B$9+Assumptions!$B$10))+(D16)*Assumptions!$B$11*(N16)+(L16)*AC16*(Assumptions!$B$12+Assumptions!$B$13+IF((L16)*AC16&gt;=Assumptions!$B$16,Assumptions!$B$17,IF((L16)*AC16&gt;=Assumptions!$B$14,Assumptions!$B$15,0))))</f>
        <v>361460.25</v>
      </c>
      <c r="AE16" s="46" t="n">
        <f aca="false">(INDEX(Assumptions!$B$36:$B$48,MATCH(AK16,Assumptions!$A$36:$A$48,0))+IF(I16="Yes",Assumptions!$B$23,0)+IF(J16="Yes",Assumptions!$B$24,0))*(1+Assumptions!$B$29)</f>
        <v>1375</v>
      </c>
      <c r="AF16" s="47" t="n">
        <f aca="false">(L16)*AE16-(((D16)+(L16)*Assumptions!$B$4+IF(H16="Yes",Assumptions!$B$6*(D16),(L16)*Assumptions!$B$5))*(1+Assumptions!$B$7*(Assumptions!$B$8*(N16)*Assumptions!$B$9+Assumptions!$B$10))+(D16)*Assumptions!$B$11*(N16)+(L16)*AE16*(Assumptions!$B$12+Assumptions!$B$13+IF((L16)*AE16&gt;=Assumptions!$B$16,Assumptions!$B$17,IF((L16)*AE16&gt;=Assumptions!$B$14,Assumptions!$B$15,0))))</f>
        <v>991249.25</v>
      </c>
      <c r="AG16" s="46" t="n">
        <f aca="false">(INDEX(Assumptions!$B$36:$B$48,MATCH(AK16,Assumptions!$A$36:$A$48,0))+IF(I16="Yes",Assumptions!$B$23,0)+IF(J16="Yes",Assumptions!$B$24,0))*(1+Assumptions!$B$30)</f>
        <v>1500</v>
      </c>
      <c r="AH16" s="47" t="n">
        <f aca="false">(L16)*AG16-(((D16)+(L16)*Assumptions!$B$4+IF(H16="Yes",Assumptions!$B$6*(D16),(L16)*Assumptions!$B$5))*(1+Assumptions!$B$7*(Assumptions!$B$8*(N16)*Assumptions!$B$9+Assumptions!$B$10))+(D16)*Assumptions!$B$11*(N16)+(L16)*AG16*(Assumptions!$B$12+Assumptions!$B$13+IF((L16)*AG16&gt;=Assumptions!$B$16,Assumptions!$B$17,IF((L16)*AG16&gt;=Assumptions!$B$14,Assumptions!$B$15,0))))</f>
        <v>1621038.25</v>
      </c>
      <c r="AI16" s="47" t="n">
        <f aca="false">(L16)*AE16-(((D16)+(L16)*Assumptions!$B$25+IF(H16="Yes",Assumptions!$B$6*(D16),(L16)*Assumptions!$B$5))*(1+Assumptions!$B$7*(Assumptions!$B$8*(N16)*Assumptions!$B$9+Assumptions!$B$10))+(D16)*Assumptions!$B$11*(N16)+(L16)*AE16*(Assumptions!$B$12+Assumptions!$B$13+IF((L16)*AE16&gt;=Assumptions!$B$16,Assumptions!$B$17,IF((L16)*AE16&gt;=Assumptions!$B$14,Assumptions!$B$15,0))))</f>
        <v>1299978.75</v>
      </c>
      <c r="AJ16" s="47" t="n">
        <f aca="false">(L16)*AE16-(((D16)+(L16)*Assumptions!$B$26+IF(H16="Yes",Assumptions!$B$6*(D16),(L16)*Assumptions!$B$5))*(1+Assumptions!$B$7*(Assumptions!$B$8*(N16)*Assumptions!$B$9+Assumptions!$B$10))+(D16)*Assumptions!$B$11*(N16)+(L16)*AE16*(Assumptions!$B$12+Assumptions!$B$13+IF((L16)*AE16&gt;=Assumptions!$B$16,Assumptions!$B$17,IF((L16)*AE16&gt;=Assumptions!$B$14,Assumptions!$B$15,0))))</f>
        <v>1608708.25</v>
      </c>
      <c r="AK16" s="40" t="s">
        <v>104</v>
      </c>
      <c r="AL16" s="45" t="n">
        <f aca="false">IF(G16&gt;0,G16,ROUND(F16*Assumptions!$B$18,0))</f>
        <v>2267</v>
      </c>
      <c r="AM16" s="45" t="n">
        <f aca="false">IF(H16="Yes",AL16,MAX(AL16,MIN(Assumptions!$B$20,ROUND(E16*Assumptions!$B$19,0))))</f>
        <v>5480</v>
      </c>
      <c r="AN16" s="47" t="n">
        <f aca="false">(AL16)*AE16-(((D16)+(AL16)*Assumptions!$B$4+IF(H16="Yes",Assumptions!$B$6*(D16),(AL16)*Assumptions!$B$5))*(1+Assumptions!$B$7*(Assumptions!$B$8*(Assumptions!$B$21)*Assumptions!$B$9+Assumptions!$B$10))+(D16)*Assumptions!$B$11*(Assumptions!$B$21)+(AL16)*AE16*(Assumptions!$B$12+Assumptions!$B$13+IF((AL16)*AE16&gt;=Assumptions!$B$16,Assumptions!$B$17,IF((AL16)*AE16&gt;=Assumptions!$B$14,Assumptions!$B$15,0))))</f>
        <v>-21157.9437500001</v>
      </c>
      <c r="AO16" s="47" t="n">
        <f aca="false">(AM16)*AE16-(((D16)+(AM16)*Assumptions!$B$4+IF(H16="Yes",Assumptions!$B$6*(D16),(AM16)*Assumptions!$B$5))*(1+Assumptions!$B$7*(Assumptions!$B$8*(IF(AM16&gt;AL16,Assumptions!$B$22,Assumptions!$B$21))*Assumptions!$B$9+Assumptions!$B$10))+(D16)*Assumptions!$B$11*(IF(AM16&gt;AL16,Assumptions!$B$22,Assumptions!$B$21))+(AM16)*AE16*(Assumptions!$B$12+Assumptions!$B$13+IF((AM16)*AE16&gt;=Assumptions!$B$16,Assumptions!$B$17,IF((AM16)*AE16&gt;=Assumptions!$B$14,Assumptions!$B$15,0))))</f>
        <v>991249.25</v>
      </c>
      <c r="AP16" s="47" t="n">
        <f aca="false">Assumptions!$B$7*(Q16+R16+S16)</f>
        <v>3404050</v>
      </c>
    </row>
    <row r="17" customFormat="false" ht="15" hidden="false" customHeight="false" outlineLevel="0" collapsed="false">
      <c r="A17" s="40" t="n">
        <v>15</v>
      </c>
      <c r="B17" s="40" t="s">
        <v>105</v>
      </c>
      <c r="C17" s="40" t="s">
        <v>102</v>
      </c>
      <c r="D17" s="41" t="n">
        <v>1395000</v>
      </c>
      <c r="E17" s="42" t="n">
        <v>19135</v>
      </c>
      <c r="F17" s="42" t="n">
        <v>2313</v>
      </c>
      <c r="G17" s="42"/>
      <c r="H17" s="43" t="s">
        <v>71</v>
      </c>
      <c r="I17" s="43" t="s">
        <v>71</v>
      </c>
      <c r="J17" s="43" t="s">
        <v>71</v>
      </c>
      <c r="K17" s="44"/>
      <c r="L17" s="45" t="n">
        <f aca="false">IF(AO17&gt;AN17,AM17,AL17)</f>
        <v>7654</v>
      </c>
      <c r="M17" s="40" t="str">
        <f aca="false">IF(AO17&gt;AN17,"Zoning estimate",IF(H17="Yes","Approved plans",IF(G17&gt;0,"Listing claim","110% old house")))</f>
        <v>Zoning estimate</v>
      </c>
      <c r="N17" s="45" t="n">
        <f aca="false">IF(AO17&gt;AN17,IF(AM17&gt;AL17,Assumptions!$B$22,Assumptions!$B$21),Assumptions!$B$21)</f>
        <v>3</v>
      </c>
      <c r="O17" s="46" t="n">
        <f aca="false">(INDEX(Assumptions!$B$36:$B$48,MATCH(AK17,Assumptions!$A$36:$A$48,0))+IF(I17="Yes",Assumptions!$B$23,0)+IF(J17="Yes",Assumptions!$B$24,0))*(1+IF(UPPER(Assumptions!$B$31)="WORST",Assumptions!$B$28,IF(UPPER(Assumptions!$B$31)="BEST",Assumptions!$B$30,Assumptions!$B$29)))</f>
        <v>1375</v>
      </c>
      <c r="P17" s="47" t="n">
        <f aca="false">L17*O17</f>
        <v>10524250</v>
      </c>
      <c r="Q17" s="47" t="n">
        <f aca="false">D17</f>
        <v>1395000</v>
      </c>
      <c r="R17" s="47" t="n">
        <f aca="false">L17*Assumptions!$B$4</f>
        <v>5357800</v>
      </c>
      <c r="S17" s="47" t="n">
        <f aca="false">IF(H17="Yes",Assumptions!$B$6*(D17),(L17)*Assumptions!$B$5)</f>
        <v>574050</v>
      </c>
      <c r="T17" s="47" t="n">
        <f aca="false">AP17*(Assumptions!$B$8*N17*Assumptions!$B$9+Assumptions!$B$10)</f>
        <v>928678.2375</v>
      </c>
      <c r="U17" s="47" t="n">
        <f aca="false">Q17*Assumptions!$B$11*N17</f>
        <v>50220</v>
      </c>
      <c r="V17" s="47" t="n">
        <f aca="false">P17*(Assumptions!$B$12+Assumptions!$B$13)</f>
        <v>427284.55</v>
      </c>
      <c r="W17" s="47" t="n">
        <f aca="false">P17*IF(P17&gt;=Assumptions!$B$16,Assumptions!$B$17,IF(P17&gt;=Assumptions!$B$14,Assumptions!$B$15,0))</f>
        <v>420970</v>
      </c>
      <c r="X17" s="48" t="n">
        <f aca="false">SUM(Q17:W17)</f>
        <v>9154002.7875</v>
      </c>
      <c r="Y17" s="48" t="n">
        <f aca="false">P17-X17</f>
        <v>1370247.2125</v>
      </c>
      <c r="Z17" s="49" t="n">
        <f aca="false">IF(X17=0,0,Y17/X17)</f>
        <v>0.149688310601249</v>
      </c>
      <c r="AA17" s="47" t="n">
        <f aca="false">MAX(0,(P17/(1+Assumptions!$B$27)-(L17*(Assumptions!$B$4+IF(H17="Yes",0,Assumptions!$B$5)))*(1+(Assumptions!$B$7*(Assumptions!$B$8*N17*Assumptions!$B$9+Assumptions!$B$10)))-P17*(Assumptions!$B$12+Assumptions!$B$13+IF(P17&gt;=Assumptions!$B$16,Assumptions!$B$17,IF(P17&gt;=Assumptions!$B$14,Assumptions!$B$15,0))))/((1+IF(H17="Yes",Assumptions!$B$6,0))*(1+(Assumptions!$B$7*(Assumptions!$B$8*N17*Assumptions!$B$9+Assumptions!$B$10)))+Assumptions!$B$11*N17))</f>
        <v>1392866.22372001</v>
      </c>
      <c r="AB17" s="50" t="n">
        <f aca="false">IF(AA17&lt;=0,"no price works",D17/AA17)</f>
        <v>1.00153193195704</v>
      </c>
      <c r="AC17" s="46" t="n">
        <f aca="false">(INDEX(Assumptions!$B$36:$B$48,MATCH(AK17,Assumptions!$A$36:$A$48,0))+IF(I17="Yes",Assumptions!$B$23,0)+IF(J17="Yes",Assumptions!$B$24,0))*(1+Assumptions!$B$28)</f>
        <v>1250</v>
      </c>
      <c r="AD17" s="47" t="n">
        <f aca="false">(L17)*AC17-(((D17)+(L17)*Assumptions!$B$4+IF(H17="Yes",Assumptions!$B$6*(D17),(L17)*Assumptions!$B$5))*(1+Assumptions!$B$7*(Assumptions!$B$8*(N17)*Assumptions!$B$9+Assumptions!$B$10))+(D17)*Assumptions!$B$11*(N17)+(L17)*AC17*(Assumptions!$B$12+Assumptions!$B$13+IF((L17)*AC17&gt;=Assumptions!$B$16,Assumptions!$B$17,IF((L17)*AC17&gt;=Assumptions!$B$14,Assumptions!$B$15,0))))</f>
        <v>490611.262499999</v>
      </c>
      <c r="AE17" s="46" t="n">
        <f aca="false">(INDEX(Assumptions!$B$36:$B$48,MATCH(AK17,Assumptions!$A$36:$A$48,0))+IF(I17="Yes",Assumptions!$B$23,0)+IF(J17="Yes",Assumptions!$B$24,0))*(1+Assumptions!$B$29)</f>
        <v>1375</v>
      </c>
      <c r="AF17" s="47" t="n">
        <f aca="false">(L17)*AE17-(((D17)+(L17)*Assumptions!$B$4+IF(H17="Yes",Assumptions!$B$6*(D17),(L17)*Assumptions!$B$5))*(1+Assumptions!$B$7*(Assumptions!$B$8*(N17)*Assumptions!$B$9+Assumptions!$B$10))+(D17)*Assumptions!$B$11*(N17)+(L17)*AE17*(Assumptions!$B$12+Assumptions!$B$13+IF((L17)*AE17&gt;=Assumptions!$B$16,Assumptions!$B$17,IF((L17)*AE17&gt;=Assumptions!$B$14,Assumptions!$B$15,0))))</f>
        <v>1370247.2125</v>
      </c>
      <c r="AG17" s="46" t="n">
        <f aca="false">(INDEX(Assumptions!$B$36:$B$48,MATCH(AK17,Assumptions!$A$36:$A$48,0))+IF(I17="Yes",Assumptions!$B$23,0)+IF(J17="Yes",Assumptions!$B$24,0))*(1+Assumptions!$B$30)</f>
        <v>1500</v>
      </c>
      <c r="AH17" s="47" t="n">
        <f aca="false">(L17)*AG17-(((D17)+(L17)*Assumptions!$B$4+IF(H17="Yes",Assumptions!$B$6*(D17),(L17)*Assumptions!$B$5))*(1+Assumptions!$B$7*(Assumptions!$B$8*(N17)*Assumptions!$B$9+Assumptions!$B$10))+(D17)*Assumptions!$B$11*(N17)+(L17)*AG17*(Assumptions!$B$12+Assumptions!$B$13+IF((L17)*AG17&gt;=Assumptions!$B$16,Assumptions!$B$17,IF((L17)*AG17&gt;=Assumptions!$B$14,Assumptions!$B$15,0))))</f>
        <v>2077668.1625</v>
      </c>
      <c r="AI17" s="47" t="n">
        <f aca="false">(L17)*AE17-(((D17)+(L17)*Assumptions!$B$25+IF(H17="Yes",Assumptions!$B$6*(D17),(L17)*Assumptions!$B$5))*(1+Assumptions!$B$7*(Assumptions!$B$8*(N17)*Assumptions!$B$9+Assumptions!$B$10))+(D17)*Assumptions!$B$11*(N17)+(L17)*AE17*(Assumptions!$B$12+Assumptions!$B$13+IF((L17)*AE17&gt;=Assumptions!$B$16,Assumptions!$B$17,IF((L17)*AE17&gt;=Assumptions!$B$14,Assumptions!$B$15,0))))</f>
        <v>1801454.4375</v>
      </c>
      <c r="AJ17" s="47" t="n">
        <f aca="false">(L17)*AE17-(((D17)+(L17)*Assumptions!$B$26+IF(H17="Yes",Assumptions!$B$6*(D17),(L17)*Assumptions!$B$5))*(1+Assumptions!$B$7*(Assumptions!$B$8*(N17)*Assumptions!$B$9+Assumptions!$B$10))+(D17)*Assumptions!$B$11*(N17)+(L17)*AE17*(Assumptions!$B$12+Assumptions!$B$13+IF((L17)*AE17&gt;=Assumptions!$B$16,Assumptions!$B$17,IF((L17)*AE17&gt;=Assumptions!$B$14,Assumptions!$B$15,0))))</f>
        <v>2232661.6625</v>
      </c>
      <c r="AK17" s="40" t="s">
        <v>104</v>
      </c>
      <c r="AL17" s="45" t="n">
        <f aca="false">IF(G17&gt;0,G17,ROUND(F17*Assumptions!$B$18,0))</f>
        <v>2544</v>
      </c>
      <c r="AM17" s="45" t="n">
        <f aca="false">IF(H17="Yes",AL17,MAX(AL17,MIN(Assumptions!$B$20,ROUND(E17*Assumptions!$B$19,0))))</f>
        <v>7654</v>
      </c>
      <c r="AN17" s="47" t="n">
        <f aca="false">(AL17)*AE17-(((D17)+(AL17)*Assumptions!$B$4+IF(H17="Yes",Assumptions!$B$6*(D17),(AL17)*Assumptions!$B$5))*(1+Assumptions!$B$7*(Assumptions!$B$8*(Assumptions!$B$21)*Assumptions!$B$9+Assumptions!$B$10))+(D17)*Assumptions!$B$11*(Assumptions!$B$21)+(AL17)*AE17*(Assumptions!$B$12+Assumptions!$B$13+IF((AL17)*AE17&gt;=Assumptions!$B$16,Assumptions!$B$17,IF((AL17)*AE17&gt;=Assumptions!$B$14,Assumptions!$B$15,0))))</f>
        <v>-339517.95</v>
      </c>
      <c r="AO17" s="47" t="n">
        <f aca="false">(AM17)*AE17-(((D17)+(AM17)*Assumptions!$B$4+IF(H17="Yes",Assumptions!$B$6*(D17),(AM17)*Assumptions!$B$5))*(1+Assumptions!$B$7*(Assumptions!$B$8*(IF(AM17&gt;AL17,Assumptions!$B$22,Assumptions!$B$21))*Assumptions!$B$9+Assumptions!$B$10))+(D17)*Assumptions!$B$11*(IF(AM17&gt;AL17,Assumptions!$B$22,Assumptions!$B$21))+(AM17)*AE17*(Assumptions!$B$12+Assumptions!$B$13+IF((AM17)*AE17&gt;=Assumptions!$B$16,Assumptions!$B$17,IF((AM17)*AE17&gt;=Assumptions!$B$14,Assumptions!$B$15,0))))</f>
        <v>1370247.2125</v>
      </c>
      <c r="AP17" s="47" t="n">
        <f aca="false">Assumptions!$B$7*(Q17+R17+S17)</f>
        <v>4762452.5</v>
      </c>
    </row>
    <row r="18" customFormat="false" ht="15" hidden="false" customHeight="false" outlineLevel="0" collapsed="false">
      <c r="A18" s="40" t="n">
        <v>16</v>
      </c>
      <c r="B18" s="40" t="s">
        <v>106</v>
      </c>
      <c r="C18" s="40" t="s">
        <v>102</v>
      </c>
      <c r="D18" s="41" t="n">
        <v>1000000</v>
      </c>
      <c r="E18" s="42" t="n">
        <v>9003</v>
      </c>
      <c r="F18" s="42" t="n">
        <v>4085</v>
      </c>
      <c r="G18" s="42"/>
      <c r="H18" s="43" t="s">
        <v>71</v>
      </c>
      <c r="I18" s="43" t="s">
        <v>71</v>
      </c>
      <c r="J18" s="43" t="s">
        <v>71</v>
      </c>
      <c r="K18" s="44" t="s">
        <v>107</v>
      </c>
      <c r="L18" s="45" t="n">
        <f aca="false">IF(AO18&gt;AN18,AM18,AL18)</f>
        <v>4494</v>
      </c>
      <c r="M18" s="40" t="str">
        <f aca="false">IF(AO18&gt;AN18,"Zoning estimate",IF(H18="Yes","Approved plans",IF(G18&gt;0,"Listing claim","110% old house")))</f>
        <v>110% old house</v>
      </c>
      <c r="N18" s="45" t="n">
        <f aca="false">IF(AO18&gt;AN18,IF(AM18&gt;AL18,Assumptions!$B$22,Assumptions!$B$21),Assumptions!$B$21)</f>
        <v>2</v>
      </c>
      <c r="O18" s="46" t="n">
        <f aca="false">(INDEX(Assumptions!$B$36:$B$48,MATCH(AK18,Assumptions!$A$36:$A$48,0))+IF(I18="Yes",Assumptions!$B$23,0)+IF(J18="Yes",Assumptions!$B$24,0))*(1+IF(UPPER(Assumptions!$B$31)="WORST",Assumptions!$B$28,IF(UPPER(Assumptions!$B$31)="BEST",Assumptions!$B$30,Assumptions!$B$29)))</f>
        <v>1375</v>
      </c>
      <c r="P18" s="47" t="n">
        <f aca="false">L18*O18</f>
        <v>6179250</v>
      </c>
      <c r="Q18" s="47" t="n">
        <f aca="false">D18</f>
        <v>1000000</v>
      </c>
      <c r="R18" s="47" t="n">
        <f aca="false">L18*Assumptions!$B$4</f>
        <v>3145800</v>
      </c>
      <c r="S18" s="47" t="n">
        <f aca="false">IF(H18="Yes",Assumptions!$B$6*(D18),(L18)*Assumptions!$B$5)</f>
        <v>337050</v>
      </c>
      <c r="T18" s="47" t="n">
        <f aca="false">AP18*(Assumptions!$B$8*N18*Assumptions!$B$9+Assumptions!$B$10)</f>
        <v>393370.0875</v>
      </c>
      <c r="U18" s="47" t="n">
        <f aca="false">Q18*Assumptions!$B$11*N18</f>
        <v>24000</v>
      </c>
      <c r="V18" s="47" t="n">
        <f aca="false">P18*(Assumptions!$B$12+Assumptions!$B$13)</f>
        <v>250877.55</v>
      </c>
      <c r="W18" s="47" t="n">
        <f aca="false">P18*IF(P18&gt;=Assumptions!$B$16,Assumptions!$B$17,IF(P18&gt;=Assumptions!$B$14,Assumptions!$B$15,0))</f>
        <v>247170</v>
      </c>
      <c r="X18" s="48" t="n">
        <f aca="false">SUM(Q18:W18)</f>
        <v>5398267.6375</v>
      </c>
      <c r="Y18" s="48" t="n">
        <f aca="false">P18-X18</f>
        <v>780982.3625</v>
      </c>
      <c r="Z18" s="49" t="n">
        <f aca="false">IF(X18=0,0,Y18/X18)</f>
        <v>0.144672775590964</v>
      </c>
      <c r="AA18" s="47" t="n">
        <f aca="false">MAX(0,(P18/(1+Assumptions!$B$27)-(L18*(Assumptions!$B$4+IF(H18="Yes",0,Assumptions!$B$5)))*(1+(Assumptions!$B$7*(Assumptions!$B$8*N18*Assumptions!$B$9+Assumptions!$B$10)))-P18*(Assumptions!$B$12+Assumptions!$B$13+IF(P18&gt;=Assumptions!$B$16,Assumptions!$B$17,IF(P18&gt;=Assumptions!$B$14,Assumptions!$B$15,0))))/((1+IF(H18="Yes",Assumptions!$B$6,0))*(1+(Assumptions!$B$7*(Assumptions!$B$8*N18*Assumptions!$B$9+Assumptions!$B$10)))+Assumptions!$B$11*N18))</f>
        <v>977506.842424302</v>
      </c>
      <c r="AB18" s="50" t="n">
        <f aca="false">IF(AA18&lt;=0,"no price works",D18/AA18)</f>
        <v>1.02301074181733</v>
      </c>
      <c r="AC18" s="46" t="n">
        <f aca="false">(INDEX(Assumptions!$B$36:$B$48,MATCH(AK18,Assumptions!$A$36:$A$48,0))+IF(I18="Yes",Assumptions!$B$23,0)+IF(J18="Yes",Assumptions!$B$24,0))*(1+Assumptions!$B$28)</f>
        <v>1250</v>
      </c>
      <c r="AD18" s="47" t="n">
        <f aca="false">(L18)*AC18-(((D18)+(L18)*Assumptions!$B$4+IF(H18="Yes",Assumptions!$B$6*(D18),(L18)*Assumptions!$B$5))*(1+Assumptions!$B$7*(Assumptions!$B$8*(N18)*Assumptions!$B$9+Assumptions!$B$10))+(D18)*Assumptions!$B$11*(N18)+(L18)*AC18*(Assumptions!$B$12+Assumptions!$B$13+IF((L18)*AC18&gt;=Assumptions!$B$16,Assumptions!$B$17,IF((L18)*AC18&gt;=Assumptions!$B$14,Assumptions!$B$15,0))))</f>
        <v>264509.4125</v>
      </c>
      <c r="AE18" s="46" t="n">
        <f aca="false">(INDEX(Assumptions!$B$36:$B$48,MATCH(AK18,Assumptions!$A$36:$A$48,0))+IF(I18="Yes",Assumptions!$B$23,0)+IF(J18="Yes",Assumptions!$B$24,0))*(1+Assumptions!$B$29)</f>
        <v>1375</v>
      </c>
      <c r="AF18" s="47" t="n">
        <f aca="false">(L18)*AE18-(((D18)+(L18)*Assumptions!$B$4+IF(H18="Yes",Assumptions!$B$6*(D18),(L18)*Assumptions!$B$5))*(1+Assumptions!$B$7*(Assumptions!$B$8*(N18)*Assumptions!$B$9+Assumptions!$B$10))+(D18)*Assumptions!$B$11*(N18)+(L18)*AE18*(Assumptions!$B$12+Assumptions!$B$13+IF((L18)*AE18&gt;=Assumptions!$B$16,Assumptions!$B$17,IF((L18)*AE18&gt;=Assumptions!$B$14,Assumptions!$B$15,0))))</f>
        <v>780982.3625</v>
      </c>
      <c r="AG18" s="46" t="n">
        <f aca="false">(INDEX(Assumptions!$B$36:$B$48,MATCH(AK18,Assumptions!$A$36:$A$48,0))+IF(I18="Yes",Assumptions!$B$23,0)+IF(J18="Yes",Assumptions!$B$24,0))*(1+Assumptions!$B$30)</f>
        <v>1500</v>
      </c>
      <c r="AH18" s="47" t="n">
        <f aca="false">(L18)*AG18-(((D18)+(L18)*Assumptions!$B$4+IF(H18="Yes",Assumptions!$B$6*(D18),(L18)*Assumptions!$B$5))*(1+Assumptions!$B$7*(Assumptions!$B$8*(N18)*Assumptions!$B$9+Assumptions!$B$10))+(D18)*Assumptions!$B$11*(N18)+(L18)*AG18*(Assumptions!$B$12+Assumptions!$B$13+IF((L18)*AG18&gt;=Assumptions!$B$16,Assumptions!$B$17,IF((L18)*AG18&gt;=Assumptions!$B$14,Assumptions!$B$15,0))))</f>
        <v>1297455.3125</v>
      </c>
      <c r="AI18" s="47" t="n">
        <f aca="false">(L18)*AE18-(((D18)+(L18)*Assumptions!$B$25+IF(H18="Yes",Assumptions!$B$6*(D18),(L18)*Assumptions!$B$5))*(1+Assumptions!$B$7*(Assumptions!$B$8*(N18)*Assumptions!$B$9+Assumptions!$B$10))+(D18)*Assumptions!$B$11*(N18)+(L18)*AE18*(Assumptions!$B$12+Assumptions!$B$13+IF((L18)*AE18&gt;=Assumptions!$B$16,Assumptions!$B$17,IF((L18)*AE18&gt;=Assumptions!$B$14,Assumptions!$B$15,0))))</f>
        <v>1025399.7875</v>
      </c>
      <c r="AJ18" s="47" t="n">
        <f aca="false">(L18)*AE18-(((D18)+(L18)*Assumptions!$B$26+IF(H18="Yes",Assumptions!$B$6*(D18),(L18)*Assumptions!$B$5))*(1+Assumptions!$B$7*(Assumptions!$B$8*(N18)*Assumptions!$B$9+Assumptions!$B$10))+(D18)*Assumptions!$B$11*(N18)+(L18)*AE18*(Assumptions!$B$12+Assumptions!$B$13+IF((L18)*AE18&gt;=Assumptions!$B$16,Assumptions!$B$17,IF((L18)*AE18&gt;=Assumptions!$B$14,Assumptions!$B$15,0))))</f>
        <v>1269817.2125</v>
      </c>
      <c r="AK18" s="40" t="s">
        <v>104</v>
      </c>
      <c r="AL18" s="45" t="n">
        <f aca="false">IF(G18&gt;0,G18,ROUND(F18*Assumptions!$B$18,0))</f>
        <v>4494</v>
      </c>
      <c r="AM18" s="45" t="n">
        <f aca="false">IF(H18="Yes",AL18,MAX(AL18,MIN(Assumptions!$B$20,ROUND(E18*Assumptions!$B$19,0))))</f>
        <v>4494</v>
      </c>
      <c r="AN18" s="47" t="n">
        <f aca="false">(AL18)*AE18-(((D18)+(AL18)*Assumptions!$B$4+IF(H18="Yes",Assumptions!$B$6*(D18),(AL18)*Assumptions!$B$5))*(1+Assumptions!$B$7*(Assumptions!$B$8*(Assumptions!$B$21)*Assumptions!$B$9+Assumptions!$B$10))+(D18)*Assumptions!$B$11*(Assumptions!$B$21)+(AL18)*AE18*(Assumptions!$B$12+Assumptions!$B$13+IF((AL18)*AE18&gt;=Assumptions!$B$16,Assumptions!$B$17,IF((AL18)*AE18&gt;=Assumptions!$B$14,Assumptions!$B$15,0))))</f>
        <v>780982.3625</v>
      </c>
      <c r="AO18" s="47" t="n">
        <f aca="false">(AM18)*AE18-(((D18)+(AM18)*Assumptions!$B$4+IF(H18="Yes",Assumptions!$B$6*(D18),(AM18)*Assumptions!$B$5))*(1+Assumptions!$B$7*(Assumptions!$B$8*(IF(AM18&gt;AL18,Assumptions!$B$22,Assumptions!$B$21))*Assumptions!$B$9+Assumptions!$B$10))+(D18)*Assumptions!$B$11*(IF(AM18&gt;AL18,Assumptions!$B$22,Assumptions!$B$21))+(AM18)*AE18*(Assumptions!$B$12+Assumptions!$B$13+IF((AM18)*AE18&gt;=Assumptions!$B$16,Assumptions!$B$17,IF((AM18)*AE18&gt;=Assumptions!$B$14,Assumptions!$B$15,0))))</f>
        <v>780982.3625</v>
      </c>
      <c r="AP18" s="47" t="n">
        <f aca="false">Assumptions!$B$7*(Q18+R18+S18)</f>
        <v>2913852.5</v>
      </c>
    </row>
    <row r="19" customFormat="false" ht="23.85" hidden="false" customHeight="false" outlineLevel="0" collapsed="false">
      <c r="A19" s="40" t="n">
        <v>17</v>
      </c>
      <c r="B19" s="40" t="s">
        <v>108</v>
      </c>
      <c r="C19" s="40" t="s">
        <v>109</v>
      </c>
      <c r="D19" s="41" t="n">
        <v>1300000</v>
      </c>
      <c r="E19" s="42" t="n">
        <v>5262</v>
      </c>
      <c r="F19" s="42" t="n">
        <v>2100</v>
      </c>
      <c r="G19" s="42" t="n">
        <v>4389</v>
      </c>
      <c r="H19" s="43" t="s">
        <v>80</v>
      </c>
      <c r="I19" s="43" t="s">
        <v>80</v>
      </c>
      <c r="J19" s="43" t="s">
        <v>71</v>
      </c>
      <c r="K19" s="44" t="s">
        <v>110</v>
      </c>
      <c r="L19" s="45" t="n">
        <f aca="false">IF(AO19&gt;AN19,AM19,AL19)</f>
        <v>4389</v>
      </c>
      <c r="M19" s="40" t="str">
        <f aca="false">IF(AO19&gt;AN19,"Zoning estimate",IF(H19="Yes","Approved plans",IF(G19&gt;0,"Listing claim","110% old house")))</f>
        <v>Approved plans</v>
      </c>
      <c r="N19" s="45" t="n">
        <f aca="false">IF(AO19&gt;AN19,IF(AM19&gt;AL19,Assumptions!$B$22,Assumptions!$B$21),Assumptions!$B$21)</f>
        <v>2</v>
      </c>
      <c r="O19" s="46" t="n">
        <f aca="false">(INDEX(Assumptions!$B$36:$B$48,MATCH(AK19,Assumptions!$A$36:$A$48,0))+IF(I19="Yes",Assumptions!$B$23,0)+IF(J19="Yes",Assumptions!$B$24,0))*(1+IF(UPPER(Assumptions!$B$31)="WORST",Assumptions!$B$28,IF(UPPER(Assumptions!$B$31)="BEST",Assumptions!$B$30,Assumptions!$B$29)))</f>
        <v>1485</v>
      </c>
      <c r="P19" s="47" t="n">
        <f aca="false">L19*O19</f>
        <v>6517665</v>
      </c>
      <c r="Q19" s="47" t="n">
        <f aca="false">D19</f>
        <v>1300000</v>
      </c>
      <c r="R19" s="47" t="n">
        <f aca="false">L19*Assumptions!$B$4</f>
        <v>3072300</v>
      </c>
      <c r="S19" s="47" t="n">
        <f aca="false">IF(H19="Yes",Assumptions!$B$6*(D19),(L19)*Assumptions!$B$5)</f>
        <v>65000</v>
      </c>
      <c r="T19" s="47" t="n">
        <f aca="false">AP19*(Assumptions!$B$8*N19*Assumptions!$B$9+Assumptions!$B$10)</f>
        <v>389373.075</v>
      </c>
      <c r="U19" s="47" t="n">
        <f aca="false">Q19*Assumptions!$B$11*N19</f>
        <v>31200</v>
      </c>
      <c r="V19" s="47" t="n">
        <f aca="false">P19*(Assumptions!$B$12+Assumptions!$B$13)</f>
        <v>264617.199</v>
      </c>
      <c r="W19" s="47" t="n">
        <f aca="false">P19*IF(P19&gt;=Assumptions!$B$16,Assumptions!$B$17,IF(P19&gt;=Assumptions!$B$14,Assumptions!$B$15,0))</f>
        <v>260706.6</v>
      </c>
      <c r="X19" s="48" t="n">
        <f aca="false">SUM(Q19:W19)</f>
        <v>5383196.874</v>
      </c>
      <c r="Y19" s="48" t="n">
        <f aca="false">P19-X19</f>
        <v>1134468.126</v>
      </c>
      <c r="Z19" s="49" t="n">
        <f aca="false">IF(X19=0,0,Y19/X19)</f>
        <v>0.210742455190392</v>
      </c>
      <c r="AA19" s="47" t="n">
        <f aca="false">MAX(0,(P19/(1+Assumptions!$B$27)-(L19*(Assumptions!$B$4+IF(H19="Yes",0,Assumptions!$B$5)))*(1+(Assumptions!$B$7*(Assumptions!$B$8*N19*Assumptions!$B$9+Assumptions!$B$10)))-P19*(Assumptions!$B$12+Assumptions!$B$13+IF(P19&gt;=Assumptions!$B$16,Assumptions!$B$17,IF(P19&gt;=Assumptions!$B$14,Assumptions!$B$15,0))))/((1+IF(H19="Yes",Assumptions!$B$6,0))*(1+(Assumptions!$B$7*(Assumptions!$B$8*N19*Assumptions!$B$9+Assumptions!$B$10)))+Assumptions!$B$11*N19))</f>
        <v>1543828.80115655</v>
      </c>
      <c r="AB19" s="50" t="n">
        <f aca="false">IF(AA19&lt;=0,"no price works",D19/AA19)</f>
        <v>0.842062279850015</v>
      </c>
      <c r="AC19" s="46" t="n">
        <f aca="false">(INDEX(Assumptions!$B$36:$B$48,MATCH(AK19,Assumptions!$A$36:$A$48,0))+IF(I19="Yes",Assumptions!$B$23,0)+IF(J19="Yes",Assumptions!$B$24,0))*(1+Assumptions!$B$28)</f>
        <v>1350</v>
      </c>
      <c r="AD19" s="47" t="n">
        <f aca="false">(L19)*AC19-(((D19)+(L19)*Assumptions!$B$4+IF(H19="Yes",Assumptions!$B$6*(D19),(L19)*Assumptions!$B$5))*(1+Assumptions!$B$7*(Assumptions!$B$8*(N19)*Assumptions!$B$9+Assumptions!$B$10))+(D19)*Assumptions!$B$11*(N19)+(L19)*AC19*(Assumptions!$B$12+Assumptions!$B$13+IF((L19)*AC19&gt;=Assumptions!$B$16,Assumptions!$B$17,IF((L19)*AC19&gt;=Assumptions!$B$14,Assumptions!$B$15,0))))</f>
        <v>589709.835</v>
      </c>
      <c r="AE19" s="46" t="n">
        <f aca="false">(INDEX(Assumptions!$B$36:$B$48,MATCH(AK19,Assumptions!$A$36:$A$48,0))+IF(I19="Yes",Assumptions!$B$23,0)+IF(J19="Yes",Assumptions!$B$24,0))*(1+Assumptions!$B$29)</f>
        <v>1485</v>
      </c>
      <c r="AF19" s="47" t="n">
        <f aca="false">(L19)*AE19-(((D19)+(L19)*Assumptions!$B$4+IF(H19="Yes",Assumptions!$B$6*(D19),(L19)*Assumptions!$B$5))*(1+Assumptions!$B$7*(Assumptions!$B$8*(N19)*Assumptions!$B$9+Assumptions!$B$10))+(D19)*Assumptions!$B$11*(N19)+(L19)*AE19*(Assumptions!$B$12+Assumptions!$B$13+IF((L19)*AE19&gt;=Assumptions!$B$16,Assumptions!$B$17,IF((L19)*AE19&gt;=Assumptions!$B$14,Assumptions!$B$15,0))))</f>
        <v>1134468.126</v>
      </c>
      <c r="AG19" s="46" t="n">
        <f aca="false">(INDEX(Assumptions!$B$36:$B$48,MATCH(AK19,Assumptions!$A$36:$A$48,0))+IF(I19="Yes",Assumptions!$B$23,0)+IF(J19="Yes",Assumptions!$B$24,0))*(1+Assumptions!$B$30)</f>
        <v>1620</v>
      </c>
      <c r="AH19" s="47" t="n">
        <f aca="false">(L19)*AG19-(((D19)+(L19)*Assumptions!$B$4+IF(H19="Yes",Assumptions!$B$6*(D19),(L19)*Assumptions!$B$5))*(1+Assumptions!$B$7*(Assumptions!$B$8*(N19)*Assumptions!$B$9+Assumptions!$B$10))+(D19)*Assumptions!$B$11*(N19)+(L19)*AG19*(Assumptions!$B$12+Assumptions!$B$13+IF((L19)*AG19&gt;=Assumptions!$B$16,Assumptions!$B$17,IF((L19)*AG19&gt;=Assumptions!$B$14,Assumptions!$B$15,0))))</f>
        <v>1679226.417</v>
      </c>
      <c r="AI19" s="47" t="n">
        <f aca="false">(L19)*AE19-(((D19)+(L19)*Assumptions!$B$25+IF(H19="Yes",Assumptions!$B$6*(D19),(L19)*Assumptions!$B$5))*(1+Assumptions!$B$7*(Assumptions!$B$8*(N19)*Assumptions!$B$9+Assumptions!$B$10))+(D19)*Assumptions!$B$11*(N19)+(L19)*AE19*(Assumptions!$B$12+Assumptions!$B$13+IF((L19)*AE19&gt;=Assumptions!$B$16,Assumptions!$B$17,IF((L19)*AE19&gt;=Assumptions!$B$14,Assumptions!$B$15,0))))</f>
        <v>1373174.8635</v>
      </c>
      <c r="AJ19" s="47" t="n">
        <f aca="false">(L19)*AE19-(((D19)+(L19)*Assumptions!$B$26+IF(H19="Yes",Assumptions!$B$6*(D19),(L19)*Assumptions!$B$5))*(1+Assumptions!$B$7*(Assumptions!$B$8*(N19)*Assumptions!$B$9+Assumptions!$B$10))+(D19)*Assumptions!$B$11*(N19)+(L19)*AE19*(Assumptions!$B$12+Assumptions!$B$13+IF((L19)*AE19&gt;=Assumptions!$B$16,Assumptions!$B$17,IF((L19)*AE19&gt;=Assumptions!$B$14,Assumptions!$B$15,0))))</f>
        <v>1611881.601</v>
      </c>
      <c r="AK19" s="40" t="s">
        <v>111</v>
      </c>
      <c r="AL19" s="45" t="n">
        <f aca="false">IF(G19&gt;0,G19,ROUND(F19*Assumptions!$B$18,0))</f>
        <v>4389</v>
      </c>
      <c r="AM19" s="45" t="n">
        <f aca="false">IF(H19="Yes",AL19,MAX(AL19,MIN(Assumptions!$B$20,ROUND(E19*Assumptions!$B$19,0))))</f>
        <v>4389</v>
      </c>
      <c r="AN19" s="47" t="n">
        <f aca="false">(AL19)*AE19-(((D19)+(AL19)*Assumptions!$B$4+IF(H19="Yes",Assumptions!$B$6*(D19),(AL19)*Assumptions!$B$5))*(1+Assumptions!$B$7*(Assumptions!$B$8*(Assumptions!$B$21)*Assumptions!$B$9+Assumptions!$B$10))+(D19)*Assumptions!$B$11*(Assumptions!$B$21)+(AL19)*AE19*(Assumptions!$B$12+Assumptions!$B$13+IF((AL19)*AE19&gt;=Assumptions!$B$16,Assumptions!$B$17,IF((AL19)*AE19&gt;=Assumptions!$B$14,Assumptions!$B$15,0))))</f>
        <v>1134468.126</v>
      </c>
      <c r="AO19" s="47" t="n">
        <f aca="false">(AM19)*AE19-(((D19)+(AM19)*Assumptions!$B$4+IF(H19="Yes",Assumptions!$B$6*(D19),(AM19)*Assumptions!$B$5))*(1+Assumptions!$B$7*(Assumptions!$B$8*(IF(AM19&gt;AL19,Assumptions!$B$22,Assumptions!$B$21))*Assumptions!$B$9+Assumptions!$B$10))+(D19)*Assumptions!$B$11*(IF(AM19&gt;AL19,Assumptions!$B$22,Assumptions!$B$21))+(AM19)*AE19*(Assumptions!$B$12+Assumptions!$B$13+IF((AM19)*AE19&gt;=Assumptions!$B$16,Assumptions!$B$17,IF((AM19)*AE19&gt;=Assumptions!$B$14,Assumptions!$B$15,0))))</f>
        <v>1134468.126</v>
      </c>
      <c r="AP19" s="47" t="n">
        <f aca="false">Assumptions!$B$7*(Q19+R19+S19)</f>
        <v>2884245</v>
      </c>
    </row>
    <row r="20" customFormat="false" ht="23.85" hidden="false" customHeight="false" outlineLevel="0" collapsed="false">
      <c r="A20" s="40" t="n">
        <v>18</v>
      </c>
      <c r="B20" s="40" t="s">
        <v>112</v>
      </c>
      <c r="C20" s="40" t="s">
        <v>70</v>
      </c>
      <c r="D20" s="41" t="n">
        <v>5395000</v>
      </c>
      <c r="E20" s="42" t="n">
        <v>33876</v>
      </c>
      <c r="F20" s="42" t="n">
        <v>4320</v>
      </c>
      <c r="G20" s="42"/>
      <c r="H20" s="43" t="s">
        <v>71</v>
      </c>
      <c r="I20" s="43" t="s">
        <v>71</v>
      </c>
      <c r="J20" s="43" t="s">
        <v>71</v>
      </c>
      <c r="K20" s="44" t="s">
        <v>113</v>
      </c>
      <c r="L20" s="45" t="n">
        <f aca="false">IF(AO20&gt;AN20,AM20,AL20)</f>
        <v>8000</v>
      </c>
      <c r="M20" s="40" t="str">
        <f aca="false">IF(AO20&gt;AN20,"Zoning estimate",IF(H20="Yes","Approved plans",IF(G20&gt;0,"Listing claim","110% old house")))</f>
        <v>Zoning estimate</v>
      </c>
      <c r="N20" s="45" t="n">
        <f aca="false">IF(AO20&gt;AN20,IF(AM20&gt;AL20,Assumptions!$B$22,Assumptions!$B$21),Assumptions!$B$21)</f>
        <v>3</v>
      </c>
      <c r="O20" s="46" t="n">
        <f aca="false">(INDEX(Assumptions!$B$36:$B$48,MATCH(AK20,Assumptions!$A$36:$A$48,0))+IF(I20="Yes",Assumptions!$B$23,0)+IF(J20="Yes",Assumptions!$B$24,0))*(1+IF(UPPER(Assumptions!$B$31)="WORST",Assumptions!$B$28,IF(UPPER(Assumptions!$B$31)="BEST",Assumptions!$B$30,Assumptions!$B$29)))</f>
        <v>2046</v>
      </c>
      <c r="P20" s="47" t="n">
        <f aca="false">L20*O20</f>
        <v>16368000</v>
      </c>
      <c r="Q20" s="47" t="n">
        <f aca="false">D20</f>
        <v>5395000</v>
      </c>
      <c r="R20" s="47" t="n">
        <f aca="false">L20*Assumptions!$B$4</f>
        <v>5600000</v>
      </c>
      <c r="S20" s="47" t="n">
        <f aca="false">IF(H20="Yes",Assumptions!$B$6*(D20),(L20)*Assumptions!$B$5)</f>
        <v>600000</v>
      </c>
      <c r="T20" s="47" t="n">
        <f aca="false">AP20*(Assumptions!$B$8*N20*Assumptions!$B$9+Assumptions!$B$10)</f>
        <v>1469666.25</v>
      </c>
      <c r="U20" s="47" t="n">
        <f aca="false">Q20*Assumptions!$B$11*N20</f>
        <v>194220</v>
      </c>
      <c r="V20" s="47" t="n">
        <f aca="false">P20*(Assumptions!$B$12+Assumptions!$B$13)</f>
        <v>664540.8</v>
      </c>
      <c r="W20" s="47" t="n">
        <f aca="false">P20*IF(P20&gt;=Assumptions!$B$16,Assumptions!$B$17,IF(P20&gt;=Assumptions!$B$14,Assumptions!$B$15,0))</f>
        <v>900240</v>
      </c>
      <c r="X20" s="48" t="n">
        <f aca="false">SUM(Q20:W20)</f>
        <v>14823667.05</v>
      </c>
      <c r="Y20" s="48" t="n">
        <f aca="false">P20-X20</f>
        <v>1544332.95</v>
      </c>
      <c r="Z20" s="49" t="n">
        <f aca="false">IF(X20=0,0,Y20/X20)</f>
        <v>0.104180223745649</v>
      </c>
      <c r="AA20" s="47" t="n">
        <f aca="false">MAX(0,(P20/(1+Assumptions!$B$27)-(L20*(Assumptions!$B$4+IF(H20="Yes",0,Assumptions!$B$5)))*(1+(Assumptions!$B$7*(Assumptions!$B$8*N20*Assumptions!$B$9+Assumptions!$B$10)))-P20*(Assumptions!$B$12+Assumptions!$B$13+IF(P20&gt;=Assumptions!$B$16,Assumptions!$B$17,IF(P20&gt;=Assumptions!$B$14,Assumptions!$B$15,0))))/((1+IF(H20="Yes",Assumptions!$B$6,0))*(1+(Assumptions!$B$7*(Assumptions!$B$8*N20*Assumptions!$B$9+Assumptions!$B$10)))+Assumptions!$B$11*N20))</f>
        <v>4887045.9499126</v>
      </c>
      <c r="AB20" s="50" t="n">
        <f aca="false">IF(AA20&lt;=0,"no price works",D20/AA20)</f>
        <v>1.10393887335896</v>
      </c>
      <c r="AC20" s="46" t="n">
        <f aca="false">(INDEX(Assumptions!$B$36:$B$48,MATCH(AK20,Assumptions!$A$36:$A$48,0))+IF(I20="Yes",Assumptions!$B$23,0)+IF(J20="Yes",Assumptions!$B$24,0))*(1+Assumptions!$B$28)</f>
        <v>1860</v>
      </c>
      <c r="AD20" s="47" t="n">
        <f aca="false">(L20)*AC20-(((D20)+(L20)*Assumptions!$B$4+IF(H20="Yes",Assumptions!$B$6*(D20),(L20)*Assumptions!$B$5))*(1+Assumptions!$B$7*(Assumptions!$B$8*(N20)*Assumptions!$B$9+Assumptions!$B$10))+(D20)*Assumptions!$B$11*(N20)+(L20)*AC20*(Assumptions!$B$12+Assumptions!$B$13+IF((L20)*AC20&gt;=Assumptions!$B$16,Assumptions!$B$17,IF((L20)*AC20&gt;=Assumptions!$B$14,Assumptions!$B$15,0))))</f>
        <v>198585.750000002</v>
      </c>
      <c r="AE20" s="46" t="n">
        <f aca="false">(INDEX(Assumptions!$B$36:$B$48,MATCH(AK20,Assumptions!$A$36:$A$48,0))+IF(I20="Yes",Assumptions!$B$23,0)+IF(J20="Yes",Assumptions!$B$24,0))*(1+Assumptions!$B$29)</f>
        <v>2046</v>
      </c>
      <c r="AF20" s="47" t="n">
        <f aca="false">(L20)*AE20-(((D20)+(L20)*Assumptions!$B$4+IF(H20="Yes",Assumptions!$B$6*(D20),(L20)*Assumptions!$B$5))*(1+Assumptions!$B$7*(Assumptions!$B$8*(N20)*Assumptions!$B$9+Assumptions!$B$10))+(D20)*Assumptions!$B$11*(N20)+(L20)*AE20*(Assumptions!$B$12+Assumptions!$B$13+IF((L20)*AE20&gt;=Assumptions!$B$16,Assumptions!$B$17,IF((L20)*AE20&gt;=Assumptions!$B$14,Assumptions!$B$15,0))))</f>
        <v>1544332.95</v>
      </c>
      <c r="AG20" s="46" t="n">
        <f aca="false">(INDEX(Assumptions!$B$36:$B$48,MATCH(AK20,Assumptions!$A$36:$A$48,0))+IF(I20="Yes",Assumptions!$B$23,0)+IF(J20="Yes",Assumptions!$B$24,0))*(1+Assumptions!$B$30)</f>
        <v>2232</v>
      </c>
      <c r="AH20" s="47" t="n">
        <f aca="false">(L20)*AG20-(((D20)+(L20)*Assumptions!$B$4+IF(H20="Yes",Assumptions!$B$6*(D20),(L20)*Assumptions!$B$5))*(1+Assumptions!$B$7*(Assumptions!$B$8*(N20)*Assumptions!$B$9+Assumptions!$B$10))+(D20)*Assumptions!$B$11*(N20)+(L20)*AG20*(Assumptions!$B$12+Assumptions!$B$13+IF((L20)*AG20&gt;=Assumptions!$B$16,Assumptions!$B$17,IF((L20)*AG20&gt;=Assumptions!$B$14,Assumptions!$B$15,0))))</f>
        <v>2890080.15</v>
      </c>
      <c r="AI20" s="47" t="n">
        <f aca="false">(L20)*AE20-(((D20)+(L20)*Assumptions!$B$25+IF(H20="Yes",Assumptions!$B$6*(D20),(L20)*Assumptions!$B$5))*(1+Assumptions!$B$7*(Assumptions!$B$8*(N20)*Assumptions!$B$9+Assumptions!$B$10))+(D20)*Assumptions!$B$11*(N20)+(L20)*AE20*(Assumptions!$B$12+Assumptions!$B$13+IF((L20)*AE20&gt;=Assumptions!$B$16,Assumptions!$B$17,IF((L20)*AE20&gt;=Assumptions!$B$14,Assumptions!$B$15,0))))</f>
        <v>1995032.95</v>
      </c>
      <c r="AJ20" s="47" t="n">
        <f aca="false">(L20)*AE20-(((D20)+(L20)*Assumptions!$B$26+IF(H20="Yes",Assumptions!$B$6*(D20),(L20)*Assumptions!$B$5))*(1+Assumptions!$B$7*(Assumptions!$B$8*(N20)*Assumptions!$B$9+Assumptions!$B$10))+(D20)*Assumptions!$B$11*(N20)+(L20)*AE20*(Assumptions!$B$12+Assumptions!$B$13+IF((L20)*AE20&gt;=Assumptions!$B$16,Assumptions!$B$17,IF((L20)*AE20&gt;=Assumptions!$B$14,Assumptions!$B$15,0))))</f>
        <v>2445732.95</v>
      </c>
      <c r="AK20" s="40" t="s">
        <v>73</v>
      </c>
      <c r="AL20" s="45" t="n">
        <f aca="false">IF(G20&gt;0,G20,ROUND(F20*Assumptions!$B$18,0))</f>
        <v>4752</v>
      </c>
      <c r="AM20" s="45" t="n">
        <f aca="false">IF(H20="Yes",AL20,MAX(AL20,MIN(Assumptions!$B$20,ROUND(E20*Assumptions!$B$19,0))))</f>
        <v>8000</v>
      </c>
      <c r="AN20" s="47" t="n">
        <f aca="false">(AL20)*AE20-(((D20)+(AL20)*Assumptions!$B$4+IF(H20="Yes",Assumptions!$B$6*(D20),(AL20)*Assumptions!$B$5))*(1+Assumptions!$B$7*(Assumptions!$B$8*(Assumptions!$B$21)*Assumptions!$B$9+Assumptions!$B$10))+(D20)*Assumptions!$B$11*(Assumptions!$B$21)+(AL20)*AE20*(Assumptions!$B$12+Assumptions!$B$13+IF((AL20)*AE20&gt;=Assumptions!$B$16,Assumptions!$B$17,IF((AL20)*AE20&gt;=Assumptions!$B$14,Assumptions!$B$15,0))))</f>
        <v>-1064905.8652</v>
      </c>
      <c r="AO20" s="47" t="n">
        <f aca="false">(AM20)*AE20-(((D20)+(AM20)*Assumptions!$B$4+IF(H20="Yes",Assumptions!$B$6*(D20),(AM20)*Assumptions!$B$5))*(1+Assumptions!$B$7*(Assumptions!$B$8*(IF(AM20&gt;AL20,Assumptions!$B$22,Assumptions!$B$21))*Assumptions!$B$9+Assumptions!$B$10))+(D20)*Assumptions!$B$11*(IF(AM20&gt;AL20,Assumptions!$B$22,Assumptions!$B$21))+(AM20)*AE20*(Assumptions!$B$12+Assumptions!$B$13+IF((AM20)*AE20&gt;=Assumptions!$B$16,Assumptions!$B$17,IF((AM20)*AE20&gt;=Assumptions!$B$14,Assumptions!$B$15,0))))</f>
        <v>1544332.95</v>
      </c>
      <c r="AP20" s="47" t="n">
        <f aca="false">Assumptions!$B$7*(Q20+R20+S20)</f>
        <v>7536750</v>
      </c>
    </row>
    <row r="21" customFormat="false" ht="15" hidden="false" customHeight="false" outlineLevel="0" collapsed="false">
      <c r="A21" s="40" t="n">
        <v>19</v>
      </c>
      <c r="B21" s="40" t="s">
        <v>114</v>
      </c>
      <c r="C21" s="40" t="s">
        <v>102</v>
      </c>
      <c r="D21" s="41" t="n">
        <v>995000</v>
      </c>
      <c r="E21" s="42" t="n">
        <v>4360</v>
      </c>
      <c r="F21" s="42" t="n">
        <v>2975</v>
      </c>
      <c r="G21" s="42"/>
      <c r="H21" s="43" t="s">
        <v>71</v>
      </c>
      <c r="I21" s="43" t="s">
        <v>71</v>
      </c>
      <c r="J21" s="43" t="s">
        <v>71</v>
      </c>
      <c r="K21" s="44" t="s">
        <v>115</v>
      </c>
      <c r="L21" s="45" t="n">
        <f aca="false">IF(AO21&gt;AN21,AM21,AL21)</f>
        <v>3273</v>
      </c>
      <c r="M21" s="40" t="str">
        <f aca="false">IF(AO21&gt;AN21,"Zoning estimate",IF(H21="Yes","Approved plans",IF(G21&gt;0,"Listing claim","110% old house")))</f>
        <v>110% old house</v>
      </c>
      <c r="N21" s="45" t="n">
        <f aca="false">IF(AO21&gt;AN21,IF(AM21&gt;AL21,Assumptions!$B$22,Assumptions!$B$21),Assumptions!$B$21)</f>
        <v>2</v>
      </c>
      <c r="O21" s="46" t="n">
        <f aca="false">(INDEX(Assumptions!$B$36:$B$48,MATCH(AK21,Assumptions!$A$36:$A$48,0))+IF(I21="Yes",Assumptions!$B$23,0)+IF(J21="Yes",Assumptions!$B$24,0))*(1+IF(UPPER(Assumptions!$B$31)="WORST",Assumptions!$B$28,IF(UPPER(Assumptions!$B$31)="BEST",Assumptions!$B$30,Assumptions!$B$29)))</f>
        <v>1375</v>
      </c>
      <c r="P21" s="47" t="n">
        <f aca="false">L21*O21</f>
        <v>4500375</v>
      </c>
      <c r="Q21" s="47" t="n">
        <f aca="false">D21</f>
        <v>995000</v>
      </c>
      <c r="R21" s="47" t="n">
        <f aca="false">L21*Assumptions!$B$4</f>
        <v>2291100</v>
      </c>
      <c r="S21" s="47" t="n">
        <f aca="false">IF(H21="Yes",Assumptions!$B$6*(D21),(L21)*Assumptions!$B$5)</f>
        <v>245475</v>
      </c>
      <c r="T21" s="47" t="n">
        <f aca="false">AP21*(Assumptions!$B$8*N21*Assumptions!$B$9+Assumptions!$B$10)</f>
        <v>309895.70625</v>
      </c>
      <c r="U21" s="47" t="n">
        <f aca="false">Q21*Assumptions!$B$11*N21</f>
        <v>23880</v>
      </c>
      <c r="V21" s="47" t="n">
        <f aca="false">P21*(Assumptions!$B$12+Assumptions!$B$13)</f>
        <v>182715.225</v>
      </c>
      <c r="W21" s="47" t="n">
        <f aca="false">P21*IF(P21&gt;=Assumptions!$B$16,Assumptions!$B$17,IF(P21&gt;=Assumptions!$B$14,Assumptions!$B$15,0))</f>
        <v>0</v>
      </c>
      <c r="X21" s="48" t="n">
        <f aca="false">SUM(Q21:W21)</f>
        <v>4048065.93125</v>
      </c>
      <c r="Y21" s="48" t="n">
        <f aca="false">P21-X21</f>
        <v>452309.06875</v>
      </c>
      <c r="Z21" s="49" t="n">
        <f aca="false">IF(X21=0,0,Y21/X21)</f>
        <v>0.111734610164892</v>
      </c>
      <c r="AA21" s="47" t="n">
        <f aca="false">MAX(0,(P21/(1+Assumptions!$B$27)-(L21*(Assumptions!$B$4+IF(H21="Yes",0,Assumptions!$B$5)))*(1+(Assumptions!$B$7*(Assumptions!$B$8*N21*Assumptions!$B$9+Assumptions!$B$10)))-P21*(Assumptions!$B$12+Assumptions!$B$13+IF(P21&gt;=Assumptions!$B$16,Assumptions!$B$17,IF(P21&gt;=Assumptions!$B$14,Assumptions!$B$15,0))))/((1+IF(H21="Yes",Assumptions!$B$6,0))*(1+(Assumptions!$B$7*(Assumptions!$B$8*N21*Assumptions!$B$9+Assumptions!$B$10)))+Assumptions!$B$11*N21))</f>
        <v>873842.93588252</v>
      </c>
      <c r="AB21" s="50" t="n">
        <f aca="false">IF(AA21&lt;=0,"no price works",D21/AA21)</f>
        <v>1.1386485593033</v>
      </c>
      <c r="AC21" s="46" t="n">
        <f aca="false">(INDEX(Assumptions!$B$36:$B$48,MATCH(AK21,Assumptions!$A$36:$A$48,0))+IF(I21="Yes",Assumptions!$B$23,0)+IF(J21="Yes",Assumptions!$B$24,0))*(1+Assumptions!$B$28)</f>
        <v>1250</v>
      </c>
      <c r="AD21" s="47" t="n">
        <f aca="false">(L21)*AC21-(((D21)+(L21)*Assumptions!$B$4+IF(H21="Yes",Assumptions!$B$6*(D21),(L21)*Assumptions!$B$5))*(1+Assumptions!$B$7*(Assumptions!$B$8*(N21)*Assumptions!$B$9+Assumptions!$B$10))+(D21)*Assumptions!$B$11*(N21)+(L21)*AC21*(Assumptions!$B$12+Assumptions!$B$13+IF((L21)*AC21&gt;=Assumptions!$B$16,Assumptions!$B$17,IF((L21)*AC21&gt;=Assumptions!$B$14,Assumptions!$B$15,0))))</f>
        <v>59794.5437500002</v>
      </c>
      <c r="AE21" s="46" t="n">
        <f aca="false">(INDEX(Assumptions!$B$36:$B$48,MATCH(AK21,Assumptions!$A$36:$A$48,0))+IF(I21="Yes",Assumptions!$B$23,0)+IF(J21="Yes",Assumptions!$B$24,0))*(1+Assumptions!$B$29)</f>
        <v>1375</v>
      </c>
      <c r="AF21" s="47" t="n">
        <f aca="false">(L21)*AE21-(((D21)+(L21)*Assumptions!$B$4+IF(H21="Yes",Assumptions!$B$6*(D21),(L21)*Assumptions!$B$5))*(1+Assumptions!$B$7*(Assumptions!$B$8*(N21)*Assumptions!$B$9+Assumptions!$B$10))+(D21)*Assumptions!$B$11*(N21)+(L21)*AE21*(Assumptions!$B$12+Assumptions!$B$13+IF((L21)*AE21&gt;=Assumptions!$B$16,Assumptions!$B$17,IF((L21)*AE21&gt;=Assumptions!$B$14,Assumptions!$B$15,0))))</f>
        <v>452309.06875</v>
      </c>
      <c r="AG21" s="46" t="n">
        <f aca="false">(INDEX(Assumptions!$B$36:$B$48,MATCH(AK21,Assumptions!$A$36:$A$48,0))+IF(I21="Yes",Assumptions!$B$23,0)+IF(J21="Yes",Assumptions!$B$24,0))*(1+Assumptions!$B$30)</f>
        <v>1500</v>
      </c>
      <c r="AH21" s="47" t="n">
        <f aca="false">(L21)*AG21-(((D21)+(L21)*Assumptions!$B$4+IF(H21="Yes",Assumptions!$B$6*(D21),(L21)*Assumptions!$B$5))*(1+Assumptions!$B$7*(Assumptions!$B$8*(N21)*Assumptions!$B$9+Assumptions!$B$10))+(D21)*Assumptions!$B$11*(N21)+(L21)*AG21*(Assumptions!$B$12+Assumptions!$B$13+IF((L21)*AG21&gt;=Assumptions!$B$16,Assumptions!$B$17,IF((L21)*AG21&gt;=Assumptions!$B$14,Assumptions!$B$15,0))))</f>
        <v>844823.59375</v>
      </c>
      <c r="AI21" s="47" t="n">
        <f aca="false">(L21)*AE21-(((D21)+(L21)*Assumptions!$B$25+IF(H21="Yes",Assumptions!$B$6*(D21),(L21)*Assumptions!$B$5))*(1+Assumptions!$B$7*(Assumptions!$B$8*(N21)*Assumptions!$B$9+Assumptions!$B$10))+(D21)*Assumptions!$B$11*(N21)+(L21)*AE21*(Assumptions!$B$12+Assumptions!$B$13+IF((L21)*AE21&gt;=Assumptions!$B$16,Assumptions!$B$17,IF((L21)*AE21&gt;=Assumptions!$B$14,Assumptions!$B$15,0))))</f>
        <v>630319.35625</v>
      </c>
      <c r="AJ21" s="47" t="n">
        <f aca="false">(L21)*AE21-(((D21)+(L21)*Assumptions!$B$26+IF(H21="Yes",Assumptions!$B$6*(D21),(L21)*Assumptions!$B$5))*(1+Assumptions!$B$7*(Assumptions!$B$8*(N21)*Assumptions!$B$9+Assumptions!$B$10))+(D21)*Assumptions!$B$11*(N21)+(L21)*AE21*(Assumptions!$B$12+Assumptions!$B$13+IF((L21)*AE21&gt;=Assumptions!$B$16,Assumptions!$B$17,IF((L21)*AE21&gt;=Assumptions!$B$14,Assumptions!$B$15,0))))</f>
        <v>808329.64375</v>
      </c>
      <c r="AK21" s="40" t="s">
        <v>104</v>
      </c>
      <c r="AL21" s="45" t="n">
        <f aca="false">IF(G21&gt;0,G21,ROUND(F21*Assumptions!$B$18,0))</f>
        <v>3273</v>
      </c>
      <c r="AM21" s="45" t="n">
        <f aca="false">IF(H21="Yes",AL21,MAX(AL21,MIN(Assumptions!$B$20,ROUND(E21*Assumptions!$B$19,0))))</f>
        <v>3273</v>
      </c>
      <c r="AN21" s="47" t="n">
        <f aca="false">(AL21)*AE21-(((D21)+(AL21)*Assumptions!$B$4+IF(H21="Yes",Assumptions!$B$6*(D21),(AL21)*Assumptions!$B$5))*(1+Assumptions!$B$7*(Assumptions!$B$8*(Assumptions!$B$21)*Assumptions!$B$9+Assumptions!$B$10))+(D21)*Assumptions!$B$11*(Assumptions!$B$21)+(AL21)*AE21*(Assumptions!$B$12+Assumptions!$B$13+IF((AL21)*AE21&gt;=Assumptions!$B$16,Assumptions!$B$17,IF((AL21)*AE21&gt;=Assumptions!$B$14,Assumptions!$B$15,0))))</f>
        <v>452309.06875</v>
      </c>
      <c r="AO21" s="47" t="n">
        <f aca="false">(AM21)*AE21-(((D21)+(AM21)*Assumptions!$B$4+IF(H21="Yes",Assumptions!$B$6*(D21),(AM21)*Assumptions!$B$5))*(1+Assumptions!$B$7*(Assumptions!$B$8*(IF(AM21&gt;AL21,Assumptions!$B$22,Assumptions!$B$21))*Assumptions!$B$9+Assumptions!$B$10))+(D21)*Assumptions!$B$11*(IF(AM21&gt;AL21,Assumptions!$B$22,Assumptions!$B$21))+(AM21)*AE21*(Assumptions!$B$12+Assumptions!$B$13+IF((AM21)*AE21&gt;=Assumptions!$B$16,Assumptions!$B$17,IF((AM21)*AE21&gt;=Assumptions!$B$14,Assumptions!$B$15,0))))</f>
        <v>452309.06875</v>
      </c>
      <c r="AP21" s="47" t="n">
        <f aca="false">Assumptions!$B$7*(Q21+R21+S21)</f>
        <v>2295523.75</v>
      </c>
    </row>
    <row r="22" customFormat="false" ht="15" hidden="false" customHeight="false" outlineLevel="0" collapsed="false">
      <c r="A22" s="40" t="n">
        <v>20</v>
      </c>
      <c r="B22" s="40" t="s">
        <v>116</v>
      </c>
      <c r="C22" s="40" t="s">
        <v>117</v>
      </c>
      <c r="D22" s="41" t="n">
        <v>2345000</v>
      </c>
      <c r="E22" s="42" t="n">
        <v>8156</v>
      </c>
      <c r="F22" s="42" t="n">
        <v>5423</v>
      </c>
      <c r="G22" s="42"/>
      <c r="H22" s="43" t="s">
        <v>71</v>
      </c>
      <c r="I22" s="43" t="s">
        <v>71</v>
      </c>
      <c r="J22" s="43" t="s">
        <v>71</v>
      </c>
      <c r="K22" s="44" t="s">
        <v>118</v>
      </c>
      <c r="L22" s="45" t="n">
        <f aca="false">IF(AO22&gt;AN22,AM22,AL22)</f>
        <v>5965</v>
      </c>
      <c r="M22" s="40" t="str">
        <f aca="false">IF(AO22&gt;AN22,"Zoning estimate",IF(H22="Yes","Approved plans",IF(G22&gt;0,"Listing claim","110% old house")))</f>
        <v>110% old house</v>
      </c>
      <c r="N22" s="45" t="n">
        <f aca="false">IF(AO22&gt;AN22,IF(AM22&gt;AL22,Assumptions!$B$22,Assumptions!$B$21),Assumptions!$B$21)</f>
        <v>2</v>
      </c>
      <c r="O22" s="46" t="n">
        <f aca="false">(INDEX(Assumptions!$B$36:$B$48,MATCH(AK22,Assumptions!$A$36:$A$48,0))+IF(I22="Yes",Assumptions!$B$23,0)+IF(J22="Yes",Assumptions!$B$24,0))*(1+IF(UPPER(Assumptions!$B$31)="WORST",Assumptions!$B$28,IF(UPPER(Assumptions!$B$31)="BEST",Assumptions!$B$30,Assumptions!$B$29)))</f>
        <v>1540</v>
      </c>
      <c r="P22" s="47" t="n">
        <f aca="false">L22*O22</f>
        <v>9186100</v>
      </c>
      <c r="Q22" s="47" t="n">
        <f aca="false">D22</f>
        <v>2345000</v>
      </c>
      <c r="R22" s="47" t="n">
        <f aca="false">L22*Assumptions!$B$4</f>
        <v>4175500</v>
      </c>
      <c r="S22" s="47" t="n">
        <f aca="false">IF(H22="Yes",Assumptions!$B$6*(D22),(L22)*Assumptions!$B$5)</f>
        <v>447375</v>
      </c>
      <c r="T22" s="47" t="n">
        <f aca="false">AP22*(Assumptions!$B$8*N22*Assumptions!$B$9+Assumptions!$B$10)</f>
        <v>611431.03125</v>
      </c>
      <c r="U22" s="47" t="n">
        <f aca="false">Q22*Assumptions!$B$11*N22</f>
        <v>56280</v>
      </c>
      <c r="V22" s="47" t="n">
        <f aca="false">P22*(Assumptions!$B$12+Assumptions!$B$13)</f>
        <v>372955.66</v>
      </c>
      <c r="W22" s="47" t="n">
        <f aca="false">P22*IF(P22&gt;=Assumptions!$B$16,Assumptions!$B$17,IF(P22&gt;=Assumptions!$B$14,Assumptions!$B$15,0))</f>
        <v>367444</v>
      </c>
      <c r="X22" s="48" t="n">
        <f aca="false">SUM(Q22:W22)</f>
        <v>8375985.69125</v>
      </c>
      <c r="Y22" s="48" t="n">
        <f aca="false">P22-X22</f>
        <v>810114.308750002</v>
      </c>
      <c r="Z22" s="49" t="n">
        <f aca="false">IF(X22=0,0,Y22/X22)</f>
        <v>0.0967186834614928</v>
      </c>
      <c r="AA22" s="47" t="n">
        <f aca="false">MAX(0,(P22/(1+Assumptions!$B$27)-(L22*(Assumptions!$B$4+IF(H22="Yes",0,Assumptions!$B$5)))*(1+(Assumptions!$B$7*(Assumptions!$B$8*N22*Assumptions!$B$9+Assumptions!$B$10)))-P22*(Assumptions!$B$12+Assumptions!$B$13+IF(P22&gt;=Assumptions!$B$16,Assumptions!$B$17,IF(P22&gt;=Assumptions!$B$14,Assumptions!$B$15,0))))/((1+IF(H22="Yes",Assumptions!$B$6,0))*(1+(Assumptions!$B$7*(Assumptions!$B$8*N22*Assumptions!$B$9+Assumptions!$B$10)))+Assumptions!$B$11*N22))</f>
        <v>1995935.32919115</v>
      </c>
      <c r="AB22" s="50" t="n">
        <f aca="false">IF(AA22&lt;=0,"no price works",D22/AA22)</f>
        <v>1.17488776600307</v>
      </c>
      <c r="AC22" s="46" t="n">
        <f aca="false">(INDEX(Assumptions!$B$36:$B$48,MATCH(AK22,Assumptions!$A$36:$A$48,0))+IF(I22="Yes",Assumptions!$B$23,0)+IF(J22="Yes",Assumptions!$B$24,0))*(1+Assumptions!$B$28)</f>
        <v>1400</v>
      </c>
      <c r="AD22" s="47" t="n">
        <f aca="false">(L22)*AC22-(((D22)+(L22)*Assumptions!$B$4+IF(H22="Yes",Assumptions!$B$6*(D22),(L22)*Assumptions!$B$5))*(1+Assumptions!$B$7*(Assumptions!$B$8*(N22)*Assumptions!$B$9+Assumptions!$B$10))+(D22)*Assumptions!$B$11*(N22)+(L22)*AC22*(Assumptions!$B$12+Assumptions!$B$13+IF((L22)*AC22&gt;=Assumptions!$B$16,Assumptions!$B$17,IF((L22)*AC22&gt;=Assumptions!$B$14,Assumptions!$B$15,0))))</f>
        <v>42323.3687500004</v>
      </c>
      <c r="AE22" s="46" t="n">
        <f aca="false">(INDEX(Assumptions!$B$36:$B$48,MATCH(AK22,Assumptions!$A$36:$A$48,0))+IF(I22="Yes",Assumptions!$B$23,0)+IF(J22="Yes",Assumptions!$B$24,0))*(1+Assumptions!$B$29)</f>
        <v>1540</v>
      </c>
      <c r="AF22" s="47" t="n">
        <f aca="false">(L22)*AE22-(((D22)+(L22)*Assumptions!$B$4+IF(H22="Yes",Assumptions!$B$6*(D22),(L22)*Assumptions!$B$5))*(1+Assumptions!$B$7*(Assumptions!$B$8*(N22)*Assumptions!$B$9+Assumptions!$B$10))+(D22)*Assumptions!$B$11*(N22)+(L22)*AE22*(Assumptions!$B$12+Assumptions!$B$13+IF((L22)*AE22&gt;=Assumptions!$B$16,Assumptions!$B$17,IF((L22)*AE22&gt;=Assumptions!$B$14,Assumptions!$B$15,0))))</f>
        <v>810114.308750002</v>
      </c>
      <c r="AG22" s="46" t="n">
        <f aca="false">(INDEX(Assumptions!$B$36:$B$48,MATCH(AK22,Assumptions!$A$36:$A$48,0))+IF(I22="Yes",Assumptions!$B$23,0)+IF(J22="Yes",Assumptions!$B$24,0))*(1+Assumptions!$B$30)</f>
        <v>1680</v>
      </c>
      <c r="AH22" s="47" t="n">
        <f aca="false">(L22)*AG22-(((D22)+(L22)*Assumptions!$B$4+IF(H22="Yes",Assumptions!$B$6*(D22),(L22)*Assumptions!$B$5))*(1+Assumptions!$B$7*(Assumptions!$B$8*(N22)*Assumptions!$B$9+Assumptions!$B$10))+(D22)*Assumptions!$B$11*(N22)+(L22)*AG22*(Assumptions!$B$12+Assumptions!$B$13+IF((L22)*AG22&gt;=Assumptions!$B$16,Assumptions!$B$17,IF((L22)*AG22&gt;=Assumptions!$B$14,Assumptions!$B$15,0))))</f>
        <v>1577905.24875</v>
      </c>
      <c r="AI22" s="47" t="n">
        <f aca="false">(L22)*AE22-(((D22)+(L22)*Assumptions!$B$25+IF(H22="Yes",Assumptions!$B$6*(D22),(L22)*Assumptions!$B$5))*(1+Assumptions!$B$7*(Assumptions!$B$8*(N22)*Assumptions!$B$9+Assumptions!$B$10))+(D22)*Assumptions!$B$11*(N22)+(L22)*AE22*(Assumptions!$B$12+Assumptions!$B$13+IF((L22)*AE22&gt;=Assumptions!$B$16,Assumptions!$B$17,IF((L22)*AE22&gt;=Assumptions!$B$14,Assumptions!$B$15,0))))</f>
        <v>1134535.74625</v>
      </c>
      <c r="AJ22" s="47" t="n">
        <f aca="false">(L22)*AE22-(((D22)+(L22)*Assumptions!$B$26+IF(H22="Yes",Assumptions!$B$6*(D22),(L22)*Assumptions!$B$5))*(1+Assumptions!$B$7*(Assumptions!$B$8*(N22)*Assumptions!$B$9+Assumptions!$B$10))+(D22)*Assumptions!$B$11*(N22)+(L22)*AE22*(Assumptions!$B$12+Assumptions!$B$13+IF((L22)*AE22&gt;=Assumptions!$B$16,Assumptions!$B$17,IF((L22)*AE22&gt;=Assumptions!$B$14,Assumptions!$B$15,0))))</f>
        <v>1458957.18375</v>
      </c>
      <c r="AK22" s="40" t="s">
        <v>119</v>
      </c>
      <c r="AL22" s="45" t="n">
        <f aca="false">IF(G22&gt;0,G22,ROUND(F22*Assumptions!$B$18,0))</f>
        <v>5965</v>
      </c>
      <c r="AM22" s="45" t="n">
        <f aca="false">IF(H22="Yes",AL22,MAX(AL22,MIN(Assumptions!$B$20,ROUND(E22*Assumptions!$B$19,0))))</f>
        <v>5965</v>
      </c>
      <c r="AN22" s="47" t="n">
        <f aca="false">(AL22)*AE22-(((D22)+(AL22)*Assumptions!$B$4+IF(H22="Yes",Assumptions!$B$6*(D22),(AL22)*Assumptions!$B$5))*(1+Assumptions!$B$7*(Assumptions!$B$8*(Assumptions!$B$21)*Assumptions!$B$9+Assumptions!$B$10))+(D22)*Assumptions!$B$11*(Assumptions!$B$21)+(AL22)*AE22*(Assumptions!$B$12+Assumptions!$B$13+IF((AL22)*AE22&gt;=Assumptions!$B$16,Assumptions!$B$17,IF((AL22)*AE22&gt;=Assumptions!$B$14,Assumptions!$B$15,0))))</f>
        <v>810114.308750002</v>
      </c>
      <c r="AO22" s="47" t="n">
        <f aca="false">(AM22)*AE22-(((D22)+(AM22)*Assumptions!$B$4+IF(H22="Yes",Assumptions!$B$6*(D22),(AM22)*Assumptions!$B$5))*(1+Assumptions!$B$7*(Assumptions!$B$8*(IF(AM22&gt;AL22,Assumptions!$B$22,Assumptions!$B$21))*Assumptions!$B$9+Assumptions!$B$10))+(D22)*Assumptions!$B$11*(IF(AM22&gt;AL22,Assumptions!$B$22,Assumptions!$B$21))+(AM22)*AE22*(Assumptions!$B$12+Assumptions!$B$13+IF((AM22)*AE22&gt;=Assumptions!$B$16,Assumptions!$B$17,IF((AM22)*AE22&gt;=Assumptions!$B$14,Assumptions!$B$15,0))))</f>
        <v>810114.308750002</v>
      </c>
      <c r="AP22" s="47" t="n">
        <f aca="false">Assumptions!$B$7*(Q22+R22+S22)</f>
        <v>4529118.75</v>
      </c>
    </row>
    <row r="23" customFormat="false" ht="15" hidden="false" customHeight="false" outlineLevel="0" collapsed="false">
      <c r="A23" s="40" t="n">
        <v>21</v>
      </c>
      <c r="B23" s="40" t="s">
        <v>120</v>
      </c>
      <c r="C23" s="40" t="s">
        <v>75</v>
      </c>
      <c r="D23" s="41" t="n">
        <v>1995000</v>
      </c>
      <c r="E23" s="42" t="n">
        <v>6058</v>
      </c>
      <c r="F23" s="42" t="n">
        <v>3590</v>
      </c>
      <c r="G23" s="42" t="n">
        <v>3496</v>
      </c>
      <c r="H23" s="43" t="s">
        <v>80</v>
      </c>
      <c r="I23" s="43" t="s">
        <v>71</v>
      </c>
      <c r="J23" s="43" t="s">
        <v>71</v>
      </c>
      <c r="K23" s="44" t="s">
        <v>121</v>
      </c>
      <c r="L23" s="45" t="n">
        <f aca="false">IF(AO23&gt;AN23,AM23,AL23)</f>
        <v>3496</v>
      </c>
      <c r="M23" s="40" t="str">
        <f aca="false">IF(AO23&gt;AN23,"Zoning estimate",IF(H23="Yes","Approved plans",IF(G23&gt;0,"Listing claim","110% old house")))</f>
        <v>Approved plans</v>
      </c>
      <c r="N23" s="45" t="n">
        <f aca="false">IF(AO23&gt;AN23,IF(AM23&gt;AL23,Assumptions!$B$22,Assumptions!$B$21),Assumptions!$B$21)</f>
        <v>2</v>
      </c>
      <c r="O23" s="46" t="n">
        <f aca="false">(INDEX(Assumptions!$B$36:$B$48,MATCH(AK23,Assumptions!$A$36:$A$48,0))+IF(I23="Yes",Assumptions!$B$23,0)+IF(J23="Yes",Assumptions!$B$24,0))*(1+IF(UPPER(Assumptions!$B$31)="WORST",Assumptions!$B$28,IF(UPPER(Assumptions!$B$31)="BEST",Assumptions!$B$30,Assumptions!$B$29)))</f>
        <v>1540</v>
      </c>
      <c r="P23" s="47" t="n">
        <f aca="false">L23*O23</f>
        <v>5383840</v>
      </c>
      <c r="Q23" s="47" t="n">
        <f aca="false">D23</f>
        <v>1995000</v>
      </c>
      <c r="R23" s="47" t="n">
        <f aca="false">L23*Assumptions!$B$4</f>
        <v>2447200</v>
      </c>
      <c r="S23" s="47" t="n">
        <f aca="false">IF(H23="Yes",Assumptions!$B$6*(D23),(L23)*Assumptions!$B$5)</f>
        <v>99750</v>
      </c>
      <c r="T23" s="47" t="n">
        <f aca="false">AP23*(Assumptions!$B$8*N23*Assumptions!$B$9+Assumptions!$B$10)</f>
        <v>398556.1125</v>
      </c>
      <c r="U23" s="47" t="n">
        <f aca="false">Q23*Assumptions!$B$11*N23</f>
        <v>47880</v>
      </c>
      <c r="V23" s="47" t="n">
        <f aca="false">P23*(Assumptions!$B$12+Assumptions!$B$13)</f>
        <v>218583.904</v>
      </c>
      <c r="W23" s="47" t="n">
        <f aca="false">P23*IF(P23&gt;=Assumptions!$B$16,Assumptions!$B$17,IF(P23&gt;=Assumptions!$B$14,Assumptions!$B$15,0))</f>
        <v>0</v>
      </c>
      <c r="X23" s="48" t="n">
        <f aca="false">SUM(Q23:W23)</f>
        <v>5206970.0165</v>
      </c>
      <c r="Y23" s="48" t="n">
        <f aca="false">P23-X23</f>
        <v>176869.983500001</v>
      </c>
      <c r="Z23" s="49" t="n">
        <f aca="false">IF(X23=0,0,Y23/X23)</f>
        <v>0.0339679281692674</v>
      </c>
      <c r="AA23" s="47" t="n">
        <f aca="false">MAX(0,(P23/(1+Assumptions!$B$27)-(L23*(Assumptions!$B$4+IF(H23="Yes",0,Assumptions!$B$5)))*(1+(Assumptions!$B$7*(Assumptions!$B$8*N23*Assumptions!$B$9+Assumptions!$B$10)))-P23*(Assumptions!$B$12+Assumptions!$B$13+IF(P23&gt;=Assumptions!$B$16,Assumptions!$B$17,IF(P23&gt;=Assumptions!$B$14,Assumptions!$B$15,0))))/((1+IF(H23="Yes",Assumptions!$B$6,0))*(1+(Assumptions!$B$7*(Assumptions!$B$8*N23*Assumptions!$B$9+Assumptions!$B$10)))+Assumptions!$B$11*N23))</f>
        <v>1544478.49931934</v>
      </c>
      <c r="AB23" s="50" t="n">
        <f aca="false">IF(AA23&lt;=0,"no price works",D23/AA23)</f>
        <v>1.29169813686575</v>
      </c>
      <c r="AC23" s="46" t="n">
        <f aca="false">(INDEX(Assumptions!$B$36:$B$48,MATCH(AK23,Assumptions!$A$36:$A$48,0))+IF(I23="Yes",Assumptions!$B$23,0)+IF(J23="Yes",Assumptions!$B$24,0))*(1+Assumptions!$B$28)</f>
        <v>1400</v>
      </c>
      <c r="AD23" s="47" t="n">
        <f aca="false">(L23)*AC23-(((D23)+(L23)*Assumptions!$B$4+IF(H23="Yes",Assumptions!$B$6*(D23),(L23)*Assumptions!$B$5))*(1+Assumptions!$B$7*(Assumptions!$B$8*(N23)*Assumptions!$B$9+Assumptions!$B$10))+(D23)*Assumptions!$B$11*(N23)+(L23)*AC23*(Assumptions!$B$12+Assumptions!$B$13+IF((L23)*AC23&gt;=Assumptions!$B$16,Assumptions!$B$17,IF((L23)*AC23&gt;=Assumptions!$B$14,Assumptions!$B$15,0))))</f>
        <v>-292698.7525</v>
      </c>
      <c r="AE23" s="46" t="n">
        <f aca="false">(INDEX(Assumptions!$B$36:$B$48,MATCH(AK23,Assumptions!$A$36:$A$48,0))+IF(I23="Yes",Assumptions!$B$23,0)+IF(J23="Yes",Assumptions!$B$24,0))*(1+Assumptions!$B$29)</f>
        <v>1540</v>
      </c>
      <c r="AF23" s="47" t="n">
        <f aca="false">(L23)*AE23-(((D23)+(L23)*Assumptions!$B$4+IF(H23="Yes",Assumptions!$B$6*(D23),(L23)*Assumptions!$B$5))*(1+Assumptions!$B$7*(Assumptions!$B$8*(N23)*Assumptions!$B$9+Assumptions!$B$10))+(D23)*Assumptions!$B$11*(N23)+(L23)*AE23*(Assumptions!$B$12+Assumptions!$B$13+IF((L23)*AE23&gt;=Assumptions!$B$16,Assumptions!$B$17,IF((L23)*AE23&gt;=Assumptions!$B$14,Assumptions!$B$15,0))))</f>
        <v>176869.983500001</v>
      </c>
      <c r="AG23" s="46" t="n">
        <f aca="false">(INDEX(Assumptions!$B$36:$B$48,MATCH(AK23,Assumptions!$A$36:$A$48,0))+IF(I23="Yes",Assumptions!$B$23,0)+IF(J23="Yes",Assumptions!$B$24,0))*(1+Assumptions!$B$30)</f>
        <v>1680</v>
      </c>
      <c r="AH23" s="47" t="n">
        <f aca="false">(L23)*AG23-(((D23)+(L23)*Assumptions!$B$4+IF(H23="Yes",Assumptions!$B$6*(D23),(L23)*Assumptions!$B$5))*(1+Assumptions!$B$7*(Assumptions!$B$8*(N23)*Assumptions!$B$9+Assumptions!$B$10))+(D23)*Assumptions!$B$11*(N23)+(L23)*AG23*(Assumptions!$B$12+Assumptions!$B$13+IF((L23)*AG23&gt;=Assumptions!$B$16,Assumptions!$B$17,IF((L23)*AG23&gt;=Assumptions!$B$14,Assumptions!$B$15,0))))</f>
        <v>411507.5195</v>
      </c>
      <c r="AI23" s="47" t="n">
        <f aca="false">(L23)*AE23-(((D23)+(L23)*Assumptions!$B$25+IF(H23="Yes",Assumptions!$B$6*(D23),(L23)*Assumptions!$B$5))*(1+Assumptions!$B$7*(Assumptions!$B$8*(N23)*Assumptions!$B$9+Assumptions!$B$10))+(D23)*Assumptions!$B$11*(N23)+(L23)*AE23*(Assumptions!$B$12+Assumptions!$B$13+IF((L23)*AE23&gt;=Assumptions!$B$16,Assumptions!$B$17,IF((L23)*AE23&gt;=Assumptions!$B$14,Assumptions!$B$15,0))))</f>
        <v>367008.683500001</v>
      </c>
      <c r="AJ23" s="47" t="n">
        <f aca="false">(L23)*AE23-(((D23)+(L23)*Assumptions!$B$26+IF(H23="Yes",Assumptions!$B$6*(D23),(L23)*Assumptions!$B$5))*(1+Assumptions!$B$7*(Assumptions!$B$8*(N23)*Assumptions!$B$9+Assumptions!$B$10))+(D23)*Assumptions!$B$11*(N23)+(L23)*AE23*(Assumptions!$B$12+Assumptions!$B$13+IF((L23)*AE23&gt;=Assumptions!$B$16,Assumptions!$B$17,IF((L23)*AE23&gt;=Assumptions!$B$14,Assumptions!$B$15,0))))</f>
        <v>557147.383500001</v>
      </c>
      <c r="AK23" s="40" t="s">
        <v>77</v>
      </c>
      <c r="AL23" s="45" t="n">
        <f aca="false">IF(G23&gt;0,G23,ROUND(F23*Assumptions!$B$18,0))</f>
        <v>3496</v>
      </c>
      <c r="AM23" s="45" t="n">
        <f aca="false">IF(H23="Yes",AL23,MAX(AL23,MIN(Assumptions!$B$20,ROUND(E23*Assumptions!$B$19,0))))</f>
        <v>3496</v>
      </c>
      <c r="AN23" s="47" t="n">
        <f aca="false">(AL23)*AE23-(((D23)+(AL23)*Assumptions!$B$4+IF(H23="Yes",Assumptions!$B$6*(D23),(AL23)*Assumptions!$B$5))*(1+Assumptions!$B$7*(Assumptions!$B$8*(Assumptions!$B$21)*Assumptions!$B$9+Assumptions!$B$10))+(D23)*Assumptions!$B$11*(Assumptions!$B$21)+(AL23)*AE23*(Assumptions!$B$12+Assumptions!$B$13+IF((AL23)*AE23&gt;=Assumptions!$B$16,Assumptions!$B$17,IF((AL23)*AE23&gt;=Assumptions!$B$14,Assumptions!$B$15,0))))</f>
        <v>176869.983500001</v>
      </c>
      <c r="AO23" s="47" t="n">
        <f aca="false">(AM23)*AE23-(((D23)+(AM23)*Assumptions!$B$4+IF(H23="Yes",Assumptions!$B$6*(D23),(AM23)*Assumptions!$B$5))*(1+Assumptions!$B$7*(Assumptions!$B$8*(IF(AM23&gt;AL23,Assumptions!$B$22,Assumptions!$B$21))*Assumptions!$B$9+Assumptions!$B$10))+(D23)*Assumptions!$B$11*(IF(AM23&gt;AL23,Assumptions!$B$22,Assumptions!$B$21))+(AM23)*AE23*(Assumptions!$B$12+Assumptions!$B$13+IF((AM23)*AE23&gt;=Assumptions!$B$16,Assumptions!$B$17,IF((AM23)*AE23&gt;=Assumptions!$B$14,Assumptions!$B$15,0))))</f>
        <v>176869.983500001</v>
      </c>
      <c r="AP23" s="47" t="n">
        <f aca="false">Assumptions!$B$7*(Q23+R23+S23)</f>
        <v>2952267.5</v>
      </c>
    </row>
    <row r="24" customFormat="false" ht="15" hidden="false" customHeight="false" outlineLevel="0" collapsed="false">
      <c r="A24" s="40" t="n">
        <v>22</v>
      </c>
      <c r="B24" s="40" t="s">
        <v>122</v>
      </c>
      <c r="C24" s="40" t="s">
        <v>102</v>
      </c>
      <c r="D24" s="41" t="n">
        <v>848000</v>
      </c>
      <c r="E24" s="42" t="n">
        <v>4504</v>
      </c>
      <c r="F24" s="42" t="n">
        <v>2200</v>
      </c>
      <c r="G24" s="42"/>
      <c r="H24" s="43" t="s">
        <v>71</v>
      </c>
      <c r="I24" s="43" t="s">
        <v>71</v>
      </c>
      <c r="J24" s="43" t="s">
        <v>71</v>
      </c>
      <c r="K24" s="44" t="s">
        <v>76</v>
      </c>
      <c r="L24" s="45" t="n">
        <f aca="false">IF(AO24&gt;AN24,AM24,AL24)</f>
        <v>2420</v>
      </c>
      <c r="M24" s="40" t="str">
        <f aca="false">IF(AO24&gt;AN24,"Zoning estimate",IF(H24="Yes","Approved plans",IF(G24&gt;0,"Listing claim","110% old house")))</f>
        <v>110% old house</v>
      </c>
      <c r="N24" s="45" t="n">
        <f aca="false">IF(AO24&gt;AN24,IF(AM24&gt;AL24,Assumptions!$B$22,Assumptions!$B$21),Assumptions!$B$21)</f>
        <v>2</v>
      </c>
      <c r="O24" s="46" t="n">
        <f aca="false">(INDEX(Assumptions!$B$36:$B$48,MATCH(AK24,Assumptions!$A$36:$A$48,0))+IF(I24="Yes",Assumptions!$B$23,0)+IF(J24="Yes",Assumptions!$B$24,0))*(1+IF(UPPER(Assumptions!$B$31)="WORST",Assumptions!$B$28,IF(UPPER(Assumptions!$B$31)="BEST",Assumptions!$B$30,Assumptions!$B$29)))</f>
        <v>1375</v>
      </c>
      <c r="P24" s="47" t="n">
        <f aca="false">L24*O24</f>
        <v>3327500</v>
      </c>
      <c r="Q24" s="47" t="n">
        <f aca="false">D24</f>
        <v>848000</v>
      </c>
      <c r="R24" s="47" t="n">
        <f aca="false">L24*Assumptions!$B$4</f>
        <v>1694000</v>
      </c>
      <c r="S24" s="47" t="n">
        <f aca="false">IF(H24="Yes",Assumptions!$B$6*(D24),(L24)*Assumptions!$B$5)</f>
        <v>181500</v>
      </c>
      <c r="T24" s="47" t="n">
        <f aca="false">AP24*(Assumptions!$B$8*N24*Assumptions!$B$9+Assumptions!$B$10)</f>
        <v>238987.125</v>
      </c>
      <c r="U24" s="47" t="n">
        <f aca="false">Q24*Assumptions!$B$11*N24</f>
        <v>20352</v>
      </c>
      <c r="V24" s="47" t="n">
        <f aca="false">P24*(Assumptions!$B$12+Assumptions!$B$13)</f>
        <v>135096.5</v>
      </c>
      <c r="W24" s="47" t="n">
        <f aca="false">P24*IF(P24&gt;=Assumptions!$B$16,Assumptions!$B$17,IF(P24&gt;=Assumptions!$B$14,Assumptions!$B$15,0))</f>
        <v>0</v>
      </c>
      <c r="X24" s="48" t="n">
        <f aca="false">SUM(Q24:W24)</f>
        <v>3117935.625</v>
      </c>
      <c r="Y24" s="48" t="n">
        <f aca="false">P24-X24</f>
        <v>209564.375</v>
      </c>
      <c r="Z24" s="49" t="n">
        <f aca="false">IF(X24=0,0,Y24/X24)</f>
        <v>0.0672125406694373</v>
      </c>
      <c r="AA24" s="47" t="n">
        <f aca="false">MAX(0,(P24/(1+Assumptions!$B$27)-(L24*(Assumptions!$B$4+IF(H24="Yes",0,Assumptions!$B$5)))*(1+(Assumptions!$B$7*(Assumptions!$B$8*N24*Assumptions!$B$9+Assumptions!$B$10)))-P24*(Assumptions!$B$12+Assumptions!$B$13+IF(P24&gt;=Assumptions!$B$16,Assumptions!$B$17,IF(P24&gt;=Assumptions!$B$14,Assumptions!$B$15,0))))/((1+IF(H24="Yes",Assumptions!$B$6,0))*(1+(Assumptions!$B$7*(Assumptions!$B$8*N24*Assumptions!$B$9+Assumptions!$B$10)))+Assumptions!$B$11*N24))</f>
        <v>646104.462216834</v>
      </c>
      <c r="AB24" s="50" t="n">
        <f aca="false">IF(AA24&lt;=0,"no price works",D24/AA24)</f>
        <v>1.31248126207091</v>
      </c>
      <c r="AC24" s="46" t="n">
        <f aca="false">(INDEX(Assumptions!$B$36:$B$48,MATCH(AK24,Assumptions!$A$36:$A$48,0))+IF(I24="Yes",Assumptions!$B$23,0)+IF(J24="Yes",Assumptions!$B$24,0))*(1+Assumptions!$B$28)</f>
        <v>1250</v>
      </c>
      <c r="AD24" s="47" t="n">
        <f aca="false">(L24)*AC24-(((D24)+(L24)*Assumptions!$B$4+IF(H24="Yes",Assumptions!$B$6*(D24),(L24)*Assumptions!$B$5))*(1+Assumptions!$B$7*(Assumptions!$B$8*(N24)*Assumptions!$B$9+Assumptions!$B$10))+(D24)*Assumptions!$B$11*(N24)+(L24)*AC24*(Assumptions!$B$12+Assumptions!$B$13+IF((L24)*AC24&gt;=Assumptions!$B$16,Assumptions!$B$17,IF((L24)*AC24&gt;=Assumptions!$B$14,Assumptions!$B$15,0))))</f>
        <v>-80654.125</v>
      </c>
      <c r="AE24" s="46" t="n">
        <f aca="false">(INDEX(Assumptions!$B$36:$B$48,MATCH(AK24,Assumptions!$A$36:$A$48,0))+IF(I24="Yes",Assumptions!$B$23,0)+IF(J24="Yes",Assumptions!$B$24,0))*(1+Assumptions!$B$29)</f>
        <v>1375</v>
      </c>
      <c r="AF24" s="47" t="n">
        <f aca="false">(L24)*AE24-(((D24)+(L24)*Assumptions!$B$4+IF(H24="Yes",Assumptions!$B$6*(D24),(L24)*Assumptions!$B$5))*(1+Assumptions!$B$7*(Assumptions!$B$8*(N24)*Assumptions!$B$9+Assumptions!$B$10))+(D24)*Assumptions!$B$11*(N24)+(L24)*AE24*(Assumptions!$B$12+Assumptions!$B$13+IF((L24)*AE24&gt;=Assumptions!$B$16,Assumptions!$B$17,IF((L24)*AE24&gt;=Assumptions!$B$14,Assumptions!$B$15,0))))</f>
        <v>209564.375</v>
      </c>
      <c r="AG24" s="46" t="n">
        <f aca="false">(INDEX(Assumptions!$B$36:$B$48,MATCH(AK24,Assumptions!$A$36:$A$48,0))+IF(I24="Yes",Assumptions!$B$23,0)+IF(J24="Yes",Assumptions!$B$24,0))*(1+Assumptions!$B$30)</f>
        <v>1500</v>
      </c>
      <c r="AH24" s="47" t="n">
        <f aca="false">(L24)*AG24-(((D24)+(L24)*Assumptions!$B$4+IF(H24="Yes",Assumptions!$B$6*(D24),(L24)*Assumptions!$B$5))*(1+Assumptions!$B$7*(Assumptions!$B$8*(N24)*Assumptions!$B$9+Assumptions!$B$10))+(D24)*Assumptions!$B$11*(N24)+(L24)*AG24*(Assumptions!$B$12+Assumptions!$B$13+IF((L24)*AG24&gt;=Assumptions!$B$16,Assumptions!$B$17,IF((L24)*AG24&gt;=Assumptions!$B$14,Assumptions!$B$15,0))))</f>
        <v>499782.875</v>
      </c>
      <c r="AI24" s="47" t="n">
        <f aca="false">(L24)*AE24-(((D24)+(L24)*Assumptions!$B$25+IF(H24="Yes",Assumptions!$B$6*(D24),(L24)*Assumptions!$B$5))*(1+Assumptions!$B$7*(Assumptions!$B$8*(N24)*Assumptions!$B$9+Assumptions!$B$10))+(D24)*Assumptions!$B$11*(N24)+(L24)*AE24*(Assumptions!$B$12+Assumptions!$B$13+IF((L24)*AE24&gt;=Assumptions!$B$16,Assumptions!$B$17,IF((L24)*AE24&gt;=Assumptions!$B$14,Assumptions!$B$15,0))))</f>
        <v>341182.125</v>
      </c>
      <c r="AJ24" s="47" t="n">
        <f aca="false">(L24)*AE24-(((D24)+(L24)*Assumptions!$B$26+IF(H24="Yes",Assumptions!$B$6*(D24),(L24)*Assumptions!$B$5))*(1+Assumptions!$B$7*(Assumptions!$B$8*(N24)*Assumptions!$B$9+Assumptions!$B$10))+(D24)*Assumptions!$B$11*(N24)+(L24)*AE24*(Assumptions!$B$12+Assumptions!$B$13+IF((L24)*AE24&gt;=Assumptions!$B$16,Assumptions!$B$17,IF((L24)*AE24&gt;=Assumptions!$B$14,Assumptions!$B$15,0))))</f>
        <v>472799.875</v>
      </c>
      <c r="AK24" s="40" t="s">
        <v>104</v>
      </c>
      <c r="AL24" s="45" t="n">
        <f aca="false">IF(G24&gt;0,G24,ROUND(F24*Assumptions!$B$18,0))</f>
        <v>2420</v>
      </c>
      <c r="AM24" s="45" t="n">
        <f aca="false">IF(H24="Yes",AL24,MAX(AL24,MIN(Assumptions!$B$20,ROUND(E24*Assumptions!$B$19,0))))</f>
        <v>2420</v>
      </c>
      <c r="AN24" s="47" t="n">
        <f aca="false">(AL24)*AE24-(((D24)+(AL24)*Assumptions!$B$4+IF(H24="Yes",Assumptions!$B$6*(D24),(AL24)*Assumptions!$B$5))*(1+Assumptions!$B$7*(Assumptions!$B$8*(Assumptions!$B$21)*Assumptions!$B$9+Assumptions!$B$10))+(D24)*Assumptions!$B$11*(Assumptions!$B$21)+(AL24)*AE24*(Assumptions!$B$12+Assumptions!$B$13+IF((AL24)*AE24&gt;=Assumptions!$B$16,Assumptions!$B$17,IF((AL24)*AE24&gt;=Assumptions!$B$14,Assumptions!$B$15,0))))</f>
        <v>209564.375</v>
      </c>
      <c r="AO24" s="47" t="n">
        <f aca="false">(AM24)*AE24-(((D24)+(AM24)*Assumptions!$B$4+IF(H24="Yes",Assumptions!$B$6*(D24),(AM24)*Assumptions!$B$5))*(1+Assumptions!$B$7*(Assumptions!$B$8*(IF(AM24&gt;AL24,Assumptions!$B$22,Assumptions!$B$21))*Assumptions!$B$9+Assumptions!$B$10))+(D24)*Assumptions!$B$11*(IF(AM24&gt;AL24,Assumptions!$B$22,Assumptions!$B$21))+(AM24)*AE24*(Assumptions!$B$12+Assumptions!$B$13+IF((AM24)*AE24&gt;=Assumptions!$B$16,Assumptions!$B$17,IF((AM24)*AE24&gt;=Assumptions!$B$14,Assumptions!$B$15,0))))</f>
        <v>209564.375</v>
      </c>
      <c r="AP24" s="47" t="n">
        <f aca="false">Assumptions!$B$7*(Q24+R24+S24)</f>
        <v>1770275</v>
      </c>
    </row>
    <row r="25" customFormat="false" ht="15" hidden="false" customHeight="false" outlineLevel="0" collapsed="false">
      <c r="A25" s="40" t="n">
        <v>23</v>
      </c>
      <c r="B25" s="40" t="s">
        <v>123</v>
      </c>
      <c r="C25" s="40" t="s">
        <v>79</v>
      </c>
      <c r="D25" s="41" t="n">
        <v>3950000</v>
      </c>
      <c r="E25" s="42" t="n">
        <v>7199</v>
      </c>
      <c r="F25" s="42" t="n">
        <v>2988</v>
      </c>
      <c r="G25" s="42" t="n">
        <v>3960</v>
      </c>
      <c r="H25" s="43" t="s">
        <v>80</v>
      </c>
      <c r="I25" s="43" t="s">
        <v>71</v>
      </c>
      <c r="J25" s="43" t="s">
        <v>71</v>
      </c>
      <c r="K25" s="44" t="s">
        <v>124</v>
      </c>
      <c r="L25" s="45" t="n">
        <f aca="false">IF(AO25&gt;AN25,AM25,AL25)</f>
        <v>3960</v>
      </c>
      <c r="M25" s="40" t="str">
        <f aca="false">IF(AO25&gt;AN25,"Zoning estimate",IF(H25="Yes","Approved plans",IF(G25&gt;0,"Listing claim","110% old house")))</f>
        <v>Approved plans</v>
      </c>
      <c r="N25" s="45" t="n">
        <f aca="false">IF(AO25&gt;AN25,IF(AM25&gt;AL25,Assumptions!$B$22,Assumptions!$B$21),Assumptions!$B$21)</f>
        <v>2</v>
      </c>
      <c r="O25" s="46" t="n">
        <f aca="false">(INDEX(Assumptions!$B$36:$B$48,MATCH(AK25,Assumptions!$A$36:$A$48,0))+IF(I25="Yes",Assumptions!$B$23,0)+IF(J25="Yes",Assumptions!$B$24,0))*(1+IF(UPPER(Assumptions!$B$31)="WORST",Assumptions!$B$28,IF(UPPER(Assumptions!$B$31)="BEST",Assumptions!$B$30,Assumptions!$B$29)))</f>
        <v>2035</v>
      </c>
      <c r="P25" s="47" t="n">
        <f aca="false">L25*O25</f>
        <v>8058600</v>
      </c>
      <c r="Q25" s="47" t="n">
        <f aca="false">D25</f>
        <v>3950000</v>
      </c>
      <c r="R25" s="47" t="n">
        <f aca="false">L25*Assumptions!$B$4</f>
        <v>2772000</v>
      </c>
      <c r="S25" s="47" t="n">
        <f aca="false">IF(H25="Yes",Assumptions!$B$6*(D25),(L25)*Assumptions!$B$5)</f>
        <v>197500</v>
      </c>
      <c r="T25" s="47" t="n">
        <f aca="false">AP25*(Assumptions!$B$8*N25*Assumptions!$B$9+Assumptions!$B$10)</f>
        <v>607186.125</v>
      </c>
      <c r="U25" s="47" t="n">
        <f aca="false">Q25*Assumptions!$B$11*N25</f>
        <v>94800</v>
      </c>
      <c r="V25" s="47" t="n">
        <f aca="false">P25*(Assumptions!$B$12+Assumptions!$B$13)</f>
        <v>327179.16</v>
      </c>
      <c r="W25" s="47" t="n">
        <f aca="false">P25*IF(P25&gt;=Assumptions!$B$16,Assumptions!$B$17,IF(P25&gt;=Assumptions!$B$14,Assumptions!$B$15,0))</f>
        <v>322344</v>
      </c>
      <c r="X25" s="48" t="n">
        <f aca="false">SUM(Q25:W25)</f>
        <v>8271009.285</v>
      </c>
      <c r="Y25" s="48" t="n">
        <f aca="false">P25-X25</f>
        <v>-212409.284999999</v>
      </c>
      <c r="Z25" s="49" t="n">
        <f aca="false">IF(X25=0,0,Y25/X25)</f>
        <v>-0.025681180818551</v>
      </c>
      <c r="AA25" s="47" t="n">
        <f aca="false">MAX(0,(P25/(1+Assumptions!$B$27)-(L25*(Assumptions!$B$4+IF(H25="Yes",0,Assumptions!$B$5)))*(1+(Assumptions!$B$7*(Assumptions!$B$8*N25*Assumptions!$B$9+Assumptions!$B$10)))-P25*(Assumptions!$B$12+Assumptions!$B$13+IF(P25&gt;=Assumptions!$B$16,Assumptions!$B$17,IF(P25&gt;=Assumptions!$B$14,Assumptions!$B$15,0))))/((1+IF(H25="Yes",Assumptions!$B$6,0))*(1+(Assumptions!$B$7*(Assumptions!$B$8*N25*Assumptions!$B$9+Assumptions!$B$10)))+Assumptions!$B$11*N25))</f>
        <v>2866481.95506067</v>
      </c>
      <c r="AB25" s="50" t="n">
        <f aca="false">IF(AA25&lt;=0,"no price works",D25/AA25)</f>
        <v>1.37799576691087</v>
      </c>
      <c r="AC25" s="46" t="n">
        <f aca="false">(INDEX(Assumptions!$B$36:$B$48,MATCH(AK25,Assumptions!$A$36:$A$48,0))+IF(I25="Yes",Assumptions!$B$23,0)+IF(J25="Yes",Assumptions!$B$24,0))*(1+Assumptions!$B$28)</f>
        <v>1850</v>
      </c>
      <c r="AD25" s="47" t="n">
        <f aca="false">(L25)*AC25-(((D25)+(L25)*Assumptions!$B$4+IF(H25="Yes",Assumptions!$B$6*(D25),(L25)*Assumptions!$B$5))*(1+Assumptions!$B$7*(Assumptions!$B$8*(N25)*Assumptions!$B$9+Assumptions!$B$10))+(D25)*Assumptions!$B$11*(N25)+(L25)*AC25*(Assumptions!$B$12+Assumptions!$B$13+IF((L25)*AC25&gt;=Assumptions!$B$16,Assumptions!$B$17,IF((L25)*AC25&gt;=Assumptions!$B$14,Assumptions!$B$15,0))))</f>
        <v>-885961.725</v>
      </c>
      <c r="AE25" s="46" t="n">
        <f aca="false">(INDEX(Assumptions!$B$36:$B$48,MATCH(AK25,Assumptions!$A$36:$A$48,0))+IF(I25="Yes",Assumptions!$B$23,0)+IF(J25="Yes",Assumptions!$B$24,0))*(1+Assumptions!$B$29)</f>
        <v>2035</v>
      </c>
      <c r="AF25" s="47" t="n">
        <f aca="false">(L25)*AE25-(((D25)+(L25)*Assumptions!$B$4+IF(H25="Yes",Assumptions!$B$6*(D25),(L25)*Assumptions!$B$5))*(1+Assumptions!$B$7*(Assumptions!$B$8*(N25)*Assumptions!$B$9+Assumptions!$B$10))+(D25)*Assumptions!$B$11*(N25)+(L25)*AE25*(Assumptions!$B$12+Assumptions!$B$13+IF((L25)*AE25&gt;=Assumptions!$B$16,Assumptions!$B$17,IF((L25)*AE25&gt;=Assumptions!$B$14,Assumptions!$B$15,0))))</f>
        <v>-212409.284999999</v>
      </c>
      <c r="AG25" s="46" t="n">
        <f aca="false">(INDEX(Assumptions!$B$36:$B$48,MATCH(AK25,Assumptions!$A$36:$A$48,0))+IF(I25="Yes",Assumptions!$B$23,0)+IF(J25="Yes",Assumptions!$B$24,0))*(1+Assumptions!$B$30)</f>
        <v>2220</v>
      </c>
      <c r="AH25" s="47" t="n">
        <f aca="false">(L25)*AG25-(((D25)+(L25)*Assumptions!$B$4+IF(H25="Yes",Assumptions!$B$6*(D25),(L25)*Assumptions!$B$5))*(1+Assumptions!$B$7*(Assumptions!$B$8*(N25)*Assumptions!$B$9+Assumptions!$B$10))+(D25)*Assumptions!$B$11*(N25)+(L25)*AG25*(Assumptions!$B$12+Assumptions!$B$13+IF((L25)*AG25&gt;=Assumptions!$B$16,Assumptions!$B$17,IF((L25)*AG25&gt;=Assumptions!$B$14,Assumptions!$B$15,0))))</f>
        <v>461143.155</v>
      </c>
      <c r="AI25" s="47" t="n">
        <f aca="false">(L25)*AE25-(((D25)+(L25)*Assumptions!$B$25+IF(H25="Yes",Assumptions!$B$6*(D25),(L25)*Assumptions!$B$5))*(1+Assumptions!$B$7*(Assumptions!$B$8*(N25)*Assumptions!$B$9+Assumptions!$B$10))+(D25)*Assumptions!$B$11*(N25)+(L25)*AE25*(Assumptions!$B$12+Assumptions!$B$13+IF((L25)*AE25&gt;=Assumptions!$B$16,Assumptions!$B$17,IF((L25)*AE25&gt;=Assumptions!$B$14,Assumptions!$B$15,0))))</f>
        <v>2965.21500000078</v>
      </c>
      <c r="AJ25" s="47" t="n">
        <f aca="false">(L25)*AE25-(((D25)+(L25)*Assumptions!$B$26+IF(H25="Yes",Assumptions!$B$6*(D25),(L25)*Assumptions!$B$5))*(1+Assumptions!$B$7*(Assumptions!$B$8*(N25)*Assumptions!$B$9+Assumptions!$B$10))+(D25)*Assumptions!$B$11*(N25)+(L25)*AE25*(Assumptions!$B$12+Assumptions!$B$13+IF((L25)*AE25&gt;=Assumptions!$B$16,Assumptions!$B$17,IF((L25)*AE25&gt;=Assumptions!$B$14,Assumptions!$B$15,0))))</f>
        <v>218339.715000001</v>
      </c>
      <c r="AK25" s="40" t="s">
        <v>82</v>
      </c>
      <c r="AL25" s="45" t="n">
        <f aca="false">IF(G25&gt;0,G25,ROUND(F25*Assumptions!$B$18,0))</f>
        <v>3960</v>
      </c>
      <c r="AM25" s="45" t="n">
        <f aca="false">IF(H25="Yes",AL25,MAX(AL25,MIN(Assumptions!$B$20,ROUND(E25*Assumptions!$B$19,0))))</f>
        <v>3960</v>
      </c>
      <c r="AN25" s="47" t="n">
        <f aca="false">(AL25)*AE25-(((D25)+(AL25)*Assumptions!$B$4+IF(H25="Yes",Assumptions!$B$6*(D25),(AL25)*Assumptions!$B$5))*(1+Assumptions!$B$7*(Assumptions!$B$8*(Assumptions!$B$21)*Assumptions!$B$9+Assumptions!$B$10))+(D25)*Assumptions!$B$11*(Assumptions!$B$21)+(AL25)*AE25*(Assumptions!$B$12+Assumptions!$B$13+IF((AL25)*AE25&gt;=Assumptions!$B$16,Assumptions!$B$17,IF((AL25)*AE25&gt;=Assumptions!$B$14,Assumptions!$B$15,0))))</f>
        <v>-212409.284999999</v>
      </c>
      <c r="AO25" s="47" t="n">
        <f aca="false">(AM25)*AE25-(((D25)+(AM25)*Assumptions!$B$4+IF(H25="Yes",Assumptions!$B$6*(D25),(AM25)*Assumptions!$B$5))*(1+Assumptions!$B$7*(Assumptions!$B$8*(IF(AM25&gt;AL25,Assumptions!$B$22,Assumptions!$B$21))*Assumptions!$B$9+Assumptions!$B$10))+(D25)*Assumptions!$B$11*(IF(AM25&gt;AL25,Assumptions!$B$22,Assumptions!$B$21))+(AM25)*AE25*(Assumptions!$B$12+Assumptions!$B$13+IF((AM25)*AE25&gt;=Assumptions!$B$16,Assumptions!$B$17,IF((AM25)*AE25&gt;=Assumptions!$B$14,Assumptions!$B$15,0))))</f>
        <v>-212409.284999999</v>
      </c>
      <c r="AP25" s="47" t="n">
        <f aca="false">Assumptions!$B$7*(Q25+R25+S25)</f>
        <v>4497675</v>
      </c>
    </row>
    <row r="26" customFormat="false" ht="15" hidden="false" customHeight="false" outlineLevel="0" collapsed="false">
      <c r="A26" s="40" t="n">
        <v>24</v>
      </c>
      <c r="B26" s="40" t="s">
        <v>125</v>
      </c>
      <c r="C26" s="40" t="s">
        <v>126</v>
      </c>
      <c r="D26" s="41" t="n">
        <v>2595000</v>
      </c>
      <c r="E26" s="42" t="n">
        <v>7441</v>
      </c>
      <c r="F26" s="42" t="n">
        <v>5984</v>
      </c>
      <c r="G26" s="42" t="n">
        <v>6000</v>
      </c>
      <c r="H26" s="43" t="s">
        <v>80</v>
      </c>
      <c r="I26" s="43" t="s">
        <v>80</v>
      </c>
      <c r="J26" s="43" t="s">
        <v>71</v>
      </c>
      <c r="K26" s="44" t="s">
        <v>127</v>
      </c>
      <c r="L26" s="45" t="n">
        <f aca="false">IF(AO26&gt;AN26,AM26,AL26)</f>
        <v>6000</v>
      </c>
      <c r="M26" s="40" t="str">
        <f aca="false">IF(AO26&gt;AN26,"Zoning estimate",IF(H26="Yes","Approved plans",IF(G26&gt;0,"Listing claim","110% old house")))</f>
        <v>Approved plans</v>
      </c>
      <c r="N26" s="45" t="n">
        <f aca="false">IF(AO26&gt;AN26,IF(AM26&gt;AL26,Assumptions!$B$22,Assumptions!$B$21),Assumptions!$B$21)</f>
        <v>2</v>
      </c>
      <c r="O26" s="46" t="n">
        <f aca="false">(INDEX(Assumptions!$B$36:$B$48,MATCH(AK26,Assumptions!$A$36:$A$48,0))+IF(I26="Yes",Assumptions!$B$23,0)+IF(J26="Yes",Assumptions!$B$24,0))*(1+IF(UPPER(Assumptions!$B$31)="WORST",Assumptions!$B$28,IF(UPPER(Assumptions!$B$31)="BEST",Assumptions!$B$30,Assumptions!$B$29)))</f>
        <v>1540</v>
      </c>
      <c r="P26" s="47" t="n">
        <f aca="false">L26*O26</f>
        <v>9240000</v>
      </c>
      <c r="Q26" s="47" t="n">
        <f aca="false">D26</f>
        <v>2595000</v>
      </c>
      <c r="R26" s="47" t="n">
        <f aca="false">L26*Assumptions!$B$4</f>
        <v>4200000</v>
      </c>
      <c r="S26" s="47" t="n">
        <f aca="false">IF(H26="Yes",Assumptions!$B$6*(D26),(L26)*Assumptions!$B$5)</f>
        <v>129750</v>
      </c>
      <c r="T26" s="47" t="n">
        <f aca="false">AP26*(Assumptions!$B$8*N26*Assumptions!$B$9+Assumptions!$B$10)</f>
        <v>607646.8125</v>
      </c>
      <c r="U26" s="47" t="n">
        <f aca="false">Q26*Assumptions!$B$11*N26</f>
        <v>62280</v>
      </c>
      <c r="V26" s="47" t="n">
        <f aca="false">P26*(Assumptions!$B$12+Assumptions!$B$13)</f>
        <v>375144</v>
      </c>
      <c r="W26" s="47" t="n">
        <f aca="false">P26*IF(P26&gt;=Assumptions!$B$16,Assumptions!$B$17,IF(P26&gt;=Assumptions!$B$14,Assumptions!$B$15,0))</f>
        <v>369600</v>
      </c>
      <c r="X26" s="48" t="n">
        <f aca="false">SUM(Q26:W26)</f>
        <v>8339420.8125</v>
      </c>
      <c r="Y26" s="48" t="n">
        <f aca="false">P26-X26</f>
        <v>900579.187500002</v>
      </c>
      <c r="Z26" s="49" t="n">
        <f aca="false">IF(X26=0,0,Y26/X26)</f>
        <v>0.107990615625263</v>
      </c>
      <c r="AA26" s="47" t="n">
        <f aca="false">MAX(0,(P26/(1+Assumptions!$B$27)-(L26*(Assumptions!$B$4+IF(H26="Yes",0,Assumptions!$B$5)))*(1+(Assumptions!$B$7*(Assumptions!$B$8*N26*Assumptions!$B$9+Assumptions!$B$10)))-P26*(Assumptions!$B$12+Assumptions!$B$13+IF(P26&gt;=Assumptions!$B$16,Assumptions!$B$17,IF(P26&gt;=Assumptions!$B$14,Assumptions!$B$15,0))))/((1+IF(H26="Yes",Assumptions!$B$6,0))*(1+(Assumptions!$B$7*(Assumptions!$B$8*N26*Assumptions!$B$9+Assumptions!$B$10)))+Assumptions!$B$11*N26))</f>
        <v>2333763.04997966</v>
      </c>
      <c r="AB26" s="50" t="n">
        <f aca="false">IF(AA26&lt;=0,"no price works",D26/AA26)</f>
        <v>1.11193807787068</v>
      </c>
      <c r="AC26" s="46" t="n">
        <f aca="false">(INDEX(Assumptions!$B$36:$B$48,MATCH(AK26,Assumptions!$A$36:$A$48,0))+IF(I26="Yes",Assumptions!$B$23,0)+IF(J26="Yes",Assumptions!$B$24,0))*(1+Assumptions!$B$28)</f>
        <v>1400</v>
      </c>
      <c r="AD26" s="47" t="n">
        <f aca="false">(L26)*AC26-(((D26)+(L26)*Assumptions!$B$4+IF(H26="Yes",Assumptions!$B$6*(D26),(L26)*Assumptions!$B$5))*(1+Assumptions!$B$7*(Assumptions!$B$8*(N26)*Assumptions!$B$9+Assumptions!$B$10))+(D26)*Assumptions!$B$11*(N26)+(L26)*AC26*(Assumptions!$B$12+Assumptions!$B$13+IF((L26)*AC26&gt;=Assumptions!$B$16,Assumptions!$B$17,IF((L26)*AC26&gt;=Assumptions!$B$14,Assumptions!$B$15,0))))</f>
        <v>128283.1875</v>
      </c>
      <c r="AE26" s="46" t="n">
        <f aca="false">(INDEX(Assumptions!$B$36:$B$48,MATCH(AK26,Assumptions!$A$36:$A$48,0))+IF(I26="Yes",Assumptions!$B$23,0)+IF(J26="Yes",Assumptions!$B$24,0))*(1+Assumptions!$B$29)</f>
        <v>1540</v>
      </c>
      <c r="AF26" s="47" t="n">
        <f aca="false">(L26)*AE26-(((D26)+(L26)*Assumptions!$B$4+IF(H26="Yes",Assumptions!$B$6*(D26),(L26)*Assumptions!$B$5))*(1+Assumptions!$B$7*(Assumptions!$B$8*(N26)*Assumptions!$B$9+Assumptions!$B$10))+(D26)*Assumptions!$B$11*(N26)+(L26)*AE26*(Assumptions!$B$12+Assumptions!$B$13+IF((L26)*AE26&gt;=Assumptions!$B$16,Assumptions!$B$17,IF((L26)*AE26&gt;=Assumptions!$B$14,Assumptions!$B$15,0))))</f>
        <v>900579.187500002</v>
      </c>
      <c r="AG26" s="46" t="n">
        <f aca="false">(INDEX(Assumptions!$B$36:$B$48,MATCH(AK26,Assumptions!$A$36:$A$48,0))+IF(I26="Yes",Assumptions!$B$23,0)+IF(J26="Yes",Assumptions!$B$24,0))*(1+Assumptions!$B$30)</f>
        <v>1680</v>
      </c>
      <c r="AH26" s="47" t="n">
        <f aca="false">(L26)*AG26-(((D26)+(L26)*Assumptions!$B$4+IF(H26="Yes",Assumptions!$B$6*(D26),(L26)*Assumptions!$B$5))*(1+Assumptions!$B$7*(Assumptions!$B$8*(N26)*Assumptions!$B$9+Assumptions!$B$10))+(D26)*Assumptions!$B$11*(N26)+(L26)*AG26*(Assumptions!$B$12+Assumptions!$B$13+IF((L26)*AG26&gt;=Assumptions!$B$16,Assumptions!$B$17,IF((L26)*AG26&gt;=Assumptions!$B$14,Assumptions!$B$15,0))))</f>
        <v>1672875.1875</v>
      </c>
      <c r="AI26" s="47" t="n">
        <f aca="false">(L26)*AE26-(((D26)+(L26)*Assumptions!$B$25+IF(H26="Yes",Assumptions!$B$6*(D26),(L26)*Assumptions!$B$5))*(1+Assumptions!$B$7*(Assumptions!$B$8*(N26)*Assumptions!$B$9+Assumptions!$B$10))+(D26)*Assumptions!$B$11*(N26)+(L26)*AE26*(Assumptions!$B$12+Assumptions!$B$13+IF((L26)*AE26&gt;=Assumptions!$B$16,Assumptions!$B$17,IF((L26)*AE26&gt;=Assumptions!$B$14,Assumptions!$B$15,0))))</f>
        <v>1226904.1875</v>
      </c>
      <c r="AJ26" s="47" t="n">
        <f aca="false">(L26)*AE26-(((D26)+(L26)*Assumptions!$B$26+IF(H26="Yes",Assumptions!$B$6*(D26),(L26)*Assumptions!$B$5))*(1+Assumptions!$B$7*(Assumptions!$B$8*(N26)*Assumptions!$B$9+Assumptions!$B$10))+(D26)*Assumptions!$B$11*(N26)+(L26)*AE26*(Assumptions!$B$12+Assumptions!$B$13+IF((L26)*AE26&gt;=Assumptions!$B$16,Assumptions!$B$17,IF((L26)*AE26&gt;=Assumptions!$B$14,Assumptions!$B$15,0))))</f>
        <v>1553229.1875</v>
      </c>
      <c r="AK26" s="40" t="s">
        <v>128</v>
      </c>
      <c r="AL26" s="45" t="n">
        <f aca="false">IF(G26&gt;0,G26,ROUND(F26*Assumptions!$B$18,0))</f>
        <v>6000</v>
      </c>
      <c r="AM26" s="45" t="n">
        <f aca="false">IF(H26="Yes",AL26,MAX(AL26,MIN(Assumptions!$B$20,ROUND(E26*Assumptions!$B$19,0))))</f>
        <v>6000</v>
      </c>
      <c r="AN26" s="47" t="n">
        <f aca="false">(AL26)*AE26-(((D26)+(AL26)*Assumptions!$B$4+IF(H26="Yes",Assumptions!$B$6*(D26),(AL26)*Assumptions!$B$5))*(1+Assumptions!$B$7*(Assumptions!$B$8*(Assumptions!$B$21)*Assumptions!$B$9+Assumptions!$B$10))+(D26)*Assumptions!$B$11*(Assumptions!$B$21)+(AL26)*AE26*(Assumptions!$B$12+Assumptions!$B$13+IF((AL26)*AE26&gt;=Assumptions!$B$16,Assumptions!$B$17,IF((AL26)*AE26&gt;=Assumptions!$B$14,Assumptions!$B$15,0))))</f>
        <v>900579.187500002</v>
      </c>
      <c r="AO26" s="47" t="n">
        <f aca="false">(AM26)*AE26-(((D26)+(AM26)*Assumptions!$B$4+IF(H26="Yes",Assumptions!$B$6*(D26),(AM26)*Assumptions!$B$5))*(1+Assumptions!$B$7*(Assumptions!$B$8*(IF(AM26&gt;AL26,Assumptions!$B$22,Assumptions!$B$21))*Assumptions!$B$9+Assumptions!$B$10))+(D26)*Assumptions!$B$11*(IF(AM26&gt;AL26,Assumptions!$B$22,Assumptions!$B$21))+(AM26)*AE26*(Assumptions!$B$12+Assumptions!$B$13+IF((AM26)*AE26&gt;=Assumptions!$B$16,Assumptions!$B$17,IF((AM26)*AE26&gt;=Assumptions!$B$14,Assumptions!$B$15,0))))</f>
        <v>900579.187500002</v>
      </c>
      <c r="AP26" s="47" t="n">
        <f aca="false">Assumptions!$B$7*(Q26+R26+S26)</f>
        <v>4501087.5</v>
      </c>
    </row>
    <row r="27" customFormat="false" ht="15" hidden="false" customHeight="false" outlineLevel="0" collapsed="false">
      <c r="A27" s="40" t="n">
        <v>25</v>
      </c>
      <c r="B27" s="40" t="s">
        <v>129</v>
      </c>
      <c r="C27" s="40" t="s">
        <v>75</v>
      </c>
      <c r="D27" s="41" t="n">
        <v>1500000</v>
      </c>
      <c r="E27" s="42" t="n">
        <v>9307</v>
      </c>
      <c r="F27" s="42" t="n">
        <v>1440</v>
      </c>
      <c r="G27" s="42"/>
      <c r="H27" s="43" t="s">
        <v>71</v>
      </c>
      <c r="I27" s="43" t="s">
        <v>71</v>
      </c>
      <c r="J27" s="43" t="s">
        <v>71</v>
      </c>
      <c r="K27" s="44"/>
      <c r="L27" s="45" t="n">
        <f aca="false">IF(AO27&gt;AN27,AM27,AL27)</f>
        <v>3723</v>
      </c>
      <c r="M27" s="40" t="str">
        <f aca="false">IF(AO27&gt;AN27,"Zoning estimate",IF(H27="Yes","Approved plans",IF(G27&gt;0,"Listing claim","110% old house")))</f>
        <v>Zoning estimate</v>
      </c>
      <c r="N27" s="45" t="n">
        <f aca="false">IF(AO27&gt;AN27,IF(AM27&gt;AL27,Assumptions!$B$22,Assumptions!$B$21),Assumptions!$B$21)</f>
        <v>3</v>
      </c>
      <c r="O27" s="46" t="n">
        <f aca="false">(INDEX(Assumptions!$B$36:$B$48,MATCH(AK27,Assumptions!$A$36:$A$48,0))+IF(I27="Yes",Assumptions!$B$23,0)+IF(J27="Yes",Assumptions!$B$24,0))*(1+IF(UPPER(Assumptions!$B$31)="WORST",Assumptions!$B$28,IF(UPPER(Assumptions!$B$31)="BEST",Assumptions!$B$30,Assumptions!$B$29)))</f>
        <v>1540</v>
      </c>
      <c r="P27" s="47" t="n">
        <f aca="false">L27*O27</f>
        <v>5733420</v>
      </c>
      <c r="Q27" s="47" t="n">
        <f aca="false">D27</f>
        <v>1500000</v>
      </c>
      <c r="R27" s="47" t="n">
        <f aca="false">L27*Assumptions!$B$4</f>
        <v>2606100</v>
      </c>
      <c r="S27" s="47" t="n">
        <f aca="false">IF(H27="Yes",Assumptions!$B$6*(D27),(L27)*Assumptions!$B$5)</f>
        <v>279225</v>
      </c>
      <c r="T27" s="47" t="n">
        <f aca="false">AP27*(Assumptions!$B$8*N27*Assumptions!$B$9+Assumptions!$B$10)</f>
        <v>555839.94375</v>
      </c>
      <c r="U27" s="47" t="n">
        <f aca="false">Q27*Assumptions!$B$11*N27</f>
        <v>54000</v>
      </c>
      <c r="V27" s="47" t="n">
        <f aca="false">P27*(Assumptions!$B$12+Assumptions!$B$13)</f>
        <v>232776.852</v>
      </c>
      <c r="W27" s="47" t="n">
        <f aca="false">P27*IF(P27&gt;=Assumptions!$B$16,Assumptions!$B$17,IF(P27&gt;=Assumptions!$B$14,Assumptions!$B$15,0))</f>
        <v>229336.8</v>
      </c>
      <c r="X27" s="48" t="n">
        <f aca="false">SUM(Q27:W27)</f>
        <v>5457278.59575</v>
      </c>
      <c r="Y27" s="48" t="n">
        <f aca="false">P27-X27</f>
        <v>276141.404250002</v>
      </c>
      <c r="Z27" s="49" t="n">
        <f aca="false">IF(X27=0,0,Y27/X27)</f>
        <v>0.0506005693872866</v>
      </c>
      <c r="AA27" s="47" t="n">
        <f aca="false">MAX(0,(P27/(1+Assumptions!$B$27)-(L27*(Assumptions!$B$4+IF(H27="Yes",0,Assumptions!$B$5)))*(1+(Assumptions!$B$7*(Assumptions!$B$8*N27*Assumptions!$B$9+Assumptions!$B$10)))-P27*(Assumptions!$B$12+Assumptions!$B$13+IF(P27&gt;=Assumptions!$B$16,Assumptions!$B$17,IF(P27&gt;=Assumptions!$B$14,Assumptions!$B$15,0))))/((1+IF(H27="Yes",Assumptions!$B$6,0))*(1+(Assumptions!$B$7*(Assumptions!$B$8*N27*Assumptions!$B$9+Assumptions!$B$10)))+Assumptions!$B$11*N27))</f>
        <v>1094327.2525871</v>
      </c>
      <c r="AB27" s="50" t="n">
        <f aca="false">IF(AA27&lt;=0,"no price works",D27/AA27)</f>
        <v>1.37070514917164</v>
      </c>
      <c r="AC27" s="46" t="n">
        <f aca="false">(INDEX(Assumptions!$B$36:$B$48,MATCH(AK27,Assumptions!$A$36:$A$48,0))+IF(I27="Yes",Assumptions!$B$23,0)+IF(J27="Yes",Assumptions!$B$24,0))*(1+Assumptions!$B$28)</f>
        <v>1400</v>
      </c>
      <c r="AD27" s="47" t="n">
        <f aca="false">(L27)*AC27-(((D27)+(L27)*Assumptions!$B$4+IF(H27="Yes",Assumptions!$B$6*(D27),(L27)*Assumptions!$B$5))*(1+Assumptions!$B$7*(Assumptions!$B$8*(N27)*Assumptions!$B$9+Assumptions!$B$10))+(D27)*Assumptions!$B$11*(N27)+(L27)*AC27*(Assumptions!$B$12+Assumptions!$B$13+IF((L27)*AC27&gt;=Assumptions!$B$16,Assumptions!$B$17,IF((L27)*AC27&gt;=Assumptions!$B$14,Assumptions!$B$15,0))))</f>
        <v>5419.73625000007</v>
      </c>
      <c r="AE27" s="46" t="n">
        <f aca="false">(INDEX(Assumptions!$B$36:$B$48,MATCH(AK27,Assumptions!$A$36:$A$48,0))+IF(I27="Yes",Assumptions!$B$23,0)+IF(J27="Yes",Assumptions!$B$24,0))*(1+Assumptions!$B$29)</f>
        <v>1540</v>
      </c>
      <c r="AF27" s="47" t="n">
        <f aca="false">(L27)*AE27-(((D27)+(L27)*Assumptions!$B$4+IF(H27="Yes",Assumptions!$B$6*(D27),(L27)*Assumptions!$B$5))*(1+Assumptions!$B$7*(Assumptions!$B$8*(N27)*Assumptions!$B$9+Assumptions!$B$10))+(D27)*Assumptions!$B$11*(N27)+(L27)*AE27*(Assumptions!$B$12+Assumptions!$B$13+IF((L27)*AE27&gt;=Assumptions!$B$16,Assumptions!$B$17,IF((L27)*AE27&gt;=Assumptions!$B$14,Assumptions!$B$15,0))))</f>
        <v>276141.404250002</v>
      </c>
      <c r="AG27" s="46" t="n">
        <f aca="false">(INDEX(Assumptions!$B$36:$B$48,MATCH(AK27,Assumptions!$A$36:$A$48,0))+IF(I27="Yes",Assumptions!$B$23,0)+IF(J27="Yes",Assumptions!$B$24,0))*(1+Assumptions!$B$30)</f>
        <v>1680</v>
      </c>
      <c r="AH27" s="47" t="n">
        <f aca="false">(L27)*AG27-(((D27)+(L27)*Assumptions!$B$4+IF(H27="Yes",Assumptions!$B$6*(D27),(L27)*Assumptions!$B$5))*(1+Assumptions!$B$7*(Assumptions!$B$8*(N27)*Assumptions!$B$9+Assumptions!$B$10))+(D27)*Assumptions!$B$11*(N27)+(L27)*AG27*(Assumptions!$B$12+Assumptions!$B$13+IF((L27)*AG27&gt;=Assumptions!$B$16,Assumptions!$B$17,IF((L27)*AG27&gt;=Assumptions!$B$14,Assumptions!$B$15,0))))</f>
        <v>755351.07225</v>
      </c>
      <c r="AI27" s="47" t="n">
        <f aca="false">(L27)*AE27-(((D27)+(L27)*Assumptions!$B$25+IF(H27="Yes",Assumptions!$B$6*(D27),(L27)*Assumptions!$B$5))*(1+Assumptions!$B$7*(Assumptions!$B$8*(N27)*Assumptions!$B$9+Assumptions!$B$10))+(D27)*Assumptions!$B$11*(N27)+(L27)*AE27*(Assumptions!$B$12+Assumptions!$B$13+IF((L27)*AE27&gt;=Assumptions!$B$16,Assumptions!$B$17,IF((L27)*AE27&gt;=Assumptions!$B$14,Assumptions!$B$15,0))))</f>
        <v>485885.916750002</v>
      </c>
      <c r="AJ27" s="47" t="n">
        <f aca="false">(L27)*AE27-(((D27)+(L27)*Assumptions!$B$26+IF(H27="Yes",Assumptions!$B$6*(D27),(L27)*Assumptions!$B$5))*(1+Assumptions!$B$7*(Assumptions!$B$8*(N27)*Assumptions!$B$9+Assumptions!$B$10))+(D27)*Assumptions!$B$11*(N27)+(L27)*AE27*(Assumptions!$B$12+Assumptions!$B$13+IF((L27)*AE27&gt;=Assumptions!$B$16,Assumptions!$B$17,IF((L27)*AE27&gt;=Assumptions!$B$14,Assumptions!$B$15,0))))</f>
        <v>695630.429250002</v>
      </c>
      <c r="AK27" s="40" t="s">
        <v>77</v>
      </c>
      <c r="AL27" s="45" t="n">
        <f aca="false">IF(G27&gt;0,G27,ROUND(F27*Assumptions!$B$18,0))</f>
        <v>1584</v>
      </c>
      <c r="AM27" s="45" t="n">
        <f aca="false">IF(H27="Yes",AL27,MAX(AL27,MIN(Assumptions!$B$20,ROUND(E27*Assumptions!$B$19,0))))</f>
        <v>3723</v>
      </c>
      <c r="AN27" s="47" t="n">
        <f aca="false">(AL27)*AE27-(((D27)+(AL27)*Assumptions!$B$4+IF(H27="Yes",Assumptions!$B$6*(D27),(AL27)*Assumptions!$B$5))*(1+Assumptions!$B$7*(Assumptions!$B$8*(Assumptions!$B$21)*Assumptions!$B$9+Assumptions!$B$10))+(D27)*Assumptions!$B$11*(Assumptions!$B$21)+(AL27)*AE27*(Assumptions!$B$12+Assumptions!$B$13+IF((AL27)*AE27&gt;=Assumptions!$B$16,Assumptions!$B$17,IF((AL27)*AE27&gt;=Assumptions!$B$14,Assumptions!$B$15,0))))</f>
        <v>-662624.915999999</v>
      </c>
      <c r="AO27" s="47" t="n">
        <f aca="false">(AM27)*AE27-(((D27)+(AM27)*Assumptions!$B$4+IF(H27="Yes",Assumptions!$B$6*(D27),(AM27)*Assumptions!$B$5))*(1+Assumptions!$B$7*(Assumptions!$B$8*(IF(AM27&gt;AL27,Assumptions!$B$22,Assumptions!$B$21))*Assumptions!$B$9+Assumptions!$B$10))+(D27)*Assumptions!$B$11*(IF(AM27&gt;AL27,Assumptions!$B$22,Assumptions!$B$21))+(AM27)*AE27*(Assumptions!$B$12+Assumptions!$B$13+IF((AM27)*AE27&gt;=Assumptions!$B$16,Assumptions!$B$17,IF((AM27)*AE27&gt;=Assumptions!$B$14,Assumptions!$B$15,0))))</f>
        <v>276141.404250002</v>
      </c>
      <c r="AP27" s="47" t="n">
        <f aca="false">Assumptions!$B$7*(Q27+R27+S27)</f>
        <v>2850461.25</v>
      </c>
    </row>
    <row r="28" customFormat="false" ht="15" hidden="false" customHeight="false" outlineLevel="0" collapsed="false">
      <c r="A28" s="40" t="n">
        <v>26</v>
      </c>
      <c r="B28" s="40" t="s">
        <v>130</v>
      </c>
      <c r="C28" s="40" t="s">
        <v>102</v>
      </c>
      <c r="D28" s="41" t="n">
        <v>1195000</v>
      </c>
      <c r="E28" s="42" t="n">
        <v>9021</v>
      </c>
      <c r="F28" s="42" t="n">
        <v>1857</v>
      </c>
      <c r="G28" s="42"/>
      <c r="H28" s="43" t="s">
        <v>71</v>
      </c>
      <c r="I28" s="43" t="s">
        <v>71</v>
      </c>
      <c r="J28" s="43" t="s">
        <v>71</v>
      </c>
      <c r="K28" s="44"/>
      <c r="L28" s="45" t="n">
        <f aca="false">IF(AO28&gt;AN28,AM28,AL28)</f>
        <v>3608</v>
      </c>
      <c r="M28" s="40" t="str">
        <f aca="false">IF(AO28&gt;AN28,"Zoning estimate",IF(H28="Yes","Approved plans",IF(G28&gt;0,"Listing claim","110% old house")))</f>
        <v>Zoning estimate</v>
      </c>
      <c r="N28" s="45" t="n">
        <f aca="false">IF(AO28&gt;AN28,IF(AM28&gt;AL28,Assumptions!$B$22,Assumptions!$B$21),Assumptions!$B$21)</f>
        <v>3</v>
      </c>
      <c r="O28" s="46" t="n">
        <f aca="false">(INDEX(Assumptions!$B$36:$B$48,MATCH(AK28,Assumptions!$A$36:$A$48,0))+IF(I28="Yes",Assumptions!$B$23,0)+IF(J28="Yes",Assumptions!$B$24,0))*(1+IF(UPPER(Assumptions!$B$31)="WORST",Assumptions!$B$28,IF(UPPER(Assumptions!$B$31)="BEST",Assumptions!$B$30,Assumptions!$B$29)))</f>
        <v>1375</v>
      </c>
      <c r="P28" s="47" t="n">
        <f aca="false">L28*O28</f>
        <v>4961000</v>
      </c>
      <c r="Q28" s="47" t="n">
        <f aca="false">D28</f>
        <v>1195000</v>
      </c>
      <c r="R28" s="47" t="n">
        <f aca="false">L28*Assumptions!$B$4</f>
        <v>2525600</v>
      </c>
      <c r="S28" s="47" t="n">
        <f aca="false">IF(H28="Yes",Assumptions!$B$6*(D28),(L28)*Assumptions!$B$5)</f>
        <v>270600</v>
      </c>
      <c r="T28" s="47" t="n">
        <f aca="false">AP28*(Assumptions!$B$8*N28*Assumptions!$B$9+Assumptions!$B$10)</f>
        <v>505884.6</v>
      </c>
      <c r="U28" s="47" t="n">
        <f aca="false">Q28*Assumptions!$B$11*N28</f>
        <v>43020</v>
      </c>
      <c r="V28" s="47" t="n">
        <f aca="false">P28*(Assumptions!$B$12+Assumptions!$B$13)</f>
        <v>201416.6</v>
      </c>
      <c r="W28" s="47" t="n">
        <f aca="false">P28*IF(P28&gt;=Assumptions!$B$16,Assumptions!$B$17,IF(P28&gt;=Assumptions!$B$14,Assumptions!$B$15,0))</f>
        <v>0</v>
      </c>
      <c r="X28" s="48" t="n">
        <f aca="false">SUM(Q28:W28)</f>
        <v>4741521.2</v>
      </c>
      <c r="Y28" s="48" t="n">
        <f aca="false">P28-X28</f>
        <v>219478.800000001</v>
      </c>
      <c r="Z28" s="49" t="n">
        <f aca="false">IF(X28=0,0,Y28/X28)</f>
        <v>0.0462886889549288</v>
      </c>
      <c r="AA28" s="47" t="n">
        <f aca="false">MAX(0,(P28/(1+Assumptions!$B$27)-(L28*(Assumptions!$B$4+IF(H28="Yes",0,Assumptions!$B$5)))*(1+(Assumptions!$B$7*(Assumptions!$B$8*N28*Assumptions!$B$9+Assumptions!$B$10)))-P28*(Assumptions!$B$12+Assumptions!$B$13+IF(P28&gt;=Assumptions!$B$16,Assumptions!$B$17,IF(P28&gt;=Assumptions!$B$14,Assumptions!$B$15,0))))/((1+IF(H28="Yes",Assumptions!$B$6,0))*(1+(Assumptions!$B$7*(Assumptions!$B$8*N28*Assumptions!$B$9+Assumptions!$B$10)))+Assumptions!$B$11*N28))</f>
        <v>827244.113935292</v>
      </c>
      <c r="AB28" s="50" t="n">
        <f aca="false">IF(AA28&lt;=0,"no price works",D28/AA28)</f>
        <v>1.44455545814071</v>
      </c>
      <c r="AC28" s="46" t="n">
        <f aca="false">(INDEX(Assumptions!$B$36:$B$48,MATCH(AK28,Assumptions!$A$36:$A$48,0))+IF(I28="Yes",Assumptions!$B$23,0)+IF(J28="Yes",Assumptions!$B$24,0))*(1+Assumptions!$B$28)</f>
        <v>1250</v>
      </c>
      <c r="AD28" s="47" t="n">
        <f aca="false">(L28)*AC28-(((D28)+(L28)*Assumptions!$B$4+IF(H28="Yes",Assumptions!$B$6*(D28),(L28)*Assumptions!$B$5))*(1+Assumptions!$B$7*(Assumptions!$B$8*(N28)*Assumptions!$B$9+Assumptions!$B$10))+(D28)*Assumptions!$B$11*(N28)+(L28)*AC28*(Assumptions!$B$12+Assumptions!$B$13+IF((L28)*AC28&gt;=Assumptions!$B$16,Assumptions!$B$17,IF((L28)*AC28&gt;=Assumptions!$B$14,Assumptions!$B$15,0))))</f>
        <v>-213210.6</v>
      </c>
      <c r="AE28" s="46" t="n">
        <f aca="false">(INDEX(Assumptions!$B$36:$B$48,MATCH(AK28,Assumptions!$A$36:$A$48,0))+IF(I28="Yes",Assumptions!$B$23,0)+IF(J28="Yes",Assumptions!$B$24,0))*(1+Assumptions!$B$29)</f>
        <v>1375</v>
      </c>
      <c r="AF28" s="47" t="n">
        <f aca="false">(L28)*AE28-(((D28)+(L28)*Assumptions!$B$4+IF(H28="Yes",Assumptions!$B$6*(D28),(L28)*Assumptions!$B$5))*(1+Assumptions!$B$7*(Assumptions!$B$8*(N28)*Assumptions!$B$9+Assumptions!$B$10))+(D28)*Assumptions!$B$11*(N28)+(L28)*AE28*(Assumptions!$B$12+Assumptions!$B$13+IF((L28)*AE28&gt;=Assumptions!$B$16,Assumptions!$B$17,IF((L28)*AE28&gt;=Assumptions!$B$14,Assumptions!$B$15,0))))</f>
        <v>219478.800000001</v>
      </c>
      <c r="AG28" s="46" t="n">
        <f aca="false">(INDEX(Assumptions!$B$36:$B$48,MATCH(AK28,Assumptions!$A$36:$A$48,0))+IF(I28="Yes",Assumptions!$B$23,0)+IF(J28="Yes",Assumptions!$B$24,0))*(1+Assumptions!$B$30)</f>
        <v>1500</v>
      </c>
      <c r="AH28" s="47" t="n">
        <f aca="false">(L28)*AG28-(((D28)+(L28)*Assumptions!$B$4+IF(H28="Yes",Assumptions!$B$6*(D28),(L28)*Assumptions!$B$5))*(1+Assumptions!$B$7*(Assumptions!$B$8*(N28)*Assumptions!$B$9+Assumptions!$B$10))+(D28)*Assumptions!$B$11*(N28)+(L28)*AG28*(Assumptions!$B$12+Assumptions!$B$13+IF((L28)*AG28&gt;=Assumptions!$B$16,Assumptions!$B$17,IF((L28)*AG28&gt;=Assumptions!$B$14,Assumptions!$B$15,0))))</f>
        <v>435688.2</v>
      </c>
      <c r="AI28" s="47" t="n">
        <f aca="false">(L28)*AE28-(((D28)+(L28)*Assumptions!$B$25+IF(H28="Yes",Assumptions!$B$6*(D28),(L28)*Assumptions!$B$5))*(1+Assumptions!$B$7*(Assumptions!$B$8*(N28)*Assumptions!$B$9+Assumptions!$B$10))+(D28)*Assumptions!$B$11*(N28)+(L28)*AE28*(Assumptions!$B$12+Assumptions!$B$13+IF((L28)*AE28&gt;=Assumptions!$B$16,Assumptions!$B$17,IF((L28)*AE28&gt;=Assumptions!$B$14,Assumptions!$B$15,0))))</f>
        <v>422744.500000001</v>
      </c>
      <c r="AJ28" s="47" t="n">
        <f aca="false">(L28)*AE28-(((D28)+(L28)*Assumptions!$B$26+IF(H28="Yes",Assumptions!$B$6*(D28),(L28)*Assumptions!$B$5))*(1+Assumptions!$B$7*(Assumptions!$B$8*(N28)*Assumptions!$B$9+Assumptions!$B$10))+(D28)*Assumptions!$B$11*(N28)+(L28)*AE28*(Assumptions!$B$12+Assumptions!$B$13+IF((L28)*AE28&gt;=Assumptions!$B$16,Assumptions!$B$17,IF((L28)*AE28&gt;=Assumptions!$B$14,Assumptions!$B$15,0))))</f>
        <v>626010.2</v>
      </c>
      <c r="AK28" s="40" t="s">
        <v>104</v>
      </c>
      <c r="AL28" s="45" t="n">
        <f aca="false">IF(G28&gt;0,G28,ROUND(F28*Assumptions!$B$18,0))</f>
        <v>2043</v>
      </c>
      <c r="AM28" s="45" t="n">
        <f aca="false">IF(H28="Yes",AL28,MAX(AL28,MIN(Assumptions!$B$20,ROUND(E28*Assumptions!$B$19,0))))</f>
        <v>3608</v>
      </c>
      <c r="AN28" s="47" t="n">
        <f aca="false">(AL28)*AE28-(((D28)+(AL28)*Assumptions!$B$4+IF(H28="Yes",Assumptions!$B$6*(D28),(AL28)*Assumptions!$B$5))*(1+Assumptions!$B$7*(Assumptions!$B$8*(Assumptions!$B$21)*Assumptions!$B$9+Assumptions!$B$10))+(D28)*Assumptions!$B$11*(Assumptions!$B$21)+(AL28)*AE28*(Assumptions!$B$12+Assumptions!$B$13+IF((AL28)*AE28&gt;=Assumptions!$B$16,Assumptions!$B$17,IF((AL28)*AE28&gt;=Assumptions!$B$14,Assumptions!$B$15,0))))</f>
        <v>-355728.49375</v>
      </c>
      <c r="AO28" s="47" t="n">
        <f aca="false">(AM28)*AE28-(((D28)+(AM28)*Assumptions!$B$4+IF(H28="Yes",Assumptions!$B$6*(D28),(AM28)*Assumptions!$B$5))*(1+Assumptions!$B$7*(Assumptions!$B$8*(IF(AM28&gt;AL28,Assumptions!$B$22,Assumptions!$B$21))*Assumptions!$B$9+Assumptions!$B$10))+(D28)*Assumptions!$B$11*(IF(AM28&gt;AL28,Assumptions!$B$22,Assumptions!$B$21))+(AM28)*AE28*(Assumptions!$B$12+Assumptions!$B$13+IF((AM28)*AE28&gt;=Assumptions!$B$16,Assumptions!$B$17,IF((AM28)*AE28&gt;=Assumptions!$B$14,Assumptions!$B$15,0))))</f>
        <v>219478.800000001</v>
      </c>
      <c r="AP28" s="47" t="n">
        <f aca="false">Assumptions!$B$7*(Q28+R28+S28)</f>
        <v>2594280</v>
      </c>
    </row>
    <row r="29" customFormat="false" ht="35.05" hidden="false" customHeight="false" outlineLevel="0" collapsed="false">
      <c r="A29" s="40" t="n">
        <v>27</v>
      </c>
      <c r="B29" s="40" t="s">
        <v>131</v>
      </c>
      <c r="C29" s="40" t="s">
        <v>132</v>
      </c>
      <c r="D29" s="41" t="n">
        <v>2295000</v>
      </c>
      <c r="E29" s="42" t="n">
        <v>42118</v>
      </c>
      <c r="F29" s="42" t="n">
        <v>6668</v>
      </c>
      <c r="G29" s="42"/>
      <c r="H29" s="43" t="s">
        <v>71</v>
      </c>
      <c r="I29" s="43" t="s">
        <v>80</v>
      </c>
      <c r="J29" s="43" t="s">
        <v>80</v>
      </c>
      <c r="K29" s="44" t="s">
        <v>133</v>
      </c>
      <c r="L29" s="45" t="n">
        <f aca="false">IF(AO29&gt;AN29,AM29,AL29)</f>
        <v>7335</v>
      </c>
      <c r="M29" s="40" t="str">
        <f aca="false">IF(AO29&gt;AN29,"Zoning estimate",IF(H29="Yes","Approved plans",IF(G29&gt;0,"Listing claim","110% old house")))</f>
        <v>110% old house</v>
      </c>
      <c r="N29" s="45" t="n">
        <f aca="false">IF(AO29&gt;AN29,IF(AM29&gt;AL29,Assumptions!$B$22,Assumptions!$B$21),Assumptions!$B$21)</f>
        <v>2</v>
      </c>
      <c r="O29" s="46" t="n">
        <f aca="false">(INDEX(Assumptions!$B$36:$B$48,MATCH(AK29,Assumptions!$A$36:$A$48,0))+IF(I29="Yes",Assumptions!$B$23,0)+IF(J29="Yes",Assumptions!$B$24,0))*(1+IF(UPPER(Assumptions!$B$31)="WORST",Assumptions!$B$28,IF(UPPER(Assumptions!$B$31)="BEST",Assumptions!$B$30,Assumptions!$B$29)))</f>
        <v>1485</v>
      </c>
      <c r="P29" s="47" t="n">
        <f aca="false">L29*O29</f>
        <v>10892475</v>
      </c>
      <c r="Q29" s="47" t="n">
        <f aca="false">D29</f>
        <v>2295000</v>
      </c>
      <c r="R29" s="47" t="n">
        <f aca="false">L29*Assumptions!$B$4</f>
        <v>5134500</v>
      </c>
      <c r="S29" s="47" t="n">
        <f aca="false">IF(H29="Yes",Assumptions!$B$6*(D29),(L29)*Assumptions!$B$5)</f>
        <v>550125</v>
      </c>
      <c r="T29" s="47" t="n">
        <f aca="false">AP29*(Assumptions!$B$8*N29*Assumptions!$B$9+Assumptions!$B$10)</f>
        <v>700212.09375</v>
      </c>
      <c r="U29" s="47" t="n">
        <f aca="false">Q29*Assumptions!$B$11*N29</f>
        <v>55080</v>
      </c>
      <c r="V29" s="47" t="n">
        <f aca="false">P29*(Assumptions!$B$12+Assumptions!$B$13)</f>
        <v>442234.485</v>
      </c>
      <c r="W29" s="47" t="n">
        <f aca="false">P29*IF(P29&gt;=Assumptions!$B$16,Assumptions!$B$17,IF(P29&gt;=Assumptions!$B$14,Assumptions!$B$15,0))</f>
        <v>435699</v>
      </c>
      <c r="X29" s="48" t="n">
        <f aca="false">SUM(Q29:W29)</f>
        <v>9612850.57875</v>
      </c>
      <c r="Y29" s="48" t="n">
        <f aca="false">P29-X29</f>
        <v>1279624.42125</v>
      </c>
      <c r="Z29" s="49" t="n">
        <f aca="false">IF(X29=0,0,Y29/X29)</f>
        <v>0.13311602118093</v>
      </c>
      <c r="AA29" s="47" t="n">
        <f aca="false">MAX(0,(P29/(1+Assumptions!$B$27)-(L29*(Assumptions!$B$4+IF(H29="Yes",0,Assumptions!$B$5)))*(1+(Assumptions!$B$7*(Assumptions!$B$8*N29*Assumptions!$B$9+Assumptions!$B$10)))-P29*(Assumptions!$B$12+Assumptions!$B$13+IF(P29&gt;=Assumptions!$B$16,Assumptions!$B$17,IF(P29&gt;=Assumptions!$B$14,Assumptions!$B$15,0))))/((1+IF(H29="Yes",Assumptions!$B$6,0))*(1+(Assumptions!$B$7*(Assumptions!$B$8*N29*Assumptions!$B$9+Assumptions!$B$10)))+Assumptions!$B$11*N29))</f>
        <v>2168053.12575161</v>
      </c>
      <c r="AB29" s="50" t="n">
        <f aca="false">IF(AA29&lt;=0,"no price works",D29/AA29)</f>
        <v>1.0585533964738</v>
      </c>
      <c r="AC29" s="46" t="n">
        <f aca="false">(INDEX(Assumptions!$B$36:$B$48,MATCH(AK29,Assumptions!$A$36:$A$48,0))+IF(I29="Yes",Assumptions!$B$23,0)+IF(J29="Yes",Assumptions!$B$24,0))*(1+Assumptions!$B$28)</f>
        <v>1350</v>
      </c>
      <c r="AD29" s="47" t="n">
        <f aca="false">(L29)*AC29-(((D29)+(L29)*Assumptions!$B$4+IF(H29="Yes",Assumptions!$B$6*(D29),(L29)*Assumptions!$B$5))*(1+Assumptions!$B$7*(Assumptions!$B$8*(N29)*Assumptions!$B$9+Assumptions!$B$10))+(D29)*Assumptions!$B$11*(N29)+(L29)*AC29*(Assumptions!$B$12+Assumptions!$B$13+IF((L29)*AC29&gt;=Assumptions!$B$16,Assumptions!$B$17,IF((L29)*AC29&gt;=Assumptions!$B$14,Assumptions!$B$15,0))))</f>
        <v>369211.55625</v>
      </c>
      <c r="AE29" s="46" t="n">
        <f aca="false">(INDEX(Assumptions!$B$36:$B$48,MATCH(AK29,Assumptions!$A$36:$A$48,0))+IF(I29="Yes",Assumptions!$B$23,0)+IF(J29="Yes",Assumptions!$B$24,0))*(1+Assumptions!$B$29)</f>
        <v>1485</v>
      </c>
      <c r="AF29" s="47" t="n">
        <f aca="false">(L29)*AE29-(((D29)+(L29)*Assumptions!$B$4+IF(H29="Yes",Assumptions!$B$6*(D29),(L29)*Assumptions!$B$5))*(1+Assumptions!$B$7*(Assumptions!$B$8*(N29)*Assumptions!$B$9+Assumptions!$B$10))+(D29)*Assumptions!$B$11*(N29)+(L29)*AE29*(Assumptions!$B$12+Assumptions!$B$13+IF((L29)*AE29&gt;=Assumptions!$B$16,Assumptions!$B$17,IF((L29)*AE29&gt;=Assumptions!$B$14,Assumptions!$B$15,0))))</f>
        <v>1279624.42125</v>
      </c>
      <c r="AG29" s="46" t="n">
        <f aca="false">(INDEX(Assumptions!$B$36:$B$48,MATCH(AK29,Assumptions!$A$36:$A$48,0))+IF(I29="Yes",Assumptions!$B$23,0)+IF(J29="Yes",Assumptions!$B$24,0))*(1+Assumptions!$B$30)</f>
        <v>1620</v>
      </c>
      <c r="AH29" s="47" t="n">
        <f aca="false">(L29)*AG29-(((D29)+(L29)*Assumptions!$B$4+IF(H29="Yes",Assumptions!$B$6*(D29),(L29)*Assumptions!$B$5))*(1+Assumptions!$B$7*(Assumptions!$B$8*(N29)*Assumptions!$B$9+Assumptions!$B$10))+(D29)*Assumptions!$B$11*(N29)+(L29)*AG29*(Assumptions!$B$12+Assumptions!$B$13+IF((L29)*AG29&gt;=Assumptions!$B$16,Assumptions!$B$17,IF((L29)*AG29&gt;=Assumptions!$B$14,Assumptions!$B$15,0))))</f>
        <v>2011796.78625</v>
      </c>
      <c r="AI29" s="47" t="n">
        <f aca="false">(L29)*AE29-(((D29)+(L29)*Assumptions!$B$25+IF(H29="Yes",Assumptions!$B$6*(D29),(L29)*Assumptions!$B$5))*(1+Assumptions!$B$7*(Assumptions!$B$8*(N29)*Assumptions!$B$9+Assumptions!$B$10))+(D29)*Assumptions!$B$11*(N29)+(L29)*AE29*(Assumptions!$B$12+Assumptions!$B$13+IF((L29)*AE29&gt;=Assumptions!$B$16,Assumptions!$B$17,IF((L29)*AE29&gt;=Assumptions!$B$14,Assumptions!$B$15,0))))</f>
        <v>1678556.73375</v>
      </c>
      <c r="AJ29" s="47" t="n">
        <f aca="false">(L29)*AE29-(((D29)+(L29)*Assumptions!$B$26+IF(H29="Yes",Assumptions!$B$6*(D29),(L29)*Assumptions!$B$5))*(1+Assumptions!$B$7*(Assumptions!$B$8*(N29)*Assumptions!$B$9+Assumptions!$B$10))+(D29)*Assumptions!$B$11*(N29)+(L29)*AE29*(Assumptions!$B$12+Assumptions!$B$13+IF((L29)*AE29&gt;=Assumptions!$B$16,Assumptions!$B$17,IF((L29)*AE29&gt;=Assumptions!$B$14,Assumptions!$B$15,0))))</f>
        <v>2077489.04625</v>
      </c>
      <c r="AK29" s="40" t="s">
        <v>134</v>
      </c>
      <c r="AL29" s="45" t="n">
        <f aca="false">IF(G29&gt;0,G29,ROUND(F29*Assumptions!$B$18,0))</f>
        <v>7335</v>
      </c>
      <c r="AM29" s="45" t="n">
        <f aca="false">IF(H29="Yes",AL29,MAX(AL29,MIN(Assumptions!$B$20,ROUND(E29*Assumptions!$B$19,0))))</f>
        <v>8000</v>
      </c>
      <c r="AN29" s="47" t="n">
        <f aca="false">(AL29)*AE29-(((D29)+(AL29)*Assumptions!$B$4+IF(H29="Yes",Assumptions!$B$6*(D29),(AL29)*Assumptions!$B$5))*(1+Assumptions!$B$7*(Assumptions!$B$8*(Assumptions!$B$21)*Assumptions!$B$9+Assumptions!$B$10))+(D29)*Assumptions!$B$11*(Assumptions!$B$21)+(AL29)*AE29*(Assumptions!$B$12+Assumptions!$B$13+IF((AL29)*AE29&gt;=Assumptions!$B$16,Assumptions!$B$17,IF((AL29)*AE29&gt;=Assumptions!$B$14,Assumptions!$B$15,0))))</f>
        <v>1279624.42125</v>
      </c>
      <c r="AO29" s="47" t="n">
        <f aca="false">(AM29)*AE29-(((D29)+(AM29)*Assumptions!$B$4+IF(H29="Yes",Assumptions!$B$6*(D29),(AM29)*Assumptions!$B$5))*(1+Assumptions!$B$7*(Assumptions!$B$8*(IF(AM29&gt;AL29,Assumptions!$B$22,Assumptions!$B$21))*Assumptions!$B$9+Assumptions!$B$10))+(D29)*Assumptions!$B$11*(IF(AM29&gt;AL29,Assumptions!$B$22,Assumptions!$B$21))+(AM29)*AE29*(Assumptions!$B$12+Assumptions!$B$13+IF((AM29)*AE29&gt;=Assumptions!$B$16,Assumptions!$B$17,IF((AM29)*AE29&gt;=Assumptions!$B$14,Assumptions!$B$15,0))))</f>
        <v>1089910.75</v>
      </c>
      <c r="AP29" s="47" t="n">
        <f aca="false">Assumptions!$B$7*(Q29+R29+S29)</f>
        <v>5186756.25</v>
      </c>
    </row>
    <row r="30" customFormat="false" ht="15" hidden="false" customHeight="false" outlineLevel="0" collapsed="false">
      <c r="A30" s="40" t="n">
        <v>28</v>
      </c>
      <c r="B30" s="40" t="s">
        <v>135</v>
      </c>
      <c r="C30" s="40" t="s">
        <v>75</v>
      </c>
      <c r="D30" s="41" t="n">
        <v>1499999</v>
      </c>
      <c r="E30" s="42" t="n">
        <v>7097</v>
      </c>
      <c r="F30" s="42" t="n">
        <v>1674</v>
      </c>
      <c r="G30" s="42"/>
      <c r="H30" s="43" t="s">
        <v>71</v>
      </c>
      <c r="I30" s="43" t="s">
        <v>80</v>
      </c>
      <c r="J30" s="43" t="s">
        <v>71</v>
      </c>
      <c r="K30" s="44"/>
      <c r="L30" s="45" t="n">
        <f aca="false">IF(AO30&gt;AN30,AM30,AL30)</f>
        <v>2839</v>
      </c>
      <c r="M30" s="40" t="str">
        <f aca="false">IF(AO30&gt;AN30,"Zoning estimate",IF(H30="Yes","Approved plans",IF(G30&gt;0,"Listing claim","110% old house")))</f>
        <v>Zoning estimate</v>
      </c>
      <c r="N30" s="45" t="n">
        <f aca="false">IF(AO30&gt;AN30,IF(AM30&gt;AL30,Assumptions!$B$22,Assumptions!$B$21),Assumptions!$B$21)</f>
        <v>3</v>
      </c>
      <c r="O30" s="46" t="n">
        <f aca="false">(INDEX(Assumptions!$B$36:$B$48,MATCH(AK30,Assumptions!$A$36:$A$48,0))+IF(I30="Yes",Assumptions!$B$23,0)+IF(J30="Yes",Assumptions!$B$24,0))*(1+IF(UPPER(Assumptions!$B$31)="WORST",Assumptions!$B$28,IF(UPPER(Assumptions!$B$31)="BEST",Assumptions!$B$30,Assumptions!$B$29)))</f>
        <v>1650</v>
      </c>
      <c r="P30" s="47" t="n">
        <f aca="false">L30*O30</f>
        <v>4684350</v>
      </c>
      <c r="Q30" s="47" t="n">
        <f aca="false">D30</f>
        <v>1499999</v>
      </c>
      <c r="R30" s="47" t="n">
        <f aca="false">L30*Assumptions!$B$4</f>
        <v>1987300</v>
      </c>
      <c r="S30" s="47" t="n">
        <f aca="false">IF(H30="Yes",Assumptions!$B$6*(D30),(L30)*Assumptions!$B$5)</f>
        <v>212925</v>
      </c>
      <c r="T30" s="47" t="n">
        <f aca="false">AP30*(Assumptions!$B$8*N30*Assumptions!$B$9+Assumptions!$B$10)</f>
        <v>469003.392</v>
      </c>
      <c r="U30" s="47" t="n">
        <f aca="false">Q30*Assumptions!$B$11*N30</f>
        <v>53999.964</v>
      </c>
      <c r="V30" s="47" t="n">
        <f aca="false">P30*(Assumptions!$B$12+Assumptions!$B$13)</f>
        <v>190184.61</v>
      </c>
      <c r="W30" s="47" t="n">
        <f aca="false">P30*IF(P30&gt;=Assumptions!$B$16,Assumptions!$B$17,IF(P30&gt;=Assumptions!$B$14,Assumptions!$B$15,0))</f>
        <v>0</v>
      </c>
      <c r="X30" s="48" t="n">
        <f aca="false">SUM(Q30:W30)</f>
        <v>4413411.966</v>
      </c>
      <c r="Y30" s="48" t="n">
        <f aca="false">P30-X30</f>
        <v>270938.034000001</v>
      </c>
      <c r="Z30" s="49" t="n">
        <f aca="false">IF(X30=0,0,Y30/X30)</f>
        <v>0.0613896994178769</v>
      </c>
      <c r="AA30" s="47" t="n">
        <f aca="false">MAX(0,(P30/(1+Assumptions!$B$27)-(L30*(Assumptions!$B$4+IF(H30="Yes",0,Assumptions!$B$5)))*(1+(Assumptions!$B$7*(Assumptions!$B$8*N30*Assumptions!$B$9+Assumptions!$B$10)))-P30*(Assumptions!$B$12+Assumptions!$B$13+IF(P30&gt;=Assumptions!$B$16,Assumptions!$B$17,IF(P30&gt;=Assumptions!$B$14,Assumptions!$B$15,0))))/((1+IF(H30="Yes",Assumptions!$B$6,0))*(1+(Assumptions!$B$7*(Assumptions!$B$8*N30*Assumptions!$B$9+Assumptions!$B$10)))+Assumptions!$B$11*N30))</f>
        <v>1207533.6033859</v>
      </c>
      <c r="AB30" s="50" t="n">
        <f aca="false">IF(AA30&lt;=0,"no price works",D30/AA30)</f>
        <v>1.24220062762148</v>
      </c>
      <c r="AC30" s="46" t="n">
        <f aca="false">(INDEX(Assumptions!$B$36:$B$48,MATCH(AK30,Assumptions!$A$36:$A$48,0))+IF(I30="Yes",Assumptions!$B$23,0)+IF(J30="Yes",Assumptions!$B$24,0))*(1+Assumptions!$B$28)</f>
        <v>1500</v>
      </c>
      <c r="AD30" s="47" t="n">
        <f aca="false">(L30)*AC30-(((D30)+(L30)*Assumptions!$B$4+IF(H30="Yes",Assumptions!$B$6*(D30),(L30)*Assumptions!$B$5))*(1+Assumptions!$B$7*(Assumptions!$B$8*(N30)*Assumptions!$B$9+Assumptions!$B$10))+(D30)*Assumptions!$B$11*(N30)+(L30)*AC30*(Assumptions!$B$12+Assumptions!$B$13+IF((L30)*AC30&gt;=Assumptions!$B$16,Assumptions!$B$17,IF((L30)*AC30&gt;=Assumptions!$B$14,Assumptions!$B$15,0))))</f>
        <v>-137622.455999999</v>
      </c>
      <c r="AE30" s="46" t="n">
        <f aca="false">(INDEX(Assumptions!$B$36:$B$48,MATCH(AK30,Assumptions!$A$36:$A$48,0))+IF(I30="Yes",Assumptions!$B$23,0)+IF(J30="Yes",Assumptions!$B$24,0))*(1+Assumptions!$B$29)</f>
        <v>1650</v>
      </c>
      <c r="AF30" s="47" t="n">
        <f aca="false">(L30)*AE30-(((D30)+(L30)*Assumptions!$B$4+IF(H30="Yes",Assumptions!$B$6*(D30),(L30)*Assumptions!$B$5))*(1+Assumptions!$B$7*(Assumptions!$B$8*(N30)*Assumptions!$B$9+Assumptions!$B$10))+(D30)*Assumptions!$B$11*(N30)+(L30)*AE30*(Assumptions!$B$12+Assumptions!$B$13+IF((L30)*AE30&gt;=Assumptions!$B$16,Assumptions!$B$17,IF((L30)*AE30&gt;=Assumptions!$B$14,Assumptions!$B$15,0))))</f>
        <v>270938.034000001</v>
      </c>
      <c r="AG30" s="46" t="n">
        <f aca="false">(INDEX(Assumptions!$B$36:$B$48,MATCH(AK30,Assumptions!$A$36:$A$48,0))+IF(I30="Yes",Assumptions!$B$23,0)+IF(J30="Yes",Assumptions!$B$24,0))*(1+Assumptions!$B$30)</f>
        <v>1800</v>
      </c>
      <c r="AH30" s="47" t="n">
        <f aca="false">(L30)*AG30-(((D30)+(L30)*Assumptions!$B$4+IF(H30="Yes",Assumptions!$B$6*(D30),(L30)*Assumptions!$B$5))*(1+Assumptions!$B$7*(Assumptions!$B$8*(N30)*Assumptions!$B$9+Assumptions!$B$10))+(D30)*Assumptions!$B$11*(N30)+(L30)*AG30*(Assumptions!$B$12+Assumptions!$B$13+IF((L30)*AG30&gt;=Assumptions!$B$16,Assumptions!$B$17,IF((L30)*AG30&gt;=Assumptions!$B$14,Assumptions!$B$15,0))))</f>
        <v>679498.524</v>
      </c>
      <c r="AI30" s="47" t="n">
        <f aca="false">(L30)*AE30-(((D30)+(L30)*Assumptions!$B$25+IF(H30="Yes",Assumptions!$B$6*(D30),(L30)*Assumptions!$B$5))*(1+Assumptions!$B$7*(Assumptions!$B$8*(N30)*Assumptions!$B$9+Assumptions!$B$10))+(D30)*Assumptions!$B$11*(N30)+(L30)*AE30*(Assumptions!$B$12+Assumptions!$B$13+IF((L30)*AE30&gt;=Assumptions!$B$16,Assumptions!$B$17,IF((L30)*AE30&gt;=Assumptions!$B$14,Assumptions!$B$15,0))))</f>
        <v>430880.196500001</v>
      </c>
      <c r="AJ30" s="47" t="n">
        <f aca="false">(L30)*AE30-(((D30)+(L30)*Assumptions!$B$26+IF(H30="Yes",Assumptions!$B$6*(D30),(L30)*Assumptions!$B$5))*(1+Assumptions!$B$7*(Assumptions!$B$8*(N30)*Assumptions!$B$9+Assumptions!$B$10))+(D30)*Assumptions!$B$11*(N30)+(L30)*AE30*(Assumptions!$B$12+Assumptions!$B$13+IF((L30)*AE30&gt;=Assumptions!$B$16,Assumptions!$B$17,IF((L30)*AE30&gt;=Assumptions!$B$14,Assumptions!$B$15,0))))</f>
        <v>590822.359000001</v>
      </c>
      <c r="AK30" s="40" t="s">
        <v>77</v>
      </c>
      <c r="AL30" s="45" t="n">
        <f aca="false">IF(G30&gt;0,G30,ROUND(F30*Assumptions!$B$18,0))</f>
        <v>1841</v>
      </c>
      <c r="AM30" s="45" t="n">
        <f aca="false">IF(H30="Yes",AL30,MAX(AL30,MIN(Assumptions!$B$20,ROUND(E30*Assumptions!$B$19,0))))</f>
        <v>2839</v>
      </c>
      <c r="AN30" s="47" t="n">
        <f aca="false">(AL30)*AE30-(((D30)+(AL30)*Assumptions!$B$4+IF(H30="Yes",Assumptions!$B$6*(D30),(AL30)*Assumptions!$B$5))*(1+Assumptions!$B$7*(Assumptions!$B$8*(Assumptions!$B$21)*Assumptions!$B$9+Assumptions!$B$10))+(D30)*Assumptions!$B$11*(Assumptions!$B$21)+(AL30)*AE30*(Assumptions!$B$12+Assumptions!$B$13+IF((AL30)*AE30&gt;=Assumptions!$B$16,Assumptions!$B$17,IF((AL30)*AE30&gt;=Assumptions!$B$14,Assumptions!$B$15,0))))</f>
        <v>-305276.984499999</v>
      </c>
      <c r="AO30" s="47" t="n">
        <f aca="false">(AM30)*AE30-(((D30)+(AM30)*Assumptions!$B$4+IF(H30="Yes",Assumptions!$B$6*(D30),(AM30)*Assumptions!$B$5))*(1+Assumptions!$B$7*(Assumptions!$B$8*(IF(AM30&gt;AL30,Assumptions!$B$22,Assumptions!$B$21))*Assumptions!$B$9+Assumptions!$B$10))+(D30)*Assumptions!$B$11*(IF(AM30&gt;AL30,Assumptions!$B$22,Assumptions!$B$21))+(AM30)*AE30*(Assumptions!$B$12+Assumptions!$B$13+IF((AM30)*AE30&gt;=Assumptions!$B$16,Assumptions!$B$17,IF((AM30)*AE30&gt;=Assumptions!$B$14,Assumptions!$B$15,0))))</f>
        <v>270938.034000001</v>
      </c>
      <c r="AP30" s="47" t="n">
        <f aca="false">Assumptions!$B$7*(Q30+R30+S30)</f>
        <v>2405145.6</v>
      </c>
    </row>
    <row r="31" customFormat="false" ht="15" hidden="false" customHeight="false" outlineLevel="0" collapsed="false">
      <c r="A31" s="40" t="n">
        <v>29</v>
      </c>
      <c r="B31" s="40" t="s">
        <v>136</v>
      </c>
      <c r="C31" s="40" t="s">
        <v>75</v>
      </c>
      <c r="D31" s="41" t="n">
        <v>1250000</v>
      </c>
      <c r="E31" s="42" t="n">
        <v>5900</v>
      </c>
      <c r="F31" s="42" t="n">
        <v>1279</v>
      </c>
      <c r="G31" s="42"/>
      <c r="H31" s="43" t="s">
        <v>71</v>
      </c>
      <c r="I31" s="43" t="s">
        <v>71</v>
      </c>
      <c r="J31" s="43" t="s">
        <v>71</v>
      </c>
      <c r="K31" s="44"/>
      <c r="L31" s="45" t="n">
        <f aca="false">IF(AO31&gt;AN31,AM31,AL31)</f>
        <v>2360</v>
      </c>
      <c r="M31" s="40" t="str">
        <f aca="false">IF(AO31&gt;AN31,"Zoning estimate",IF(H31="Yes","Approved plans",IF(G31&gt;0,"Listing claim","110% old house")))</f>
        <v>Zoning estimate</v>
      </c>
      <c r="N31" s="45" t="n">
        <f aca="false">IF(AO31&gt;AN31,IF(AM31&gt;AL31,Assumptions!$B$22,Assumptions!$B$21),Assumptions!$B$21)</f>
        <v>3</v>
      </c>
      <c r="O31" s="46" t="n">
        <f aca="false">(INDEX(Assumptions!$B$36:$B$48,MATCH(AK31,Assumptions!$A$36:$A$48,0))+IF(I31="Yes",Assumptions!$B$23,0)+IF(J31="Yes",Assumptions!$B$24,0))*(1+IF(UPPER(Assumptions!$B$31)="WORST",Assumptions!$B$28,IF(UPPER(Assumptions!$B$31)="BEST",Assumptions!$B$30,Assumptions!$B$29)))</f>
        <v>1540</v>
      </c>
      <c r="P31" s="47" t="n">
        <f aca="false">L31*O31</f>
        <v>3634400</v>
      </c>
      <c r="Q31" s="47" t="n">
        <f aca="false">D31</f>
        <v>1250000</v>
      </c>
      <c r="R31" s="47" t="n">
        <f aca="false">L31*Assumptions!$B$4</f>
        <v>1652000</v>
      </c>
      <c r="S31" s="47" t="n">
        <f aca="false">IF(H31="Yes",Assumptions!$B$6*(D31),(L31)*Assumptions!$B$5)</f>
        <v>177000</v>
      </c>
      <c r="T31" s="47" t="n">
        <f aca="false">AP31*(Assumptions!$B$8*N31*Assumptions!$B$9+Assumptions!$B$10)</f>
        <v>390263.25</v>
      </c>
      <c r="U31" s="47" t="n">
        <f aca="false">Q31*Assumptions!$B$11*N31</f>
        <v>45000</v>
      </c>
      <c r="V31" s="47" t="n">
        <f aca="false">P31*(Assumptions!$B$12+Assumptions!$B$13)</f>
        <v>147556.64</v>
      </c>
      <c r="W31" s="47" t="n">
        <f aca="false">P31*IF(P31&gt;=Assumptions!$B$16,Assumptions!$B$17,IF(P31&gt;=Assumptions!$B$14,Assumptions!$B$15,0))</f>
        <v>0</v>
      </c>
      <c r="X31" s="48" t="n">
        <f aca="false">SUM(Q31:W31)</f>
        <v>3661819.89</v>
      </c>
      <c r="Y31" s="48" t="n">
        <f aca="false">P31-X31</f>
        <v>-27419.8899999997</v>
      </c>
      <c r="Z31" s="49" t="n">
        <f aca="false">IF(X31=0,0,Y31/X31)</f>
        <v>-0.00748804988330534</v>
      </c>
      <c r="AA31" s="47" t="n">
        <f aca="false">MAX(0,(P31/(1+Assumptions!$B$27)-(L31*(Assumptions!$B$4+IF(H31="Yes",0,Assumptions!$B$5)))*(1+(Assumptions!$B$7*(Assumptions!$B$8*N31*Assumptions!$B$9+Assumptions!$B$10)))-P31*(Assumptions!$B$12+Assumptions!$B$13+IF(P31&gt;=Assumptions!$B$16,Assumptions!$B$17,IF(P31&gt;=Assumptions!$B$14,Assumptions!$B$15,0))))/((1+IF(H31="Yes",Assumptions!$B$6,0))*(1+(Assumptions!$B$7*(Assumptions!$B$8*N31*Assumptions!$B$9+Assumptions!$B$10)))+Assumptions!$B$11*N31))</f>
        <v>818718.93019734</v>
      </c>
      <c r="AB31" s="50" t="n">
        <f aca="false">IF(AA31&lt;=0,"no price works",D31/AA31)</f>
        <v>1.52677549510026</v>
      </c>
      <c r="AC31" s="46" t="n">
        <f aca="false">(INDEX(Assumptions!$B$36:$B$48,MATCH(AK31,Assumptions!$A$36:$A$48,0))+IF(I31="Yes",Assumptions!$B$23,0)+IF(J31="Yes",Assumptions!$B$24,0))*(1+Assumptions!$B$28)</f>
        <v>1400</v>
      </c>
      <c r="AD31" s="47" t="n">
        <f aca="false">(L31)*AC31-(((D31)+(L31)*Assumptions!$B$4+IF(H31="Yes",Assumptions!$B$6*(D31),(L31)*Assumptions!$B$5))*(1+Assumptions!$B$7*(Assumptions!$B$8*(N31)*Assumptions!$B$9+Assumptions!$B$10))+(D31)*Assumptions!$B$11*(N31)+(L31)*AC31*(Assumptions!$B$12+Assumptions!$B$13+IF((L31)*AC31&gt;=Assumptions!$B$16,Assumptions!$B$17,IF((L31)*AC31&gt;=Assumptions!$B$14,Assumptions!$B$15,0))))</f>
        <v>-344405.649999999</v>
      </c>
      <c r="AE31" s="46" t="n">
        <f aca="false">(INDEX(Assumptions!$B$36:$B$48,MATCH(AK31,Assumptions!$A$36:$A$48,0))+IF(I31="Yes",Assumptions!$B$23,0)+IF(J31="Yes",Assumptions!$B$24,0))*(1+Assumptions!$B$29)</f>
        <v>1540</v>
      </c>
      <c r="AF31" s="47" t="n">
        <f aca="false">(L31)*AE31-(((D31)+(L31)*Assumptions!$B$4+IF(H31="Yes",Assumptions!$B$6*(D31),(L31)*Assumptions!$B$5))*(1+Assumptions!$B$7*(Assumptions!$B$8*(N31)*Assumptions!$B$9+Assumptions!$B$10))+(D31)*Assumptions!$B$11*(N31)+(L31)*AE31*(Assumptions!$B$12+Assumptions!$B$13+IF((L31)*AE31&gt;=Assumptions!$B$16,Assumptions!$B$17,IF((L31)*AE31&gt;=Assumptions!$B$14,Assumptions!$B$15,0))))</f>
        <v>-27419.8899999992</v>
      </c>
      <c r="AG31" s="46" t="n">
        <f aca="false">(INDEX(Assumptions!$B$36:$B$48,MATCH(AK31,Assumptions!$A$36:$A$48,0))+IF(I31="Yes",Assumptions!$B$23,0)+IF(J31="Yes",Assumptions!$B$24,0))*(1+Assumptions!$B$30)</f>
        <v>1680</v>
      </c>
      <c r="AH31" s="47" t="n">
        <f aca="false">(L31)*AG31-(((D31)+(L31)*Assumptions!$B$4+IF(H31="Yes",Assumptions!$B$6*(D31),(L31)*Assumptions!$B$5))*(1+Assumptions!$B$7*(Assumptions!$B$8*(N31)*Assumptions!$B$9+Assumptions!$B$10))+(D31)*Assumptions!$B$11*(N31)+(L31)*AG31*(Assumptions!$B$12+Assumptions!$B$13+IF((L31)*AG31&gt;=Assumptions!$B$16,Assumptions!$B$17,IF((L31)*AG31&gt;=Assumptions!$B$14,Assumptions!$B$15,0))))</f>
        <v>289565.870000001</v>
      </c>
      <c r="AI31" s="47" t="n">
        <f aca="false">(L31)*AE31-(((D31)+(L31)*Assumptions!$B$25+IF(H31="Yes",Assumptions!$B$6*(D31),(L31)*Assumptions!$B$5))*(1+Assumptions!$B$7*(Assumptions!$B$8*(N31)*Assumptions!$B$9+Assumptions!$B$10))+(D31)*Assumptions!$B$11*(N31)+(L31)*AE31*(Assumptions!$B$12+Assumptions!$B$13+IF((L31)*AE31&gt;=Assumptions!$B$16,Assumptions!$B$17,IF((L31)*AE31&gt;=Assumptions!$B$14,Assumptions!$B$15,0))))</f>
        <v>105536.610000001</v>
      </c>
      <c r="AJ31" s="47" t="n">
        <f aca="false">(L31)*AE31-(((D31)+(L31)*Assumptions!$B$26+IF(H31="Yes",Assumptions!$B$6*(D31),(L31)*Assumptions!$B$5))*(1+Assumptions!$B$7*(Assumptions!$B$8*(N31)*Assumptions!$B$9+Assumptions!$B$10))+(D31)*Assumptions!$B$11*(N31)+(L31)*AE31*(Assumptions!$B$12+Assumptions!$B$13+IF((L31)*AE31&gt;=Assumptions!$B$16,Assumptions!$B$17,IF((L31)*AE31&gt;=Assumptions!$B$14,Assumptions!$B$15,0))))</f>
        <v>238493.11</v>
      </c>
      <c r="AK31" s="40" t="s">
        <v>77</v>
      </c>
      <c r="AL31" s="45" t="n">
        <f aca="false">IF(G31&gt;0,G31,ROUND(F31*Assumptions!$B$18,0))</f>
        <v>1407</v>
      </c>
      <c r="AM31" s="45" t="n">
        <f aca="false">IF(H31="Yes",AL31,MAX(AL31,MIN(Assumptions!$B$20,ROUND(E31*Assumptions!$B$19,0))))</f>
        <v>2360</v>
      </c>
      <c r="AN31" s="47" t="n">
        <f aca="false">(AL31)*AE31-(((D31)+(AL31)*Assumptions!$B$4+IF(H31="Yes",Assumptions!$B$6*(D31),(AL31)*Assumptions!$B$5))*(1+Assumptions!$B$7*(Assumptions!$B$8*(Assumptions!$B$21)*Assumptions!$B$9+Assumptions!$B$10))+(D31)*Assumptions!$B$11*(Assumptions!$B$21)+(AL31)*AE31*(Assumptions!$B$12+Assumptions!$B$13+IF((AL31)*AE31&gt;=Assumptions!$B$16,Assumptions!$B$17,IF((AL31)*AE31&gt;=Assumptions!$B$14,Assumptions!$B$15,0))))</f>
        <v>-496988.56175</v>
      </c>
      <c r="AO31" s="47" t="n">
        <f aca="false">(AM31)*AE31-(((D31)+(AM31)*Assumptions!$B$4+IF(H31="Yes",Assumptions!$B$6*(D31),(AM31)*Assumptions!$B$5))*(1+Assumptions!$B$7*(Assumptions!$B$8*(IF(AM31&gt;AL31,Assumptions!$B$22,Assumptions!$B$21))*Assumptions!$B$9+Assumptions!$B$10))+(D31)*Assumptions!$B$11*(IF(AM31&gt;AL31,Assumptions!$B$22,Assumptions!$B$21))+(AM31)*AE31*(Assumptions!$B$12+Assumptions!$B$13+IF((AM31)*AE31&gt;=Assumptions!$B$16,Assumptions!$B$17,IF((AM31)*AE31&gt;=Assumptions!$B$14,Assumptions!$B$15,0))))</f>
        <v>-27419.8899999992</v>
      </c>
      <c r="AP31" s="47" t="n">
        <f aca="false">Assumptions!$B$7*(Q31+R31+S31)</f>
        <v>2001350</v>
      </c>
    </row>
    <row r="32" customFormat="false" ht="15" hidden="false" customHeight="false" outlineLevel="0" collapsed="false">
      <c r="A32" s="40" t="n">
        <v>30</v>
      </c>
      <c r="B32" s="40" t="s">
        <v>137</v>
      </c>
      <c r="C32" s="40" t="s">
        <v>117</v>
      </c>
      <c r="D32" s="41" t="n">
        <v>3225000</v>
      </c>
      <c r="E32" s="42" t="n">
        <v>8304</v>
      </c>
      <c r="F32" s="42" t="n">
        <v>6622</v>
      </c>
      <c r="G32" s="42"/>
      <c r="H32" s="43" t="s">
        <v>71</v>
      </c>
      <c r="I32" s="43" t="s">
        <v>71</v>
      </c>
      <c r="J32" s="43" t="s">
        <v>71</v>
      </c>
      <c r="K32" s="44" t="s">
        <v>138</v>
      </c>
      <c r="L32" s="45" t="n">
        <f aca="false">IF(AO32&gt;AN32,AM32,AL32)</f>
        <v>7284</v>
      </c>
      <c r="M32" s="40" t="str">
        <f aca="false">IF(AO32&gt;AN32,"Zoning estimate",IF(H32="Yes","Approved plans",IF(G32&gt;0,"Listing claim","110% old house")))</f>
        <v>110% old house</v>
      </c>
      <c r="N32" s="45" t="n">
        <f aca="false">IF(AO32&gt;AN32,IF(AM32&gt;AL32,Assumptions!$B$22,Assumptions!$B$21),Assumptions!$B$21)</f>
        <v>2</v>
      </c>
      <c r="O32" s="46" t="n">
        <f aca="false">(INDEX(Assumptions!$B$36:$B$48,MATCH(AK32,Assumptions!$A$36:$A$48,0))+IF(I32="Yes",Assumptions!$B$23,0)+IF(J32="Yes",Assumptions!$B$24,0))*(1+IF(UPPER(Assumptions!$B$31)="WORST",Assumptions!$B$28,IF(UPPER(Assumptions!$B$31)="BEST",Assumptions!$B$30,Assumptions!$B$29)))</f>
        <v>1540</v>
      </c>
      <c r="P32" s="47" t="n">
        <f aca="false">L32*O32</f>
        <v>11217360</v>
      </c>
      <c r="Q32" s="47" t="n">
        <f aca="false">D32</f>
        <v>3225000</v>
      </c>
      <c r="R32" s="47" t="n">
        <f aca="false">L32*Assumptions!$B$4</f>
        <v>5098800</v>
      </c>
      <c r="S32" s="47" t="n">
        <f aca="false">IF(H32="Yes",Assumptions!$B$6*(D32),(L32)*Assumptions!$B$5)</f>
        <v>546300</v>
      </c>
      <c r="T32" s="47" t="n">
        <f aca="false">AP32*(Assumptions!$B$8*N32*Assumptions!$B$9+Assumptions!$B$10)</f>
        <v>778351.275</v>
      </c>
      <c r="U32" s="47" t="n">
        <f aca="false">Q32*Assumptions!$B$11*N32</f>
        <v>77400</v>
      </c>
      <c r="V32" s="47" t="n">
        <f aca="false">P32*(Assumptions!$B$12+Assumptions!$B$13)</f>
        <v>455424.816</v>
      </c>
      <c r="W32" s="47" t="n">
        <f aca="false">P32*IF(P32&gt;=Assumptions!$B$16,Assumptions!$B$17,IF(P32&gt;=Assumptions!$B$14,Assumptions!$B$15,0))</f>
        <v>616954.8</v>
      </c>
      <c r="X32" s="48" t="n">
        <f aca="false">SUM(Q32:W32)</f>
        <v>10798230.891</v>
      </c>
      <c r="Y32" s="48" t="n">
        <f aca="false">P32-X32</f>
        <v>419129.109000001</v>
      </c>
      <c r="Z32" s="49" t="n">
        <f aca="false">IF(X32=0,0,Y32/X32)</f>
        <v>0.0388146089142558</v>
      </c>
      <c r="AA32" s="47" t="n">
        <f aca="false">MAX(0,(P32/(1+Assumptions!$B$27)-(L32*(Assumptions!$B$4+IF(H32="Yes",0,Assumptions!$B$5)))*(1+(Assumptions!$B$7*(Assumptions!$B$8*N32*Assumptions!$B$9+Assumptions!$B$10)))-P32*(Assumptions!$B$12+Assumptions!$B$13+IF(P32&gt;=Assumptions!$B$16,Assumptions!$B$17,IF(P32&gt;=Assumptions!$B$14,Assumptions!$B$15,0))))/((1+IF(H32="Yes",Assumptions!$B$6,0))*(1+(Assumptions!$B$7*(Assumptions!$B$8*N32*Assumptions!$B$9+Assumptions!$B$10)))+Assumptions!$B$11*N32))</f>
        <v>2285935.63836881</v>
      </c>
      <c r="AB32" s="50" t="n">
        <f aca="false">IF(AA32&lt;=0,"no price works",D32/AA32)</f>
        <v>1.41080087552303</v>
      </c>
      <c r="AC32" s="46" t="n">
        <f aca="false">(INDEX(Assumptions!$B$36:$B$48,MATCH(AK32,Assumptions!$A$36:$A$48,0))+IF(I32="Yes",Assumptions!$B$23,0)+IF(J32="Yes",Assumptions!$B$24,0))*(1+Assumptions!$B$28)</f>
        <v>1400</v>
      </c>
      <c r="AD32" s="47" t="n">
        <f aca="false">(L32)*AC32-(((D32)+(L32)*Assumptions!$B$4+IF(H32="Yes",Assumptions!$B$6*(D32),(L32)*Assumptions!$B$5))*(1+Assumptions!$B$7*(Assumptions!$B$8*(N32)*Assumptions!$B$9+Assumptions!$B$10))+(D32)*Assumptions!$B$11*(N32)+(L32)*AC32*(Assumptions!$B$12+Assumptions!$B$13+IF((L32)*AC32&gt;=Assumptions!$B$16,Assumptions!$B$17,IF((L32)*AC32&gt;=Assumptions!$B$14,Assumptions!$B$15,0))))</f>
        <v>-350177.835000001</v>
      </c>
      <c r="AE32" s="46" t="n">
        <f aca="false">(INDEX(Assumptions!$B$36:$B$48,MATCH(AK32,Assumptions!$A$36:$A$48,0))+IF(I32="Yes",Assumptions!$B$23,0)+IF(J32="Yes",Assumptions!$B$24,0))*(1+Assumptions!$B$29)</f>
        <v>1540</v>
      </c>
      <c r="AF32" s="47" t="n">
        <f aca="false">(L32)*AE32-(((D32)+(L32)*Assumptions!$B$4+IF(H32="Yes",Assumptions!$B$6*(D32),(L32)*Assumptions!$B$5))*(1+Assumptions!$B$7*(Assumptions!$B$8*(N32)*Assumptions!$B$9+Assumptions!$B$10))+(D32)*Assumptions!$B$11*(N32)+(L32)*AE32*(Assumptions!$B$12+Assumptions!$B$13+IF((L32)*AE32&gt;=Assumptions!$B$16,Assumptions!$B$17,IF((L32)*AE32&gt;=Assumptions!$B$14,Assumptions!$B$15,0))))</f>
        <v>419129.109000001</v>
      </c>
      <c r="AG32" s="46" t="n">
        <f aca="false">(INDEX(Assumptions!$B$36:$B$48,MATCH(AK32,Assumptions!$A$36:$A$48,0))+IF(I32="Yes",Assumptions!$B$23,0)+IF(J32="Yes",Assumptions!$B$24,0))*(1+Assumptions!$B$30)</f>
        <v>1680</v>
      </c>
      <c r="AH32" s="47" t="n">
        <f aca="false">(L32)*AG32-(((D32)+(L32)*Assumptions!$B$4+IF(H32="Yes",Assumptions!$B$6*(D32),(L32)*Assumptions!$B$5))*(1+Assumptions!$B$7*(Assumptions!$B$8*(N32)*Assumptions!$B$9+Assumptions!$B$10))+(D32)*Assumptions!$B$11*(N32)+(L32)*AG32*(Assumptions!$B$12+Assumptions!$B$13+IF((L32)*AG32&gt;=Assumptions!$B$16,Assumptions!$B$17,IF((L32)*AG32&gt;=Assumptions!$B$14,Assumptions!$B$15,0))))</f>
        <v>1341400.053</v>
      </c>
      <c r="AI32" s="47" t="n">
        <f aca="false">(L32)*AE32-(((D32)+(L32)*Assumptions!$B$25+IF(H32="Yes",Assumptions!$B$6*(D32),(L32)*Assumptions!$B$5))*(1+Assumptions!$B$7*(Assumptions!$B$8*(N32)*Assumptions!$B$9+Assumptions!$B$10))+(D32)*Assumptions!$B$11*(N32)+(L32)*AE32*(Assumptions!$B$12+Assumptions!$B$13+IF((L32)*AE32&gt;=Assumptions!$B$16,Assumptions!$B$17,IF((L32)*AE32&gt;=Assumptions!$B$14,Assumptions!$B$15,0))))</f>
        <v>815287.659000002</v>
      </c>
      <c r="AJ32" s="47" t="n">
        <f aca="false">(L32)*AE32-(((D32)+(L32)*Assumptions!$B$26+IF(H32="Yes",Assumptions!$B$6*(D32),(L32)*Assumptions!$B$5))*(1+Assumptions!$B$7*(Assumptions!$B$8*(N32)*Assumptions!$B$9+Assumptions!$B$10))+(D32)*Assumptions!$B$11*(N32)+(L32)*AE32*(Assumptions!$B$12+Assumptions!$B$13+IF((L32)*AE32&gt;=Assumptions!$B$16,Assumptions!$B$17,IF((L32)*AE32&gt;=Assumptions!$B$14,Assumptions!$B$15,0))))</f>
        <v>1211446.209</v>
      </c>
      <c r="AK32" s="40" t="s">
        <v>119</v>
      </c>
      <c r="AL32" s="45" t="n">
        <f aca="false">IF(G32&gt;0,G32,ROUND(F32*Assumptions!$B$18,0))</f>
        <v>7284</v>
      </c>
      <c r="AM32" s="45" t="n">
        <f aca="false">IF(H32="Yes",AL32,MAX(AL32,MIN(Assumptions!$B$20,ROUND(E32*Assumptions!$B$19,0))))</f>
        <v>7284</v>
      </c>
      <c r="AN32" s="47" t="n">
        <f aca="false">(AL32)*AE32-(((D32)+(AL32)*Assumptions!$B$4+IF(H32="Yes",Assumptions!$B$6*(D32),(AL32)*Assumptions!$B$5))*(1+Assumptions!$B$7*(Assumptions!$B$8*(Assumptions!$B$21)*Assumptions!$B$9+Assumptions!$B$10))+(D32)*Assumptions!$B$11*(Assumptions!$B$21)+(AL32)*AE32*(Assumptions!$B$12+Assumptions!$B$13+IF((AL32)*AE32&gt;=Assumptions!$B$16,Assumptions!$B$17,IF((AL32)*AE32&gt;=Assumptions!$B$14,Assumptions!$B$15,0))))</f>
        <v>419129.109000001</v>
      </c>
      <c r="AO32" s="47" t="n">
        <f aca="false">(AM32)*AE32-(((D32)+(AM32)*Assumptions!$B$4+IF(H32="Yes",Assumptions!$B$6*(D32),(AM32)*Assumptions!$B$5))*(1+Assumptions!$B$7*(Assumptions!$B$8*(IF(AM32&gt;AL32,Assumptions!$B$22,Assumptions!$B$21))*Assumptions!$B$9+Assumptions!$B$10))+(D32)*Assumptions!$B$11*(IF(AM32&gt;AL32,Assumptions!$B$22,Assumptions!$B$21))+(AM32)*AE32*(Assumptions!$B$12+Assumptions!$B$13+IF((AM32)*AE32&gt;=Assumptions!$B$16,Assumptions!$B$17,IF((AM32)*AE32&gt;=Assumptions!$B$14,Assumptions!$B$15,0))))</f>
        <v>419129.109000001</v>
      </c>
      <c r="AP32" s="47" t="n">
        <f aca="false">Assumptions!$B$7*(Q32+R32+S32)</f>
        <v>5765565</v>
      </c>
    </row>
    <row r="33" customFormat="false" ht="15" hidden="false" customHeight="false" outlineLevel="0" collapsed="false">
      <c r="A33" s="40" t="n">
        <v>31</v>
      </c>
      <c r="B33" s="40" t="s">
        <v>139</v>
      </c>
      <c r="C33" s="40" t="s">
        <v>75</v>
      </c>
      <c r="D33" s="41" t="n">
        <v>2499000</v>
      </c>
      <c r="E33" s="42" t="n">
        <v>13803</v>
      </c>
      <c r="F33" s="42" t="n">
        <v>3049</v>
      </c>
      <c r="G33" s="42"/>
      <c r="H33" s="43" t="s">
        <v>71</v>
      </c>
      <c r="I33" s="43" t="s">
        <v>71</v>
      </c>
      <c r="J33" s="43" t="s">
        <v>71</v>
      </c>
      <c r="K33" s="44" t="s">
        <v>140</v>
      </c>
      <c r="L33" s="45" t="n">
        <f aca="false">IF(AO33&gt;AN33,AM33,AL33)</f>
        <v>5521</v>
      </c>
      <c r="M33" s="40" t="str">
        <f aca="false">IF(AO33&gt;AN33,"Zoning estimate",IF(H33="Yes","Approved plans",IF(G33&gt;0,"Listing claim","110% old house")))</f>
        <v>Zoning estimate</v>
      </c>
      <c r="N33" s="45" t="n">
        <f aca="false">IF(AO33&gt;AN33,IF(AM33&gt;AL33,Assumptions!$B$22,Assumptions!$B$21),Assumptions!$B$21)</f>
        <v>3</v>
      </c>
      <c r="O33" s="46" t="n">
        <f aca="false">(INDEX(Assumptions!$B$36:$B$48,MATCH(AK33,Assumptions!$A$36:$A$48,0))+IF(I33="Yes",Assumptions!$B$23,0)+IF(J33="Yes",Assumptions!$B$24,0))*(1+IF(UPPER(Assumptions!$B$31)="WORST",Assumptions!$B$28,IF(UPPER(Assumptions!$B$31)="BEST",Assumptions!$B$30,Assumptions!$B$29)))</f>
        <v>1540</v>
      </c>
      <c r="P33" s="47" t="n">
        <f aca="false">L33*O33</f>
        <v>8502340</v>
      </c>
      <c r="Q33" s="47" t="n">
        <f aca="false">D33</f>
        <v>2499000</v>
      </c>
      <c r="R33" s="47" t="n">
        <f aca="false">L33*Assumptions!$B$4</f>
        <v>3864700</v>
      </c>
      <c r="S33" s="47" t="n">
        <f aca="false">IF(H33="Yes",Assumptions!$B$6*(D33),(L33)*Assumptions!$B$5)</f>
        <v>414075</v>
      </c>
      <c r="T33" s="47" t="n">
        <f aca="false">AP33*(Assumptions!$B$8*N33*Assumptions!$B$9+Assumptions!$B$10)</f>
        <v>859082.98125</v>
      </c>
      <c r="U33" s="47" t="n">
        <f aca="false">Q33*Assumptions!$B$11*N33</f>
        <v>89964</v>
      </c>
      <c r="V33" s="47" t="n">
        <f aca="false">P33*(Assumptions!$B$12+Assumptions!$B$13)</f>
        <v>345195.004</v>
      </c>
      <c r="W33" s="47" t="n">
        <f aca="false">P33*IF(P33&gt;=Assumptions!$B$16,Assumptions!$B$17,IF(P33&gt;=Assumptions!$B$14,Assumptions!$B$15,0))</f>
        <v>340093.6</v>
      </c>
      <c r="X33" s="48" t="n">
        <f aca="false">SUM(Q33:W33)</f>
        <v>8412110.58525</v>
      </c>
      <c r="Y33" s="48" t="n">
        <f aca="false">P33-X33</f>
        <v>90229.4147500023</v>
      </c>
      <c r="Z33" s="49" t="n">
        <f aca="false">IF(X33=0,0,Y33/X33)</f>
        <v>0.0107261327386985</v>
      </c>
      <c r="AA33" s="47" t="n">
        <f aca="false">MAX(0,(P33/(1+Assumptions!$B$27)-(L33*(Assumptions!$B$4+IF(H33="Yes",0,Assumptions!$B$5)))*(1+(Assumptions!$B$7*(Assumptions!$B$8*N33*Assumptions!$B$9+Assumptions!$B$10)))-P33*(Assumptions!$B$12+Assumptions!$B$13+IF(P33&gt;=Assumptions!$B$16,Assumptions!$B$17,IF(P33&gt;=Assumptions!$B$14,Assumptions!$B$15,0))))/((1+IF(H33="Yes",Assumptions!$B$6,0))*(1+(Assumptions!$B$7*(Assumptions!$B$8*N33*Assumptions!$B$9+Assumptions!$B$10)))+Assumptions!$B$11*N33))</f>
        <v>1622825.88276481</v>
      </c>
      <c r="AB33" s="50" t="n">
        <f aca="false">IF(AA33&lt;=0,"no price works",D33/AA33)</f>
        <v>1.53990642282735</v>
      </c>
      <c r="AC33" s="46" t="n">
        <f aca="false">(INDEX(Assumptions!$B$36:$B$48,MATCH(AK33,Assumptions!$A$36:$A$48,0))+IF(I33="Yes",Assumptions!$B$23,0)+IF(J33="Yes",Assumptions!$B$24,0))*(1+Assumptions!$B$28)</f>
        <v>1400</v>
      </c>
      <c r="AD33" s="47" t="n">
        <f aca="false">(L33)*AC33-(((D33)+(L33)*Assumptions!$B$4+IF(H33="Yes",Assumptions!$B$6*(D33),(L33)*Assumptions!$B$5))*(1+Assumptions!$B$7*(Assumptions!$B$8*(N33)*Assumptions!$B$9+Assumptions!$B$10))+(D33)*Assumptions!$B$11*(N33)+(L33)*AC33*(Assumptions!$B$12+Assumptions!$B$13+IF((L33)*AC33&gt;=Assumptions!$B$16,Assumptions!$B$17,IF((L33)*AC33&gt;=Assumptions!$B$14,Assumptions!$B$15,0))))</f>
        <v>-620411.621249999</v>
      </c>
      <c r="AE33" s="46" t="n">
        <f aca="false">(INDEX(Assumptions!$B$36:$B$48,MATCH(AK33,Assumptions!$A$36:$A$48,0))+IF(I33="Yes",Assumptions!$B$23,0)+IF(J33="Yes",Assumptions!$B$24,0))*(1+Assumptions!$B$29)</f>
        <v>1540</v>
      </c>
      <c r="AF33" s="47" t="n">
        <f aca="false">(L33)*AE33-(((D33)+(L33)*Assumptions!$B$4+IF(H33="Yes",Assumptions!$B$6*(D33),(L33)*Assumptions!$B$5))*(1+Assumptions!$B$7*(Assumptions!$B$8*(N33)*Assumptions!$B$9+Assumptions!$B$10))+(D33)*Assumptions!$B$11*(N33)+(L33)*AE33*(Assumptions!$B$12+Assumptions!$B$13+IF((L33)*AE33&gt;=Assumptions!$B$16,Assumptions!$B$17,IF((L33)*AE33&gt;=Assumptions!$B$14,Assumptions!$B$15,0))))</f>
        <v>90229.4147500023</v>
      </c>
      <c r="AG33" s="46" t="n">
        <f aca="false">(INDEX(Assumptions!$B$36:$B$48,MATCH(AK33,Assumptions!$A$36:$A$48,0))+IF(I33="Yes",Assumptions!$B$23,0)+IF(J33="Yes",Assumptions!$B$24,0))*(1+Assumptions!$B$30)</f>
        <v>1680</v>
      </c>
      <c r="AH33" s="47" t="n">
        <f aca="false">(L33)*AG33-(((D33)+(L33)*Assumptions!$B$4+IF(H33="Yes",Assumptions!$B$6*(D33),(L33)*Assumptions!$B$5))*(1+Assumptions!$B$7*(Assumptions!$B$8*(N33)*Assumptions!$B$9+Assumptions!$B$10))+(D33)*Assumptions!$B$11*(N33)+(L33)*AG33*(Assumptions!$B$12+Assumptions!$B$13+IF((L33)*AG33&gt;=Assumptions!$B$16,Assumptions!$B$17,IF((L33)*AG33&gt;=Assumptions!$B$14,Assumptions!$B$15,0))))</f>
        <v>800870.450750001</v>
      </c>
      <c r="AI33" s="47" t="n">
        <f aca="false">(L33)*AE33-(((D33)+(L33)*Assumptions!$B$25+IF(H33="Yes",Assumptions!$B$6*(D33),(L33)*Assumptions!$B$5))*(1+Assumptions!$B$7*(Assumptions!$B$8*(N33)*Assumptions!$B$9+Assumptions!$B$10))+(D33)*Assumptions!$B$11*(N33)+(L33)*AE33*(Assumptions!$B$12+Assumptions!$B$13+IF((L33)*AE33&gt;=Assumptions!$B$16,Assumptions!$B$17,IF((L33)*AE33&gt;=Assumptions!$B$14,Assumptions!$B$15,0))))</f>
        <v>401268.752250002</v>
      </c>
      <c r="AJ33" s="47" t="n">
        <f aca="false">(L33)*AE33-(((D33)+(L33)*Assumptions!$B$26+IF(H33="Yes",Assumptions!$B$6*(D33),(L33)*Assumptions!$B$5))*(1+Assumptions!$B$7*(Assumptions!$B$8*(N33)*Assumptions!$B$9+Assumptions!$B$10))+(D33)*Assumptions!$B$11*(N33)+(L33)*AE33*(Assumptions!$B$12+Assumptions!$B$13+IF((L33)*AE33&gt;=Assumptions!$B$16,Assumptions!$B$17,IF((L33)*AE33&gt;=Assumptions!$B$14,Assumptions!$B$15,0))))</f>
        <v>712308.089750002</v>
      </c>
      <c r="AK33" s="40" t="s">
        <v>77</v>
      </c>
      <c r="AL33" s="45" t="n">
        <f aca="false">IF(G33&gt;0,G33,ROUND(F33*Assumptions!$B$18,0))</f>
        <v>3354</v>
      </c>
      <c r="AM33" s="45" t="n">
        <f aca="false">IF(H33="Yes",AL33,MAX(AL33,MIN(Assumptions!$B$20,ROUND(E33*Assumptions!$B$19,0))))</f>
        <v>5521</v>
      </c>
      <c r="AN33" s="47" t="n">
        <f aca="false">(AL33)*AE33-(((D33)+(AL33)*Assumptions!$B$4+IF(H33="Yes",Assumptions!$B$6*(D33),(AL33)*Assumptions!$B$5))*(1+Assumptions!$B$7*(Assumptions!$B$8*(Assumptions!$B$21)*Assumptions!$B$9+Assumptions!$B$10))+(D33)*Assumptions!$B$11*(Assumptions!$B$21)+(AL33)*AE33*(Assumptions!$B$12+Assumptions!$B$13+IF((AL33)*AE33&gt;=Assumptions!$B$16,Assumptions!$B$17,IF((AL33)*AE33&gt;=Assumptions!$B$14,Assumptions!$B$15,0))))</f>
        <v>-650251.7085</v>
      </c>
      <c r="AO33" s="47" t="n">
        <f aca="false">(AM33)*AE33-(((D33)+(AM33)*Assumptions!$B$4+IF(H33="Yes",Assumptions!$B$6*(D33),(AM33)*Assumptions!$B$5))*(1+Assumptions!$B$7*(Assumptions!$B$8*(IF(AM33&gt;AL33,Assumptions!$B$22,Assumptions!$B$21))*Assumptions!$B$9+Assumptions!$B$10))+(D33)*Assumptions!$B$11*(IF(AM33&gt;AL33,Assumptions!$B$22,Assumptions!$B$21))+(AM33)*AE33*(Assumptions!$B$12+Assumptions!$B$13+IF((AM33)*AE33&gt;=Assumptions!$B$16,Assumptions!$B$17,IF((AM33)*AE33&gt;=Assumptions!$B$14,Assumptions!$B$15,0))))</f>
        <v>90229.4147500023</v>
      </c>
      <c r="AP33" s="47" t="n">
        <f aca="false">Assumptions!$B$7*(Q33+R33+S33)</f>
        <v>4405553.75</v>
      </c>
    </row>
    <row r="34" customFormat="false" ht="15" hidden="false" customHeight="false" outlineLevel="0" collapsed="false">
      <c r="A34" s="40" t="n">
        <v>32</v>
      </c>
      <c r="B34" s="40" t="s">
        <v>141</v>
      </c>
      <c r="C34" s="40" t="s">
        <v>102</v>
      </c>
      <c r="D34" s="41" t="n">
        <v>1750000</v>
      </c>
      <c r="E34" s="42" t="n">
        <v>23596</v>
      </c>
      <c r="F34" s="42" t="n">
        <v>1864</v>
      </c>
      <c r="G34" s="42"/>
      <c r="H34" s="43" t="s">
        <v>71</v>
      </c>
      <c r="I34" s="43" t="s">
        <v>71</v>
      </c>
      <c r="J34" s="43" t="s">
        <v>71</v>
      </c>
      <c r="K34" s="44"/>
      <c r="L34" s="45" t="n">
        <f aca="false">IF(AO34&gt;AN34,AM34,AL34)</f>
        <v>8000</v>
      </c>
      <c r="M34" s="40" t="str">
        <f aca="false">IF(AO34&gt;AN34,"Zoning estimate",IF(H34="Yes","Approved plans",IF(G34&gt;0,"Listing claim","110% old house")))</f>
        <v>Zoning estimate</v>
      </c>
      <c r="N34" s="45" t="n">
        <f aca="false">IF(AO34&gt;AN34,IF(AM34&gt;AL34,Assumptions!$B$22,Assumptions!$B$21),Assumptions!$B$21)</f>
        <v>3</v>
      </c>
      <c r="O34" s="46" t="n">
        <f aca="false">(INDEX(Assumptions!$B$36:$B$48,MATCH(AK34,Assumptions!$A$36:$A$48,0))+IF(I34="Yes",Assumptions!$B$23,0)+IF(J34="Yes",Assumptions!$B$24,0))*(1+IF(UPPER(Assumptions!$B$31)="WORST",Assumptions!$B$28,IF(UPPER(Assumptions!$B$31)="BEST",Assumptions!$B$30,Assumptions!$B$29)))</f>
        <v>1375</v>
      </c>
      <c r="P34" s="47" t="n">
        <f aca="false">L34*O34</f>
        <v>11000000</v>
      </c>
      <c r="Q34" s="47" t="n">
        <f aca="false">D34</f>
        <v>1750000</v>
      </c>
      <c r="R34" s="47" t="n">
        <f aca="false">L34*Assumptions!$B$4</f>
        <v>5600000</v>
      </c>
      <c r="S34" s="47" t="n">
        <f aca="false">IF(H34="Yes",Assumptions!$B$6*(D34),(L34)*Assumptions!$B$5)</f>
        <v>600000</v>
      </c>
      <c r="T34" s="47" t="n">
        <f aca="false">AP34*(Assumptions!$B$8*N34*Assumptions!$B$9+Assumptions!$B$10)</f>
        <v>1007662.5</v>
      </c>
      <c r="U34" s="47" t="n">
        <f aca="false">Q34*Assumptions!$B$11*N34</f>
        <v>63000</v>
      </c>
      <c r="V34" s="47" t="n">
        <f aca="false">P34*(Assumptions!$B$12+Assumptions!$B$13)</f>
        <v>446600</v>
      </c>
      <c r="W34" s="47" t="n">
        <f aca="false">P34*IF(P34&gt;=Assumptions!$B$16,Assumptions!$B$17,IF(P34&gt;=Assumptions!$B$14,Assumptions!$B$15,0))</f>
        <v>605000</v>
      </c>
      <c r="X34" s="48" t="n">
        <f aca="false">SUM(Q34:W34)</f>
        <v>10072262.5</v>
      </c>
      <c r="Y34" s="48" t="n">
        <f aca="false">P34-X34</f>
        <v>927737.5</v>
      </c>
      <c r="Z34" s="49" t="n">
        <f aca="false">IF(X34=0,0,Y34/X34)</f>
        <v>0.0921081534560879</v>
      </c>
      <c r="AA34" s="47" t="n">
        <f aca="false">MAX(0,(P34/(1+Assumptions!$B$27)-(L34*(Assumptions!$B$4+IF(H34="Yes",0,Assumptions!$B$5)))*(1+(Assumptions!$B$7*(Assumptions!$B$8*N34*Assumptions!$B$9+Assumptions!$B$10)))-P34*(Assumptions!$B$12+Assumptions!$B$13+IF(P34&gt;=Assumptions!$B$16,Assumptions!$B$17,IF(P34&gt;=Assumptions!$B$14,Assumptions!$B$15,0))))/((1+IF(H34="Yes",Assumptions!$B$6,0))*(1+(Assumptions!$B$7*(Assumptions!$B$8*N34*Assumptions!$B$9+Assumptions!$B$10)))+Assumptions!$B$11*N34))</f>
        <v>1313925.94392978</v>
      </c>
      <c r="AB34" s="50" t="n">
        <f aca="false">IF(AA34&lt;=0,"no price works",D34/AA34)</f>
        <v>1.33188632744855</v>
      </c>
      <c r="AC34" s="46" t="n">
        <f aca="false">(INDEX(Assumptions!$B$36:$B$48,MATCH(AK34,Assumptions!$A$36:$A$48,0))+IF(I34="Yes",Assumptions!$B$23,0)+IF(J34="Yes",Assumptions!$B$24,0))*(1+Assumptions!$B$28)</f>
        <v>1250</v>
      </c>
      <c r="AD34" s="47" t="n">
        <f aca="false">(L34)*AC34-(((D34)+(L34)*Assumptions!$B$4+IF(H34="Yes",Assumptions!$B$6*(D34),(L34)*Assumptions!$B$5))*(1+Assumptions!$B$7*(Assumptions!$B$8*(N34)*Assumptions!$B$9+Assumptions!$B$10))+(D34)*Assumptions!$B$11*(N34)+(L34)*AC34*(Assumptions!$B$12+Assumptions!$B$13+IF((L34)*AC34&gt;=Assumptions!$B$16,Assumptions!$B$17,IF((L34)*AC34&gt;=Assumptions!$B$14,Assumptions!$B$15,0))))</f>
        <v>173337.5</v>
      </c>
      <c r="AE34" s="46" t="n">
        <f aca="false">(INDEX(Assumptions!$B$36:$B$48,MATCH(AK34,Assumptions!$A$36:$A$48,0))+IF(I34="Yes",Assumptions!$B$23,0)+IF(J34="Yes",Assumptions!$B$24,0))*(1+Assumptions!$B$29)</f>
        <v>1375</v>
      </c>
      <c r="AF34" s="47" t="n">
        <f aca="false">(L34)*AE34-(((D34)+(L34)*Assumptions!$B$4+IF(H34="Yes",Assumptions!$B$6*(D34),(L34)*Assumptions!$B$5))*(1+Assumptions!$B$7*(Assumptions!$B$8*(N34)*Assumptions!$B$9+Assumptions!$B$10))+(D34)*Assumptions!$B$11*(N34)+(L34)*AE34*(Assumptions!$B$12+Assumptions!$B$13+IF((L34)*AE34&gt;=Assumptions!$B$16,Assumptions!$B$17,IF((L34)*AE34&gt;=Assumptions!$B$14,Assumptions!$B$15,0))))</f>
        <v>927737.5</v>
      </c>
      <c r="AG34" s="46" t="n">
        <f aca="false">(INDEX(Assumptions!$B$36:$B$48,MATCH(AK34,Assumptions!$A$36:$A$48,0))+IF(I34="Yes",Assumptions!$B$23,0)+IF(J34="Yes",Assumptions!$B$24,0))*(1+Assumptions!$B$30)</f>
        <v>1500</v>
      </c>
      <c r="AH34" s="47" t="n">
        <f aca="false">(L34)*AG34-(((D34)+(L34)*Assumptions!$B$4+IF(H34="Yes",Assumptions!$B$6*(D34),(L34)*Assumptions!$B$5))*(1+Assumptions!$B$7*(Assumptions!$B$8*(N34)*Assumptions!$B$9+Assumptions!$B$10))+(D34)*Assumptions!$B$11*(N34)+(L34)*AG34*(Assumptions!$B$12+Assumptions!$B$13+IF((L34)*AG34&gt;=Assumptions!$B$16,Assumptions!$B$17,IF((L34)*AG34&gt;=Assumptions!$B$14,Assumptions!$B$15,0))))</f>
        <v>1832137.5</v>
      </c>
      <c r="AI34" s="47" t="n">
        <f aca="false">(L34)*AE34-(((D34)+(L34)*Assumptions!$B$25+IF(H34="Yes",Assumptions!$B$6*(D34),(L34)*Assumptions!$B$5))*(1+Assumptions!$B$7*(Assumptions!$B$8*(N34)*Assumptions!$B$9+Assumptions!$B$10))+(D34)*Assumptions!$B$11*(N34)+(L34)*AE34*(Assumptions!$B$12+Assumptions!$B$13+IF((L34)*AE34&gt;=Assumptions!$B$16,Assumptions!$B$17,IF((L34)*AE34&gt;=Assumptions!$B$14,Assumptions!$B$15,0))))</f>
        <v>1378437.5</v>
      </c>
      <c r="AJ34" s="47" t="n">
        <f aca="false">(L34)*AE34-(((D34)+(L34)*Assumptions!$B$26+IF(H34="Yes",Assumptions!$B$6*(D34),(L34)*Assumptions!$B$5))*(1+Assumptions!$B$7*(Assumptions!$B$8*(N34)*Assumptions!$B$9+Assumptions!$B$10))+(D34)*Assumptions!$B$11*(N34)+(L34)*AE34*(Assumptions!$B$12+Assumptions!$B$13+IF((L34)*AE34&gt;=Assumptions!$B$16,Assumptions!$B$17,IF((L34)*AE34&gt;=Assumptions!$B$14,Assumptions!$B$15,0))))</f>
        <v>1829137.5</v>
      </c>
      <c r="AK34" s="40" t="s">
        <v>104</v>
      </c>
      <c r="AL34" s="45" t="n">
        <f aca="false">IF(G34&gt;0,G34,ROUND(F34*Assumptions!$B$18,0))</f>
        <v>2050</v>
      </c>
      <c r="AM34" s="45" t="n">
        <f aca="false">IF(H34="Yes",AL34,MAX(AL34,MIN(Assumptions!$B$20,ROUND(E34*Assumptions!$B$19,0))))</f>
        <v>8000</v>
      </c>
      <c r="AN34" s="47" t="n">
        <f aca="false">(AL34)*AE34-(((D34)+(AL34)*Assumptions!$B$4+IF(H34="Yes",Assumptions!$B$6*(D34),(AL34)*Assumptions!$B$5))*(1+Assumptions!$B$7*(Assumptions!$B$8*(Assumptions!$B$21)*Assumptions!$B$9+Assumptions!$B$10))+(D34)*Assumptions!$B$11*(Assumptions!$B$21)+(AL34)*AE34*(Assumptions!$B$12+Assumptions!$B$13+IF((AL34)*AE34&gt;=Assumptions!$B$16,Assumptions!$B$17,IF((AL34)*AE34&gt;=Assumptions!$B$14,Assumptions!$B$15,0))))</f>
        <v>-969416.5625</v>
      </c>
      <c r="AO34" s="47" t="n">
        <f aca="false">(AM34)*AE34-(((D34)+(AM34)*Assumptions!$B$4+IF(H34="Yes",Assumptions!$B$6*(D34),(AM34)*Assumptions!$B$5))*(1+Assumptions!$B$7*(Assumptions!$B$8*(IF(AM34&gt;AL34,Assumptions!$B$22,Assumptions!$B$21))*Assumptions!$B$9+Assumptions!$B$10))+(D34)*Assumptions!$B$11*(IF(AM34&gt;AL34,Assumptions!$B$22,Assumptions!$B$21))+(AM34)*AE34*(Assumptions!$B$12+Assumptions!$B$13+IF((AM34)*AE34&gt;=Assumptions!$B$16,Assumptions!$B$17,IF((AM34)*AE34&gt;=Assumptions!$B$14,Assumptions!$B$15,0))))</f>
        <v>927737.5</v>
      </c>
      <c r="AP34" s="47" t="n">
        <f aca="false">Assumptions!$B$7*(Q34+R34+S34)</f>
        <v>5167500</v>
      </c>
    </row>
    <row r="35" customFormat="false" ht="15" hidden="false" customHeight="false" outlineLevel="0" collapsed="false">
      <c r="A35" s="40" t="n">
        <v>33</v>
      </c>
      <c r="B35" s="40" t="s">
        <v>142</v>
      </c>
      <c r="C35" s="40" t="s">
        <v>79</v>
      </c>
      <c r="D35" s="41" t="n">
        <v>5500000</v>
      </c>
      <c r="E35" s="42" t="n">
        <v>13930</v>
      </c>
      <c r="F35" s="42" t="n">
        <v>3319</v>
      </c>
      <c r="G35" s="42"/>
      <c r="H35" s="43" t="s">
        <v>71</v>
      </c>
      <c r="I35" s="43" t="s">
        <v>80</v>
      </c>
      <c r="J35" s="43" t="s">
        <v>71</v>
      </c>
      <c r="K35" s="44" t="s">
        <v>143</v>
      </c>
      <c r="L35" s="45" t="n">
        <f aca="false">IF(AO35&gt;AN35,AM35,AL35)</f>
        <v>5572</v>
      </c>
      <c r="M35" s="40" t="str">
        <f aca="false">IF(AO35&gt;AN35,"Zoning estimate",IF(H35="Yes","Approved plans",IF(G35&gt;0,"Listing claim","110% old house")))</f>
        <v>Zoning estimate</v>
      </c>
      <c r="N35" s="45" t="n">
        <f aca="false">IF(AO35&gt;AN35,IF(AM35&gt;AL35,Assumptions!$B$22,Assumptions!$B$21),Assumptions!$B$21)</f>
        <v>3</v>
      </c>
      <c r="O35" s="46" t="n">
        <f aca="false">(INDEX(Assumptions!$B$36:$B$48,MATCH(AK35,Assumptions!$A$36:$A$48,0))+IF(I35="Yes",Assumptions!$B$23,0)+IF(J35="Yes",Assumptions!$B$24,0))*(1+IF(UPPER(Assumptions!$B$31)="WORST",Assumptions!$B$28,IF(UPPER(Assumptions!$B$31)="BEST",Assumptions!$B$30,Assumptions!$B$29)))</f>
        <v>2145</v>
      </c>
      <c r="P35" s="47" t="n">
        <f aca="false">L35*O35</f>
        <v>11951940</v>
      </c>
      <c r="Q35" s="47" t="n">
        <f aca="false">D35</f>
        <v>5500000</v>
      </c>
      <c r="R35" s="47" t="n">
        <f aca="false">L35*Assumptions!$B$4</f>
        <v>3900400</v>
      </c>
      <c r="S35" s="47" t="n">
        <f aca="false">IF(H35="Yes",Assumptions!$B$6*(D35),(L35)*Assumptions!$B$5)</f>
        <v>417900</v>
      </c>
      <c r="T35" s="47" t="n">
        <f aca="false">AP35*(Assumptions!$B$8*N35*Assumptions!$B$9+Assumptions!$B$10)</f>
        <v>1244469.525</v>
      </c>
      <c r="U35" s="47" t="n">
        <f aca="false">Q35*Assumptions!$B$11*N35</f>
        <v>198000</v>
      </c>
      <c r="V35" s="47" t="n">
        <f aca="false">P35*(Assumptions!$B$12+Assumptions!$B$13)</f>
        <v>485248.764</v>
      </c>
      <c r="W35" s="47" t="n">
        <f aca="false">P35*IF(P35&gt;=Assumptions!$B$16,Assumptions!$B$17,IF(P35&gt;=Assumptions!$B$14,Assumptions!$B$15,0))</f>
        <v>657356.7</v>
      </c>
      <c r="X35" s="48" t="n">
        <f aca="false">SUM(Q35:W35)</f>
        <v>12403374.989</v>
      </c>
      <c r="Y35" s="48" t="n">
        <f aca="false">P35-X35</f>
        <v>-451434.989</v>
      </c>
      <c r="Z35" s="49" t="n">
        <f aca="false">IF(X35=0,0,Y35/X35)</f>
        <v>-0.0363961413244667</v>
      </c>
      <c r="AA35" s="47" t="n">
        <f aca="false">MAX(0,(P35/(1+Assumptions!$B$27)-(L35*(Assumptions!$B$4+IF(H35="Yes",0,Assumptions!$B$5)))*(1+(Assumptions!$B$7*(Assumptions!$B$8*N35*Assumptions!$B$9+Assumptions!$B$10)))-P35*(Assumptions!$B$12+Assumptions!$B$13+IF(P35&gt;=Assumptions!$B$16,Assumptions!$B$17,IF(P35&gt;=Assumptions!$B$14,Assumptions!$B$15,0))))/((1+IF(H35="Yes",Assumptions!$B$6,0))*(1+(Assumptions!$B$7*(Assumptions!$B$8*N35*Assumptions!$B$9+Assumptions!$B$10)))+Assumptions!$B$11*N35))</f>
        <v>3771009.51653221</v>
      </c>
      <c r="AB35" s="50" t="n">
        <f aca="false">IF(AA35&lt;=0,"no price works",D35/AA35)</f>
        <v>1.4584953911911</v>
      </c>
      <c r="AC35" s="46" t="n">
        <f aca="false">(INDEX(Assumptions!$B$36:$B$48,MATCH(AK35,Assumptions!$A$36:$A$48,0))+IF(I35="Yes",Assumptions!$B$23,0)+IF(J35="Yes",Assumptions!$B$24,0))*(1+Assumptions!$B$28)</f>
        <v>1950</v>
      </c>
      <c r="AD35" s="47" t="n">
        <f aca="false">(L35)*AC35-(((D35)+(L35)*Assumptions!$B$4+IF(H35="Yes",Assumptions!$B$6*(D35),(L35)*Assumptions!$B$5))*(1+Assumptions!$B$7*(Assumptions!$B$8*(N35)*Assumptions!$B$9+Assumptions!$B$10))+(D35)*Assumptions!$B$11*(N35)+(L35)*AC35*(Assumptions!$B$12+Assumptions!$B$13+IF((L35)*AC35&gt;=Assumptions!$B$16,Assumptions!$B$17,IF((L35)*AC35&gt;=Assumptions!$B$14,Assumptions!$B$15,0))))</f>
        <v>-1271120.765</v>
      </c>
      <c r="AE35" s="46" t="n">
        <f aca="false">(INDEX(Assumptions!$B$36:$B$48,MATCH(AK35,Assumptions!$A$36:$A$48,0))+IF(I35="Yes",Assumptions!$B$23,0)+IF(J35="Yes",Assumptions!$B$24,0))*(1+Assumptions!$B$29)</f>
        <v>2145</v>
      </c>
      <c r="AF35" s="47" t="n">
        <f aca="false">(L35)*AE35-(((D35)+(L35)*Assumptions!$B$4+IF(H35="Yes",Assumptions!$B$6*(D35),(L35)*Assumptions!$B$5))*(1+Assumptions!$B$7*(Assumptions!$B$8*(N35)*Assumptions!$B$9+Assumptions!$B$10))+(D35)*Assumptions!$B$11*(N35)+(L35)*AE35*(Assumptions!$B$12+Assumptions!$B$13+IF((L35)*AE35&gt;=Assumptions!$B$16,Assumptions!$B$17,IF((L35)*AE35&gt;=Assumptions!$B$14,Assumptions!$B$15,0))))</f>
        <v>-451434.988999998</v>
      </c>
      <c r="AG35" s="46" t="n">
        <f aca="false">(INDEX(Assumptions!$B$36:$B$48,MATCH(AK35,Assumptions!$A$36:$A$48,0))+IF(I35="Yes",Assumptions!$B$23,0)+IF(J35="Yes",Assumptions!$B$24,0))*(1+Assumptions!$B$30)</f>
        <v>2340</v>
      </c>
      <c r="AH35" s="47" t="n">
        <f aca="false">(L35)*AG35-(((D35)+(L35)*Assumptions!$B$4+IF(H35="Yes",Assumptions!$B$6*(D35),(L35)*Assumptions!$B$5))*(1+Assumptions!$B$7*(Assumptions!$B$8*(N35)*Assumptions!$B$9+Assumptions!$B$10))+(D35)*Assumptions!$B$11*(N35)+(L35)*AG35*(Assumptions!$B$12+Assumptions!$B$13+IF((L35)*AG35&gt;=Assumptions!$B$16,Assumptions!$B$17,IF((L35)*AG35&gt;=Assumptions!$B$14,Assumptions!$B$15,0))))</f>
        <v>531231.787000001</v>
      </c>
      <c r="AI35" s="47" t="n">
        <f aca="false">(L35)*AE35-(((D35)+(L35)*Assumptions!$B$25+IF(H35="Yes",Assumptions!$B$6*(D35),(L35)*Assumptions!$B$5))*(1+Assumptions!$B$7*(Assumptions!$B$8*(N35)*Assumptions!$B$9+Assumptions!$B$10))+(D35)*Assumptions!$B$11*(N35)+(L35)*AE35*(Assumptions!$B$12+Assumptions!$B$13+IF((L35)*AE35&gt;=Assumptions!$B$16,Assumptions!$B$17,IF((L35)*AE35&gt;=Assumptions!$B$14,Assumptions!$B$15,0))))</f>
        <v>-137522.438999999</v>
      </c>
      <c r="AJ35" s="47" t="n">
        <f aca="false">(L35)*AE35-(((D35)+(L35)*Assumptions!$B$26+IF(H35="Yes",Assumptions!$B$6*(D35),(L35)*Assumptions!$B$5))*(1+Assumptions!$B$7*(Assumptions!$B$8*(N35)*Assumptions!$B$9+Assumptions!$B$10))+(D35)*Assumptions!$B$11*(N35)+(L35)*AE35*(Assumptions!$B$12+Assumptions!$B$13+IF((L35)*AE35&gt;=Assumptions!$B$16,Assumptions!$B$17,IF((L35)*AE35&gt;=Assumptions!$B$14,Assumptions!$B$15,0))))</f>
        <v>176390.111000001</v>
      </c>
      <c r="AK35" s="40" t="s">
        <v>82</v>
      </c>
      <c r="AL35" s="45" t="n">
        <f aca="false">IF(G35&gt;0,G35,ROUND(F35*Assumptions!$B$18,0))</f>
        <v>3651</v>
      </c>
      <c r="AM35" s="45" t="n">
        <f aca="false">IF(H35="Yes",AL35,MAX(AL35,MIN(Assumptions!$B$20,ROUND(E35*Assumptions!$B$19,0))))</f>
        <v>5572</v>
      </c>
      <c r="AN35" s="47" t="n">
        <f aca="false">(AL35)*AE35-(((D35)+(AL35)*Assumptions!$B$4+IF(H35="Yes",Assumptions!$B$6*(D35),(AL35)*Assumptions!$B$5))*(1+Assumptions!$B$7*(Assumptions!$B$8*(Assumptions!$B$21)*Assumptions!$B$9+Assumptions!$B$10))+(D35)*Assumptions!$B$11*(Assumptions!$B$21)+(AL35)*AE35*(Assumptions!$B$12+Assumptions!$B$13+IF((AL35)*AE35&gt;=Assumptions!$B$16,Assumptions!$B$17,IF((AL35)*AE35&gt;=Assumptions!$B$14,Assumptions!$B$15,0))))</f>
        <v>-1992256.25575</v>
      </c>
      <c r="AO35" s="47" t="n">
        <f aca="false">(AM35)*AE35-(((D35)+(AM35)*Assumptions!$B$4+IF(H35="Yes",Assumptions!$B$6*(D35),(AM35)*Assumptions!$B$5))*(1+Assumptions!$B$7*(Assumptions!$B$8*(IF(AM35&gt;AL35,Assumptions!$B$22,Assumptions!$B$21))*Assumptions!$B$9+Assumptions!$B$10))+(D35)*Assumptions!$B$11*(IF(AM35&gt;AL35,Assumptions!$B$22,Assumptions!$B$21))+(AM35)*AE35*(Assumptions!$B$12+Assumptions!$B$13+IF((AM35)*AE35&gt;=Assumptions!$B$16,Assumptions!$B$17,IF((AM35)*AE35&gt;=Assumptions!$B$14,Assumptions!$B$15,0))))</f>
        <v>-451434.988999998</v>
      </c>
      <c r="AP35" s="47" t="n">
        <f aca="false">Assumptions!$B$7*(Q35+R35+S35)</f>
        <v>6381895</v>
      </c>
    </row>
    <row r="36" customFormat="false" ht="23.85" hidden="false" customHeight="false" outlineLevel="0" collapsed="false">
      <c r="A36" s="40" t="n">
        <v>34</v>
      </c>
      <c r="B36" s="40" t="s">
        <v>144</v>
      </c>
      <c r="C36" s="40" t="s">
        <v>102</v>
      </c>
      <c r="D36" s="41" t="n">
        <v>1795000</v>
      </c>
      <c r="E36" s="42" t="n">
        <v>15894</v>
      </c>
      <c r="F36" s="42" t="n">
        <v>2918</v>
      </c>
      <c r="G36" s="42"/>
      <c r="H36" s="43" t="s">
        <v>71</v>
      </c>
      <c r="I36" s="43" t="s">
        <v>80</v>
      </c>
      <c r="J36" s="43" t="s">
        <v>71</v>
      </c>
      <c r="K36" s="44" t="s">
        <v>145</v>
      </c>
      <c r="L36" s="45" t="n">
        <f aca="false">IF(AO36&gt;AN36,AM36,AL36)</f>
        <v>6358</v>
      </c>
      <c r="M36" s="40" t="str">
        <f aca="false">IF(AO36&gt;AN36,"Zoning estimate",IF(H36="Yes","Approved plans",IF(G36&gt;0,"Listing claim","110% old house")))</f>
        <v>Zoning estimate</v>
      </c>
      <c r="N36" s="45" t="n">
        <f aca="false">IF(AO36&gt;AN36,IF(AM36&gt;AL36,Assumptions!$B$22,Assumptions!$B$21),Assumptions!$B$21)</f>
        <v>3</v>
      </c>
      <c r="O36" s="46" t="n">
        <f aca="false">(INDEX(Assumptions!$B$36:$B$48,MATCH(AK36,Assumptions!$A$36:$A$48,0))+IF(I36="Yes",Assumptions!$B$23,0)+IF(J36="Yes",Assumptions!$B$24,0))*(1+IF(UPPER(Assumptions!$B$31)="WORST",Assumptions!$B$28,IF(UPPER(Assumptions!$B$31)="BEST",Assumptions!$B$30,Assumptions!$B$29)))</f>
        <v>1485</v>
      </c>
      <c r="P36" s="47" t="n">
        <f aca="false">L36*O36</f>
        <v>9441630</v>
      </c>
      <c r="Q36" s="47" t="n">
        <f aca="false">D36</f>
        <v>1795000</v>
      </c>
      <c r="R36" s="47" t="n">
        <f aca="false">L36*Assumptions!$B$4</f>
        <v>4450600</v>
      </c>
      <c r="S36" s="47" t="n">
        <f aca="false">IF(H36="Yes",Assumptions!$B$6*(D36),(L36)*Assumptions!$B$5)</f>
        <v>476850</v>
      </c>
      <c r="T36" s="47" t="n">
        <f aca="false">AP36*(Assumptions!$B$8*N36*Assumptions!$B$9+Assumptions!$B$10)</f>
        <v>852070.5375</v>
      </c>
      <c r="U36" s="47" t="n">
        <f aca="false">Q36*Assumptions!$B$11*N36</f>
        <v>64620</v>
      </c>
      <c r="V36" s="47" t="n">
        <f aca="false">P36*(Assumptions!$B$12+Assumptions!$B$13)</f>
        <v>383330.178</v>
      </c>
      <c r="W36" s="47" t="n">
        <f aca="false">P36*IF(P36&gt;=Assumptions!$B$16,Assumptions!$B$17,IF(P36&gt;=Assumptions!$B$14,Assumptions!$B$15,0))</f>
        <v>377665.2</v>
      </c>
      <c r="X36" s="48" t="n">
        <f aca="false">SUM(Q36:W36)</f>
        <v>8400135.9155</v>
      </c>
      <c r="Y36" s="48" t="n">
        <f aca="false">P36-X36</f>
        <v>1041494.0845</v>
      </c>
      <c r="Z36" s="49" t="n">
        <f aca="false">IF(X36=0,0,Y36/X36)</f>
        <v>0.123985384876717</v>
      </c>
      <c r="AA36" s="47" t="n">
        <f aca="false">MAX(0,(P36/(1+Assumptions!$B$27)-(L36*(Assumptions!$B$4+IF(H36="Yes",0,Assumptions!$B$5)))*(1+(Assumptions!$B$7*(Assumptions!$B$8*N36*Assumptions!$B$9+Assumptions!$B$10)))-P36*(Assumptions!$B$12+Assumptions!$B$13+IF(P36&gt;=Assumptions!$B$16,Assumptions!$B$17,IF(P36&gt;=Assumptions!$B$14,Assumptions!$B$15,0))))/((1+IF(H36="Yes",Assumptions!$B$6,0))*(1+(Assumptions!$B$7*(Assumptions!$B$8*N36*Assumptions!$B$9+Assumptions!$B$10)))+Assumptions!$B$11*N36))</f>
        <v>1631574.61017266</v>
      </c>
      <c r="AB36" s="50" t="n">
        <f aca="false">IF(AA36&lt;=0,"no price works",D36/AA36)</f>
        <v>1.10016421486851</v>
      </c>
      <c r="AC36" s="46" t="n">
        <f aca="false">(INDEX(Assumptions!$B$36:$B$48,MATCH(AK36,Assumptions!$A$36:$A$48,0))+IF(I36="Yes",Assumptions!$B$23,0)+IF(J36="Yes",Assumptions!$B$24,0))*(1+Assumptions!$B$28)</f>
        <v>1350</v>
      </c>
      <c r="AD36" s="47" t="n">
        <f aca="false">(L36)*AC36-(((D36)+(L36)*Assumptions!$B$4+IF(H36="Yes",Assumptions!$B$6*(D36),(L36)*Assumptions!$B$5))*(1+Assumptions!$B$7*(Assumptions!$B$8*(N36)*Assumptions!$B$9+Assumptions!$B$10))+(D36)*Assumptions!$B$11*(N36)+(L36)*AC36*(Assumptions!$B$12+Assumptions!$B$13+IF((L36)*AC36&gt;=Assumptions!$B$16,Assumptions!$B$17,IF((L36)*AC36&gt;=Assumptions!$B$14,Assumptions!$B$15,0))))</f>
        <v>252345.4825</v>
      </c>
      <c r="AE36" s="46" t="n">
        <f aca="false">(INDEX(Assumptions!$B$36:$B$48,MATCH(AK36,Assumptions!$A$36:$A$48,0))+IF(I36="Yes",Assumptions!$B$23,0)+IF(J36="Yes",Assumptions!$B$24,0))*(1+Assumptions!$B$29)</f>
        <v>1485</v>
      </c>
      <c r="AF36" s="47" t="n">
        <f aca="false">(L36)*AE36-(((D36)+(L36)*Assumptions!$B$4+IF(H36="Yes",Assumptions!$B$6*(D36),(L36)*Assumptions!$B$5))*(1+Assumptions!$B$7*(Assumptions!$B$8*(N36)*Assumptions!$B$9+Assumptions!$B$10))+(D36)*Assumptions!$B$11*(N36)+(L36)*AE36*(Assumptions!$B$12+Assumptions!$B$13+IF((L36)*AE36&gt;=Assumptions!$B$16,Assumptions!$B$17,IF((L36)*AE36&gt;=Assumptions!$B$14,Assumptions!$B$15,0))))</f>
        <v>1041494.0845</v>
      </c>
      <c r="AG36" s="46" t="n">
        <f aca="false">(INDEX(Assumptions!$B$36:$B$48,MATCH(AK36,Assumptions!$A$36:$A$48,0))+IF(I36="Yes",Assumptions!$B$23,0)+IF(J36="Yes",Assumptions!$B$24,0))*(1+Assumptions!$B$30)</f>
        <v>1620</v>
      </c>
      <c r="AH36" s="47" t="n">
        <f aca="false">(L36)*AG36-(((D36)+(L36)*Assumptions!$B$4+IF(H36="Yes",Assumptions!$B$6*(D36),(L36)*Assumptions!$B$5))*(1+Assumptions!$B$7*(Assumptions!$B$8*(N36)*Assumptions!$B$9+Assumptions!$B$10))+(D36)*Assumptions!$B$11*(N36)+(L36)*AG36*(Assumptions!$B$12+Assumptions!$B$13+IF((L36)*AG36&gt;=Assumptions!$B$16,Assumptions!$B$17,IF((L36)*AG36&gt;=Assumptions!$B$14,Assumptions!$B$15,0))))</f>
        <v>1830642.6865</v>
      </c>
      <c r="AI36" s="47" t="n">
        <f aca="false">(L36)*AE36-(((D36)+(L36)*Assumptions!$B$25+IF(H36="Yes",Assumptions!$B$6*(D36),(L36)*Assumptions!$B$5))*(1+Assumptions!$B$7*(Assumptions!$B$8*(N36)*Assumptions!$B$9+Assumptions!$B$10))+(D36)*Assumptions!$B$11*(N36)+(L36)*AE36*(Assumptions!$B$12+Assumptions!$B$13+IF((L36)*AE36&gt;=Assumptions!$B$16,Assumptions!$B$17,IF((L36)*AE36&gt;=Assumptions!$B$14,Assumptions!$B$15,0))))</f>
        <v>1399687.9095</v>
      </c>
      <c r="AJ36" s="47" t="n">
        <f aca="false">(L36)*AE36-(((D36)+(L36)*Assumptions!$B$26+IF(H36="Yes",Assumptions!$B$6*(D36),(L36)*Assumptions!$B$5))*(1+Assumptions!$B$7*(Assumptions!$B$8*(N36)*Assumptions!$B$9+Assumptions!$B$10))+(D36)*Assumptions!$B$11*(N36)+(L36)*AE36*(Assumptions!$B$12+Assumptions!$B$13+IF((L36)*AE36&gt;=Assumptions!$B$16,Assumptions!$B$17,IF((L36)*AE36&gt;=Assumptions!$B$14,Assumptions!$B$15,0))))</f>
        <v>1757881.7345</v>
      </c>
      <c r="AK36" s="40" t="s">
        <v>104</v>
      </c>
      <c r="AL36" s="45" t="n">
        <f aca="false">IF(G36&gt;0,G36,ROUND(F36*Assumptions!$B$18,0))</f>
        <v>3210</v>
      </c>
      <c r="AM36" s="45" t="n">
        <f aca="false">IF(H36="Yes",AL36,MAX(AL36,MIN(Assumptions!$B$20,ROUND(E36*Assumptions!$B$19,0))))</f>
        <v>6358</v>
      </c>
      <c r="AN36" s="47" t="n">
        <f aca="false">(AL36)*AE36-(((D36)+(AL36)*Assumptions!$B$4+IF(H36="Yes",Assumptions!$B$6*(D36),(AL36)*Assumptions!$B$5))*(1+Assumptions!$B$7*(Assumptions!$B$8*(Assumptions!$B$21)*Assumptions!$B$9+Assumptions!$B$10))+(D36)*Assumptions!$B$11*(Assumptions!$B$21)+(AL36)*AE36*(Assumptions!$B$12+Assumptions!$B$13+IF((AL36)*AE36&gt;=Assumptions!$B$16,Assumptions!$B$17,IF((AL36)*AE36&gt;=Assumptions!$B$14,Assumptions!$B$15,0))))</f>
        <v>-128325.422499999</v>
      </c>
      <c r="AO36" s="47" t="n">
        <f aca="false">(AM36)*AE36-(((D36)+(AM36)*Assumptions!$B$4+IF(H36="Yes",Assumptions!$B$6*(D36),(AM36)*Assumptions!$B$5))*(1+Assumptions!$B$7*(Assumptions!$B$8*(IF(AM36&gt;AL36,Assumptions!$B$22,Assumptions!$B$21))*Assumptions!$B$9+Assumptions!$B$10))+(D36)*Assumptions!$B$11*(IF(AM36&gt;AL36,Assumptions!$B$22,Assumptions!$B$21))+(AM36)*AE36*(Assumptions!$B$12+Assumptions!$B$13+IF((AM36)*AE36&gt;=Assumptions!$B$16,Assumptions!$B$17,IF((AM36)*AE36&gt;=Assumptions!$B$14,Assumptions!$B$15,0))))</f>
        <v>1041494.0845</v>
      </c>
      <c r="AP36" s="47" t="n">
        <f aca="false">Assumptions!$B$7*(Q36+R36+S36)</f>
        <v>4369592.5</v>
      </c>
    </row>
    <row r="37" customFormat="false" ht="15" hidden="false" customHeight="false" outlineLevel="0" collapsed="false">
      <c r="A37" s="40" t="n">
        <v>35</v>
      </c>
      <c r="B37" s="40" t="s">
        <v>146</v>
      </c>
      <c r="C37" s="40" t="s">
        <v>109</v>
      </c>
      <c r="D37" s="41" t="n">
        <v>1550000</v>
      </c>
      <c r="E37" s="42" t="n">
        <v>10733</v>
      </c>
      <c r="F37" s="42" t="n">
        <v>1842</v>
      </c>
      <c r="G37" s="42" t="n">
        <v>2935</v>
      </c>
      <c r="H37" s="43" t="s">
        <v>80</v>
      </c>
      <c r="I37" s="43" t="s">
        <v>80</v>
      </c>
      <c r="J37" s="43" t="s">
        <v>71</v>
      </c>
      <c r="K37" s="44" t="s">
        <v>147</v>
      </c>
      <c r="L37" s="45" t="n">
        <f aca="false">IF(AO37&gt;AN37,AM37,AL37)</f>
        <v>2935</v>
      </c>
      <c r="M37" s="40" t="str">
        <f aca="false">IF(AO37&gt;AN37,"Zoning estimate",IF(H37="Yes","Approved plans",IF(G37&gt;0,"Listing claim","110% old house")))</f>
        <v>Approved plans</v>
      </c>
      <c r="N37" s="45" t="n">
        <f aca="false">IF(AO37&gt;AN37,IF(AM37&gt;AL37,Assumptions!$B$22,Assumptions!$B$21),Assumptions!$B$21)</f>
        <v>2</v>
      </c>
      <c r="O37" s="46" t="n">
        <f aca="false">(INDEX(Assumptions!$B$36:$B$48,MATCH(AK37,Assumptions!$A$36:$A$48,0))+IF(I37="Yes",Assumptions!$B$23,0)+IF(J37="Yes",Assumptions!$B$24,0))*(1+IF(UPPER(Assumptions!$B$31)="WORST",Assumptions!$B$28,IF(UPPER(Assumptions!$B$31)="BEST",Assumptions!$B$30,Assumptions!$B$29)))</f>
        <v>1485</v>
      </c>
      <c r="P37" s="47" t="n">
        <f aca="false">L37*O37</f>
        <v>4358475</v>
      </c>
      <c r="Q37" s="47" t="n">
        <f aca="false">D37</f>
        <v>1550000</v>
      </c>
      <c r="R37" s="47" t="n">
        <f aca="false">L37*Assumptions!$B$4</f>
        <v>2054500</v>
      </c>
      <c r="S37" s="47" t="n">
        <f aca="false">IF(H37="Yes",Assumptions!$B$6*(D37),(L37)*Assumptions!$B$5)</f>
        <v>77500</v>
      </c>
      <c r="T37" s="47" t="n">
        <f aca="false">AP37*(Assumptions!$B$8*N37*Assumptions!$B$9+Assumptions!$B$10)</f>
        <v>323095.5</v>
      </c>
      <c r="U37" s="47" t="n">
        <f aca="false">Q37*Assumptions!$B$11*N37</f>
        <v>37200</v>
      </c>
      <c r="V37" s="47" t="n">
        <f aca="false">P37*(Assumptions!$B$12+Assumptions!$B$13)</f>
        <v>176954.085</v>
      </c>
      <c r="W37" s="47" t="n">
        <f aca="false">P37*IF(P37&gt;=Assumptions!$B$16,Assumptions!$B$17,IF(P37&gt;=Assumptions!$B$14,Assumptions!$B$15,0))</f>
        <v>0</v>
      </c>
      <c r="X37" s="48" t="n">
        <f aca="false">SUM(Q37:W37)</f>
        <v>4219249.585</v>
      </c>
      <c r="Y37" s="48" t="n">
        <f aca="false">P37-X37</f>
        <v>139225.415000001</v>
      </c>
      <c r="Z37" s="49" t="n">
        <f aca="false">IF(X37=0,0,Y37/X37)</f>
        <v>0.0329976722626142</v>
      </c>
      <c r="AA37" s="47" t="n">
        <f aca="false">MAX(0,(P37/(1+Assumptions!$B$27)-(L37*(Assumptions!$B$4+IF(H37="Yes",0,Assumptions!$B$5)))*(1+(Assumptions!$B$7*(Assumptions!$B$8*N37*Assumptions!$B$9+Assumptions!$B$10)))-P37*(Assumptions!$B$12+Assumptions!$B$13+IF(P37&gt;=Assumptions!$B$16,Assumptions!$B$17,IF(P37&gt;=Assumptions!$B$14,Assumptions!$B$15,0))))/((1+IF(H37="Yes",Assumptions!$B$6,0))*(1+(Assumptions!$B$7*(Assumptions!$B$8*N37*Assumptions!$B$9+Assumptions!$B$10)))+Assumptions!$B$11*N37))</f>
        <v>1181886.18483632</v>
      </c>
      <c r="AB37" s="50" t="n">
        <f aca="false">IF(AA37&lt;=0,"no price works",D37/AA37)</f>
        <v>1.31146299862593</v>
      </c>
      <c r="AC37" s="46" t="n">
        <f aca="false">(INDEX(Assumptions!$B$36:$B$48,MATCH(AK37,Assumptions!$A$36:$A$48,0))+IF(I37="Yes",Assumptions!$B$23,0)+IF(J37="Yes",Assumptions!$B$24,0))*(1+Assumptions!$B$28)</f>
        <v>1350</v>
      </c>
      <c r="AD37" s="47" t="n">
        <f aca="false">(L37)*AC37-(((D37)+(L37)*Assumptions!$B$4+IF(H37="Yes",Assumptions!$B$6*(D37),(L37)*Assumptions!$B$5))*(1+Assumptions!$B$7*(Assumptions!$B$8*(N37)*Assumptions!$B$9+Assumptions!$B$10))+(D37)*Assumptions!$B$11*(N37)+(L37)*AC37*(Assumptions!$B$12+Assumptions!$B$13+IF((L37)*AC37&gt;=Assumptions!$B$16,Assumptions!$B$17,IF((L37)*AC37&gt;=Assumptions!$B$14,Assumptions!$B$15,0))))</f>
        <v>-240912.85</v>
      </c>
      <c r="AE37" s="46" t="n">
        <f aca="false">(INDEX(Assumptions!$B$36:$B$48,MATCH(AK37,Assumptions!$A$36:$A$48,0))+IF(I37="Yes",Assumptions!$B$23,0)+IF(J37="Yes",Assumptions!$B$24,0))*(1+Assumptions!$B$29)</f>
        <v>1485</v>
      </c>
      <c r="AF37" s="47" t="n">
        <f aca="false">(L37)*AE37-(((D37)+(L37)*Assumptions!$B$4+IF(H37="Yes",Assumptions!$B$6*(D37),(L37)*Assumptions!$B$5))*(1+Assumptions!$B$7*(Assumptions!$B$8*(N37)*Assumptions!$B$9+Assumptions!$B$10))+(D37)*Assumptions!$B$11*(N37)+(L37)*AE37*(Assumptions!$B$12+Assumptions!$B$13+IF((L37)*AE37&gt;=Assumptions!$B$16,Assumptions!$B$17,IF((L37)*AE37&gt;=Assumptions!$B$14,Assumptions!$B$15,0))))</f>
        <v>139225.415000001</v>
      </c>
      <c r="AG37" s="46" t="n">
        <f aca="false">(INDEX(Assumptions!$B$36:$B$48,MATCH(AK37,Assumptions!$A$36:$A$48,0))+IF(I37="Yes",Assumptions!$B$23,0)+IF(J37="Yes",Assumptions!$B$24,0))*(1+Assumptions!$B$30)</f>
        <v>1620</v>
      </c>
      <c r="AH37" s="47" t="n">
        <f aca="false">(L37)*AG37-(((D37)+(L37)*Assumptions!$B$4+IF(H37="Yes",Assumptions!$B$6*(D37),(L37)*Assumptions!$B$5))*(1+Assumptions!$B$7*(Assumptions!$B$8*(N37)*Assumptions!$B$9+Assumptions!$B$10))+(D37)*Assumptions!$B$11*(N37)+(L37)*AG37*(Assumptions!$B$12+Assumptions!$B$13+IF((L37)*AG37&gt;=Assumptions!$B$16,Assumptions!$B$17,IF((L37)*AG37&gt;=Assumptions!$B$14,Assumptions!$B$15,0))))</f>
        <v>519363.68</v>
      </c>
      <c r="AI37" s="47" t="n">
        <f aca="false">(L37)*AE37-(((D37)+(L37)*Assumptions!$B$25+IF(H37="Yes",Assumptions!$B$6*(D37),(L37)*Assumptions!$B$5))*(1+Assumptions!$B$7*(Assumptions!$B$8*(N37)*Assumptions!$B$9+Assumptions!$B$10))+(D37)*Assumptions!$B$11*(N37)+(L37)*AE37*(Assumptions!$B$12+Assumptions!$B$13+IF((L37)*AE37&gt;=Assumptions!$B$16,Assumptions!$B$17,IF((L37)*AE37&gt;=Assumptions!$B$14,Assumptions!$B$15,0))))</f>
        <v>298852.727500001</v>
      </c>
      <c r="AJ37" s="47" t="n">
        <f aca="false">(L37)*AE37-(((D37)+(L37)*Assumptions!$B$26+IF(H37="Yes",Assumptions!$B$6*(D37),(L37)*Assumptions!$B$5))*(1+Assumptions!$B$7*(Assumptions!$B$8*(N37)*Assumptions!$B$9+Assumptions!$B$10))+(D37)*Assumptions!$B$11*(N37)+(L37)*AE37*(Assumptions!$B$12+Assumptions!$B$13+IF((L37)*AE37&gt;=Assumptions!$B$16,Assumptions!$B$17,IF((L37)*AE37&gt;=Assumptions!$B$14,Assumptions!$B$15,0))))</f>
        <v>458480.040000001</v>
      </c>
      <c r="AK37" s="40" t="s">
        <v>111</v>
      </c>
      <c r="AL37" s="45" t="n">
        <f aca="false">IF(G37&gt;0,G37,ROUND(F37*Assumptions!$B$18,0))</f>
        <v>2935</v>
      </c>
      <c r="AM37" s="45" t="n">
        <f aca="false">IF(H37="Yes",AL37,MAX(AL37,MIN(Assumptions!$B$20,ROUND(E37*Assumptions!$B$19,0))))</f>
        <v>2935</v>
      </c>
      <c r="AN37" s="47" t="n">
        <f aca="false">(AL37)*AE37-(((D37)+(AL37)*Assumptions!$B$4+IF(H37="Yes",Assumptions!$B$6*(D37),(AL37)*Assumptions!$B$5))*(1+Assumptions!$B$7*(Assumptions!$B$8*(Assumptions!$B$21)*Assumptions!$B$9+Assumptions!$B$10))+(D37)*Assumptions!$B$11*(Assumptions!$B$21)+(AL37)*AE37*(Assumptions!$B$12+Assumptions!$B$13+IF((AL37)*AE37&gt;=Assumptions!$B$16,Assumptions!$B$17,IF((AL37)*AE37&gt;=Assumptions!$B$14,Assumptions!$B$15,0))))</f>
        <v>139225.415000001</v>
      </c>
      <c r="AO37" s="47" t="n">
        <f aca="false">(AM37)*AE37-(((D37)+(AM37)*Assumptions!$B$4+IF(H37="Yes",Assumptions!$B$6*(D37),(AM37)*Assumptions!$B$5))*(1+Assumptions!$B$7*(Assumptions!$B$8*(IF(AM37&gt;AL37,Assumptions!$B$22,Assumptions!$B$21))*Assumptions!$B$9+Assumptions!$B$10))+(D37)*Assumptions!$B$11*(IF(AM37&gt;AL37,Assumptions!$B$22,Assumptions!$B$21))+(AM37)*AE37*(Assumptions!$B$12+Assumptions!$B$13+IF((AM37)*AE37&gt;=Assumptions!$B$16,Assumptions!$B$17,IF((AM37)*AE37&gt;=Assumptions!$B$14,Assumptions!$B$15,0))))</f>
        <v>139225.415000001</v>
      </c>
      <c r="AP37" s="47" t="n">
        <f aca="false">Assumptions!$B$7*(Q37+R37+S37)</f>
        <v>2393300</v>
      </c>
    </row>
    <row r="38" customFormat="false" ht="23.85" hidden="false" customHeight="false" outlineLevel="0" collapsed="false">
      <c r="A38" s="40" t="n">
        <v>36</v>
      </c>
      <c r="B38" s="40" t="s">
        <v>148</v>
      </c>
      <c r="C38" s="40" t="s">
        <v>126</v>
      </c>
      <c r="D38" s="41" t="n">
        <v>3195000</v>
      </c>
      <c r="E38" s="42" t="n">
        <v>7695</v>
      </c>
      <c r="F38" s="42" t="n">
        <v>3897</v>
      </c>
      <c r="G38" s="42" t="n">
        <v>6226</v>
      </c>
      <c r="H38" s="43" t="s">
        <v>80</v>
      </c>
      <c r="I38" s="43" t="s">
        <v>80</v>
      </c>
      <c r="J38" s="43" t="s">
        <v>71</v>
      </c>
      <c r="K38" s="44" t="s">
        <v>149</v>
      </c>
      <c r="L38" s="45" t="n">
        <f aca="false">IF(AO38&gt;AN38,AM38,AL38)</f>
        <v>6226</v>
      </c>
      <c r="M38" s="40" t="str">
        <f aca="false">IF(AO38&gt;AN38,"Zoning estimate",IF(H38="Yes","Approved plans",IF(G38&gt;0,"Listing claim","110% old house")))</f>
        <v>Approved plans</v>
      </c>
      <c r="N38" s="45" t="n">
        <f aca="false">IF(AO38&gt;AN38,IF(AM38&gt;AL38,Assumptions!$B$22,Assumptions!$B$21),Assumptions!$B$21)</f>
        <v>2</v>
      </c>
      <c r="O38" s="46" t="n">
        <f aca="false">(INDEX(Assumptions!$B$36:$B$48,MATCH(AK38,Assumptions!$A$36:$A$48,0))+IF(I38="Yes",Assumptions!$B$23,0)+IF(J38="Yes",Assumptions!$B$24,0))*(1+IF(UPPER(Assumptions!$B$31)="WORST",Assumptions!$B$28,IF(UPPER(Assumptions!$B$31)="BEST",Assumptions!$B$30,Assumptions!$B$29)))</f>
        <v>1540</v>
      </c>
      <c r="P38" s="47" t="n">
        <f aca="false">L38*O38</f>
        <v>9588040</v>
      </c>
      <c r="Q38" s="47" t="n">
        <f aca="false">D38</f>
        <v>3195000</v>
      </c>
      <c r="R38" s="47" t="n">
        <f aca="false">L38*Assumptions!$B$4</f>
        <v>4358200</v>
      </c>
      <c r="S38" s="47" t="n">
        <f aca="false">IF(H38="Yes",Assumptions!$B$6*(D38),(L38)*Assumptions!$B$5)</f>
        <v>159750</v>
      </c>
      <c r="T38" s="47" t="n">
        <f aca="false">AP38*(Assumptions!$B$8*N38*Assumptions!$B$9+Assumptions!$B$10)</f>
        <v>676811.3625</v>
      </c>
      <c r="U38" s="47" t="n">
        <f aca="false">Q38*Assumptions!$B$11*N38</f>
        <v>76680</v>
      </c>
      <c r="V38" s="47" t="n">
        <f aca="false">P38*(Assumptions!$B$12+Assumptions!$B$13)</f>
        <v>389274.424</v>
      </c>
      <c r="W38" s="47" t="n">
        <f aca="false">P38*IF(P38&gt;=Assumptions!$B$16,Assumptions!$B$17,IF(P38&gt;=Assumptions!$B$14,Assumptions!$B$15,0))</f>
        <v>383521.6</v>
      </c>
      <c r="X38" s="48" t="n">
        <f aca="false">SUM(Q38:W38)</f>
        <v>9239237.3865</v>
      </c>
      <c r="Y38" s="48" t="n">
        <f aca="false">P38-X38</f>
        <v>348802.613500003</v>
      </c>
      <c r="Z38" s="49" t="n">
        <f aca="false">IF(X38=0,0,Y38/X38)</f>
        <v>0.0377523164422271</v>
      </c>
      <c r="AA38" s="47" t="n">
        <f aca="false">MAX(0,(P38/(1+Assumptions!$B$27)-(L38*(Assumptions!$B$4+IF(H38="Yes",0,Assumptions!$B$5)))*(1+(Assumptions!$B$7*(Assumptions!$B$8*N38*Assumptions!$B$9+Assumptions!$B$10)))-P38*(Assumptions!$B$12+Assumptions!$B$13+IF(P38&gt;=Assumptions!$B$16,Assumptions!$B$17,IF(P38&gt;=Assumptions!$B$14,Assumptions!$B$15,0))))/((1+IF(H38="Yes",Assumptions!$B$6,0))*(1+(Assumptions!$B$7*(Assumptions!$B$8*N38*Assumptions!$B$9+Assumptions!$B$10)))+Assumptions!$B$11*N38))</f>
        <v>2421668.12486223</v>
      </c>
      <c r="AB38" s="50" t="n">
        <f aca="false">IF(AA38&lt;=0,"no price works",D38/AA38)</f>
        <v>1.31933850357046</v>
      </c>
      <c r="AC38" s="46" t="n">
        <f aca="false">(INDEX(Assumptions!$B$36:$B$48,MATCH(AK38,Assumptions!$A$36:$A$48,0))+IF(I38="Yes",Assumptions!$B$23,0)+IF(J38="Yes",Assumptions!$B$24,0))*(1+Assumptions!$B$28)</f>
        <v>1400</v>
      </c>
      <c r="AD38" s="47" t="n">
        <f aca="false">(L38)*AC38-(((D38)+(L38)*Assumptions!$B$4+IF(H38="Yes",Assumptions!$B$6*(D38),(L38)*Assumptions!$B$5))*(1+Assumptions!$B$7*(Assumptions!$B$8*(N38)*Assumptions!$B$9+Assumptions!$B$10))+(D38)*Assumptions!$B$11*(N38)+(L38)*AC38*(Assumptions!$B$12+Assumptions!$B$13+IF((L38)*AC38&gt;=Assumptions!$B$16,Assumptions!$B$17,IF((L38)*AC38&gt;=Assumptions!$B$14,Assumptions!$B$15,0))))</f>
        <v>-452583.202500001</v>
      </c>
      <c r="AE38" s="46" t="n">
        <f aca="false">(INDEX(Assumptions!$B$36:$B$48,MATCH(AK38,Assumptions!$A$36:$A$48,0))+IF(I38="Yes",Assumptions!$B$23,0)+IF(J38="Yes",Assumptions!$B$24,0))*(1+Assumptions!$B$29)</f>
        <v>1540</v>
      </c>
      <c r="AF38" s="47" t="n">
        <f aca="false">(L38)*AE38-(((D38)+(L38)*Assumptions!$B$4+IF(H38="Yes",Assumptions!$B$6*(D38),(L38)*Assumptions!$B$5))*(1+Assumptions!$B$7*(Assumptions!$B$8*(N38)*Assumptions!$B$9+Assumptions!$B$10))+(D38)*Assumptions!$B$11*(N38)+(L38)*AE38*(Assumptions!$B$12+Assumptions!$B$13+IF((L38)*AE38&gt;=Assumptions!$B$16,Assumptions!$B$17,IF((L38)*AE38&gt;=Assumptions!$B$14,Assumptions!$B$15,0))))</f>
        <v>348802.613500001</v>
      </c>
      <c r="AG38" s="46" t="n">
        <f aca="false">(INDEX(Assumptions!$B$36:$B$48,MATCH(AK38,Assumptions!$A$36:$A$48,0))+IF(I38="Yes",Assumptions!$B$23,0)+IF(J38="Yes",Assumptions!$B$24,0))*(1+Assumptions!$B$30)</f>
        <v>1680</v>
      </c>
      <c r="AH38" s="47" t="n">
        <f aca="false">(L38)*AG38-(((D38)+(L38)*Assumptions!$B$4+IF(H38="Yes",Assumptions!$B$6*(D38),(L38)*Assumptions!$B$5))*(1+Assumptions!$B$7*(Assumptions!$B$8*(N38)*Assumptions!$B$9+Assumptions!$B$10))+(D38)*Assumptions!$B$11*(N38)+(L38)*AG38*(Assumptions!$B$12+Assumptions!$B$13+IF((L38)*AG38&gt;=Assumptions!$B$16,Assumptions!$B$17,IF((L38)*AG38&gt;=Assumptions!$B$14,Assumptions!$B$15,0))))</f>
        <v>1150188.4295</v>
      </c>
      <c r="AI38" s="47" t="n">
        <f aca="false">(L38)*AE38-(((D38)+(L38)*Assumptions!$B$25+IF(H38="Yes",Assumptions!$B$6*(D38),(L38)*Assumptions!$B$5))*(1+Assumptions!$B$7*(Assumptions!$B$8*(N38)*Assumptions!$B$9+Assumptions!$B$10))+(D38)*Assumptions!$B$11*(N38)+(L38)*AE38*(Assumptions!$B$12+Assumptions!$B$13+IF((L38)*AE38&gt;=Assumptions!$B$16,Assumptions!$B$17,IF((L38)*AE38&gt;=Assumptions!$B$14,Assumptions!$B$15,0))))</f>
        <v>687419.188500002</v>
      </c>
      <c r="AJ38" s="47" t="n">
        <f aca="false">(L38)*AE38-(((D38)+(L38)*Assumptions!$B$26+IF(H38="Yes",Assumptions!$B$6*(D38),(L38)*Assumptions!$B$5))*(1+Assumptions!$B$7*(Assumptions!$B$8*(N38)*Assumptions!$B$9+Assumptions!$B$10))+(D38)*Assumptions!$B$11*(N38)+(L38)*AE38*(Assumptions!$B$12+Assumptions!$B$13+IF((L38)*AE38&gt;=Assumptions!$B$16,Assumptions!$B$17,IF((L38)*AE38&gt;=Assumptions!$B$14,Assumptions!$B$15,0))))</f>
        <v>1026035.7635</v>
      </c>
      <c r="AK38" s="40" t="s">
        <v>128</v>
      </c>
      <c r="AL38" s="45" t="n">
        <f aca="false">IF(G38&gt;0,G38,ROUND(F38*Assumptions!$B$18,0))</f>
        <v>6226</v>
      </c>
      <c r="AM38" s="45" t="n">
        <f aca="false">IF(H38="Yes",AL38,MAX(AL38,MIN(Assumptions!$B$20,ROUND(E38*Assumptions!$B$19,0))))</f>
        <v>6226</v>
      </c>
      <c r="AN38" s="47" t="n">
        <f aca="false">(AL38)*AE38-(((D38)+(AL38)*Assumptions!$B$4+IF(H38="Yes",Assumptions!$B$6*(D38),(AL38)*Assumptions!$B$5))*(1+Assumptions!$B$7*(Assumptions!$B$8*(Assumptions!$B$21)*Assumptions!$B$9+Assumptions!$B$10))+(D38)*Assumptions!$B$11*(Assumptions!$B$21)+(AL38)*AE38*(Assumptions!$B$12+Assumptions!$B$13+IF((AL38)*AE38&gt;=Assumptions!$B$16,Assumptions!$B$17,IF((AL38)*AE38&gt;=Assumptions!$B$14,Assumptions!$B$15,0))))</f>
        <v>348802.613500001</v>
      </c>
      <c r="AO38" s="47" t="n">
        <f aca="false">(AM38)*AE38-(((D38)+(AM38)*Assumptions!$B$4+IF(H38="Yes",Assumptions!$B$6*(D38),(AM38)*Assumptions!$B$5))*(1+Assumptions!$B$7*(Assumptions!$B$8*(IF(AM38&gt;AL38,Assumptions!$B$22,Assumptions!$B$21))*Assumptions!$B$9+Assumptions!$B$10))+(D38)*Assumptions!$B$11*(IF(AM38&gt;AL38,Assumptions!$B$22,Assumptions!$B$21))+(AM38)*AE38*(Assumptions!$B$12+Assumptions!$B$13+IF((AM38)*AE38&gt;=Assumptions!$B$16,Assumptions!$B$17,IF((AM38)*AE38&gt;=Assumptions!$B$14,Assumptions!$B$15,0))))</f>
        <v>348802.613500001</v>
      </c>
      <c r="AP38" s="47" t="n">
        <f aca="false">Assumptions!$B$7*(Q38+R38+S38)</f>
        <v>5013417.5</v>
      </c>
    </row>
    <row r="39" customFormat="false" ht="15" hidden="false" customHeight="false" outlineLevel="0" collapsed="false">
      <c r="A39" s="40" t="n">
        <v>37</v>
      </c>
      <c r="B39" s="40" t="s">
        <v>150</v>
      </c>
      <c r="C39" s="40" t="s">
        <v>75</v>
      </c>
      <c r="D39" s="41" t="n">
        <v>2195000</v>
      </c>
      <c r="E39" s="42" t="n">
        <v>11523</v>
      </c>
      <c r="F39" s="42" t="n">
        <v>3619</v>
      </c>
      <c r="G39" s="42"/>
      <c r="H39" s="43" t="s">
        <v>71</v>
      </c>
      <c r="I39" s="43" t="s">
        <v>80</v>
      </c>
      <c r="J39" s="43" t="s">
        <v>71</v>
      </c>
      <c r="K39" s="44" t="s">
        <v>151</v>
      </c>
      <c r="L39" s="45" t="n">
        <f aca="false">IF(AO39&gt;AN39,AM39,AL39)</f>
        <v>4609</v>
      </c>
      <c r="M39" s="40" t="str">
        <f aca="false">IF(AO39&gt;AN39,"Zoning estimate",IF(H39="Yes","Approved plans",IF(G39&gt;0,"Listing claim","110% old house")))</f>
        <v>Zoning estimate</v>
      </c>
      <c r="N39" s="45" t="n">
        <f aca="false">IF(AO39&gt;AN39,IF(AM39&gt;AL39,Assumptions!$B$22,Assumptions!$B$21),Assumptions!$B$21)</f>
        <v>3</v>
      </c>
      <c r="O39" s="46" t="n">
        <f aca="false">(INDEX(Assumptions!$B$36:$B$48,MATCH(AK39,Assumptions!$A$36:$A$48,0))+IF(I39="Yes",Assumptions!$B$23,0)+IF(J39="Yes",Assumptions!$B$24,0))*(1+IF(UPPER(Assumptions!$B$31)="WORST",Assumptions!$B$28,IF(UPPER(Assumptions!$B$31)="BEST",Assumptions!$B$30,Assumptions!$B$29)))</f>
        <v>1650</v>
      </c>
      <c r="P39" s="47" t="n">
        <f aca="false">L39*O39</f>
        <v>7604850</v>
      </c>
      <c r="Q39" s="47" t="n">
        <f aca="false">D39</f>
        <v>2195000</v>
      </c>
      <c r="R39" s="47" t="n">
        <f aca="false">L39*Assumptions!$B$4</f>
        <v>3226300</v>
      </c>
      <c r="S39" s="47" t="n">
        <f aca="false">IF(H39="Yes",Assumptions!$B$6*(D39),(L39)*Assumptions!$B$5)</f>
        <v>345675</v>
      </c>
      <c r="T39" s="47" t="n">
        <f aca="false">AP39*(Assumptions!$B$8*N39*Assumptions!$B$9+Assumptions!$B$10)</f>
        <v>730964.08125</v>
      </c>
      <c r="U39" s="47" t="n">
        <f aca="false">Q39*Assumptions!$B$11*N39</f>
        <v>79020</v>
      </c>
      <c r="V39" s="47" t="n">
        <f aca="false">P39*(Assumptions!$B$12+Assumptions!$B$13)</f>
        <v>308756.91</v>
      </c>
      <c r="W39" s="47" t="n">
        <f aca="false">P39*IF(P39&gt;=Assumptions!$B$16,Assumptions!$B$17,IF(P39&gt;=Assumptions!$B$14,Assumptions!$B$15,0))</f>
        <v>304194</v>
      </c>
      <c r="X39" s="48" t="n">
        <f aca="false">SUM(Q39:W39)</f>
        <v>7189909.99125</v>
      </c>
      <c r="Y39" s="48" t="n">
        <f aca="false">P39-X39</f>
        <v>414940.008750001</v>
      </c>
      <c r="Z39" s="49" t="n">
        <f aca="false">IF(X39=0,0,Y39/X39)</f>
        <v>0.0577114330019397</v>
      </c>
      <c r="AA39" s="47" t="n">
        <f aca="false">MAX(0,(P39/(1+Assumptions!$B$27)-(L39*(Assumptions!$B$4+IF(H39="Yes",0,Assumptions!$B$5)))*(1+(Assumptions!$B$7*(Assumptions!$B$8*N39*Assumptions!$B$9+Assumptions!$B$10)))-P39*(Assumptions!$B$12+Assumptions!$B$13+IF(P39&gt;=Assumptions!$B$16,Assumptions!$B$17,IF(P39&gt;=Assumptions!$B$14,Assumptions!$B$15,0))))/((1+IF(H39="Yes",Assumptions!$B$6,0))*(1+(Assumptions!$B$7*(Assumptions!$B$8*N39*Assumptions!$B$9+Assumptions!$B$10)))+Assumptions!$B$11*N39))</f>
        <v>1698765.25670029</v>
      </c>
      <c r="AB39" s="50" t="n">
        <f aca="false">IF(AA39&lt;=0,"no price works",D39/AA39)</f>
        <v>1.29211495899298</v>
      </c>
      <c r="AC39" s="46" t="n">
        <f aca="false">(INDEX(Assumptions!$B$36:$B$48,MATCH(AK39,Assumptions!$A$36:$A$48,0))+IF(I39="Yes",Assumptions!$B$23,0)+IF(J39="Yes",Assumptions!$B$24,0))*(1+Assumptions!$B$28)</f>
        <v>1500</v>
      </c>
      <c r="AD39" s="47" t="n">
        <f aca="false">(L39)*AC39-(((D39)+(L39)*Assumptions!$B$4+IF(H39="Yes",Assumptions!$B$6*(D39),(L39)*Assumptions!$B$5))*(1+Assumptions!$B$7*(Assumptions!$B$8*(N39)*Assumptions!$B$9+Assumptions!$B$10))+(D39)*Assumptions!$B$11*(N39)+(L39)*AC39*(Assumptions!$B$12+Assumptions!$B$13+IF((L39)*AC39&gt;=Assumptions!$B$16,Assumptions!$B$17,IF((L39)*AC39&gt;=Assumptions!$B$14,Assumptions!$B$15,0))))</f>
        <v>-220687.181249999</v>
      </c>
      <c r="AE39" s="46" t="n">
        <f aca="false">(INDEX(Assumptions!$B$36:$B$48,MATCH(AK39,Assumptions!$A$36:$A$48,0))+IF(I39="Yes",Assumptions!$B$23,0)+IF(J39="Yes",Assumptions!$B$24,0))*(1+Assumptions!$B$29)</f>
        <v>1650</v>
      </c>
      <c r="AF39" s="47" t="n">
        <f aca="false">(L39)*AE39-(((D39)+(L39)*Assumptions!$B$4+IF(H39="Yes",Assumptions!$B$6*(D39),(L39)*Assumptions!$B$5))*(1+Assumptions!$B$7*(Assumptions!$B$8*(N39)*Assumptions!$B$9+Assumptions!$B$10))+(D39)*Assumptions!$B$11*(N39)+(L39)*AE39*(Assumptions!$B$12+Assumptions!$B$13+IF((L39)*AE39&gt;=Assumptions!$B$16,Assumptions!$B$17,IF((L39)*AE39&gt;=Assumptions!$B$14,Assumptions!$B$15,0))))</f>
        <v>414940.008750001</v>
      </c>
      <c r="AG39" s="46" t="n">
        <f aca="false">(INDEX(Assumptions!$B$36:$B$48,MATCH(AK39,Assumptions!$A$36:$A$48,0))+IF(I39="Yes",Assumptions!$B$23,0)+IF(J39="Yes",Assumptions!$B$24,0))*(1+Assumptions!$B$30)</f>
        <v>1800</v>
      </c>
      <c r="AH39" s="47" t="n">
        <f aca="false">(L39)*AG39-(((D39)+(L39)*Assumptions!$B$4+IF(H39="Yes",Assumptions!$B$6*(D39),(L39)*Assumptions!$B$5))*(1+Assumptions!$B$7*(Assumptions!$B$8*(N39)*Assumptions!$B$9+Assumptions!$B$10))+(D39)*Assumptions!$B$11*(N39)+(L39)*AG39*(Assumptions!$B$12+Assumptions!$B$13+IF((L39)*AG39&gt;=Assumptions!$B$16,Assumptions!$B$17,IF((L39)*AG39&gt;=Assumptions!$B$14,Assumptions!$B$15,0))))</f>
        <v>1050567.19875</v>
      </c>
      <c r="AI39" s="47" t="n">
        <f aca="false">(L39)*AE39-(((D39)+(L39)*Assumptions!$B$25+IF(H39="Yes",Assumptions!$B$6*(D39),(L39)*Assumptions!$B$5))*(1+Assumptions!$B$7*(Assumptions!$B$8*(N39)*Assumptions!$B$9+Assumptions!$B$10))+(D39)*Assumptions!$B$11*(N39)+(L39)*AE39*(Assumptions!$B$12+Assumptions!$B$13+IF((L39)*AE39&gt;=Assumptions!$B$16,Assumptions!$B$17,IF((L39)*AE39&gt;=Assumptions!$B$14,Assumptions!$B$15,0))))</f>
        <v>674599.546250002</v>
      </c>
      <c r="AJ39" s="47" t="n">
        <f aca="false">(L39)*AE39-(((D39)+(L39)*Assumptions!$B$26+IF(H39="Yes",Assumptions!$B$6*(D39),(L39)*Assumptions!$B$5))*(1+Assumptions!$B$7*(Assumptions!$B$8*(N39)*Assumptions!$B$9+Assumptions!$B$10))+(D39)*Assumptions!$B$11*(N39)+(L39)*AE39*(Assumptions!$B$12+Assumptions!$B$13+IF((L39)*AE39&gt;=Assumptions!$B$16,Assumptions!$B$17,IF((L39)*AE39&gt;=Assumptions!$B$14,Assumptions!$B$15,0))))</f>
        <v>934259.083750001</v>
      </c>
      <c r="AK39" s="40" t="s">
        <v>77</v>
      </c>
      <c r="AL39" s="45" t="n">
        <f aca="false">IF(G39&gt;0,G39,ROUND(F39*Assumptions!$B$18,0))</f>
        <v>3981</v>
      </c>
      <c r="AM39" s="45" t="n">
        <f aca="false">IF(H39="Yes",AL39,MAX(AL39,MIN(Assumptions!$B$20,ROUND(E39*Assumptions!$B$19,0))))</f>
        <v>4609</v>
      </c>
      <c r="AN39" s="47" t="n">
        <f aca="false">(AL39)*AE39-(((D39)+(AL39)*Assumptions!$B$4+IF(H39="Yes",Assumptions!$B$6*(D39),(AL39)*Assumptions!$B$5))*(1+Assumptions!$B$7*(Assumptions!$B$8*(Assumptions!$B$21)*Assumptions!$B$9+Assumptions!$B$10))+(D39)*Assumptions!$B$11*(Assumptions!$B$21)+(AL39)*AE39*(Assumptions!$B$12+Assumptions!$B$13+IF((AL39)*AE39&gt;=Assumptions!$B$16,Assumptions!$B$17,IF((AL39)*AE39&gt;=Assumptions!$B$14,Assumptions!$B$15,0))))</f>
        <v>242917.678750001</v>
      </c>
      <c r="AO39" s="47" t="n">
        <f aca="false">(AM39)*AE39-(((D39)+(AM39)*Assumptions!$B$4+IF(H39="Yes",Assumptions!$B$6*(D39),(AM39)*Assumptions!$B$5))*(1+Assumptions!$B$7*(Assumptions!$B$8*(IF(AM39&gt;AL39,Assumptions!$B$22,Assumptions!$B$21))*Assumptions!$B$9+Assumptions!$B$10))+(D39)*Assumptions!$B$11*(IF(AM39&gt;AL39,Assumptions!$B$22,Assumptions!$B$21))+(AM39)*AE39*(Assumptions!$B$12+Assumptions!$B$13+IF((AM39)*AE39&gt;=Assumptions!$B$16,Assumptions!$B$17,IF((AM39)*AE39&gt;=Assumptions!$B$14,Assumptions!$B$15,0))))</f>
        <v>414940.008750001</v>
      </c>
      <c r="AP39" s="47" t="n">
        <f aca="false">Assumptions!$B$7*(Q39+R39+S39)</f>
        <v>3748533.75</v>
      </c>
    </row>
    <row r="40" customFormat="false" ht="15" hidden="false" customHeight="false" outlineLevel="0" collapsed="false">
      <c r="A40" s="40" t="n">
        <v>38</v>
      </c>
      <c r="B40" s="40" t="s">
        <v>152</v>
      </c>
      <c r="C40" s="40" t="s">
        <v>75</v>
      </c>
      <c r="D40" s="41" t="n">
        <v>1599000</v>
      </c>
      <c r="E40" s="42" t="n">
        <v>7028</v>
      </c>
      <c r="F40" s="42" t="n">
        <v>1936</v>
      </c>
      <c r="G40" s="42"/>
      <c r="H40" s="43" t="s">
        <v>71</v>
      </c>
      <c r="I40" s="43" t="s">
        <v>71</v>
      </c>
      <c r="J40" s="43" t="s">
        <v>71</v>
      </c>
      <c r="K40" s="44" t="s">
        <v>153</v>
      </c>
      <c r="L40" s="45" t="n">
        <f aca="false">IF(AO40&gt;AN40,AM40,AL40)</f>
        <v>2811</v>
      </c>
      <c r="M40" s="40" t="str">
        <f aca="false">IF(AO40&gt;AN40,"Zoning estimate",IF(H40="Yes","Approved plans",IF(G40&gt;0,"Listing claim","110% old house")))</f>
        <v>Zoning estimate</v>
      </c>
      <c r="N40" s="45" t="n">
        <f aca="false">IF(AO40&gt;AN40,IF(AM40&gt;AL40,Assumptions!$B$22,Assumptions!$B$21),Assumptions!$B$21)</f>
        <v>3</v>
      </c>
      <c r="O40" s="46" t="n">
        <f aca="false">(INDEX(Assumptions!$B$36:$B$48,MATCH(AK40,Assumptions!$A$36:$A$48,0))+IF(I40="Yes",Assumptions!$B$23,0)+IF(J40="Yes",Assumptions!$B$24,0))*(1+IF(UPPER(Assumptions!$B$31)="WORST",Assumptions!$B$28,IF(UPPER(Assumptions!$B$31)="BEST",Assumptions!$B$30,Assumptions!$B$29)))</f>
        <v>1540</v>
      </c>
      <c r="P40" s="47" t="n">
        <f aca="false">L40*O40</f>
        <v>4328940</v>
      </c>
      <c r="Q40" s="47" t="n">
        <f aca="false">D40</f>
        <v>1599000</v>
      </c>
      <c r="R40" s="47" t="n">
        <f aca="false">L40*Assumptions!$B$4</f>
        <v>1967700</v>
      </c>
      <c r="S40" s="47" t="n">
        <f aca="false">IF(H40="Yes",Assumptions!$B$6*(D40),(L40)*Assumptions!$B$5)</f>
        <v>210825</v>
      </c>
      <c r="T40" s="47" t="n">
        <f aca="false">AP40*(Assumptions!$B$8*N40*Assumptions!$B$9+Assumptions!$B$10)</f>
        <v>478801.29375</v>
      </c>
      <c r="U40" s="47" t="n">
        <f aca="false">Q40*Assumptions!$B$11*N40</f>
        <v>57564</v>
      </c>
      <c r="V40" s="47" t="n">
        <f aca="false">P40*(Assumptions!$B$12+Assumptions!$B$13)</f>
        <v>175754.964</v>
      </c>
      <c r="W40" s="47" t="n">
        <f aca="false">P40*IF(P40&gt;=Assumptions!$B$16,Assumptions!$B$17,IF(P40&gt;=Assumptions!$B$14,Assumptions!$B$15,0))</f>
        <v>0</v>
      </c>
      <c r="X40" s="48" t="n">
        <f aca="false">SUM(Q40:W40)</f>
        <v>4489645.25775</v>
      </c>
      <c r="Y40" s="48" t="n">
        <f aca="false">P40-X40</f>
        <v>-160705.257749999</v>
      </c>
      <c r="Z40" s="49" t="n">
        <f aca="false">IF(X40=0,0,Y40/X40)</f>
        <v>-0.0357946449048709</v>
      </c>
      <c r="AA40" s="47" t="n">
        <f aca="false">MAX(0,(P40/(1+Assumptions!$B$27)-(L40*(Assumptions!$B$4+IF(H40="Yes",0,Assumptions!$B$5)))*(1+(Assumptions!$B$7*(Assumptions!$B$8*N40*Assumptions!$B$9+Assumptions!$B$10)))-P40*(Assumptions!$B$12+Assumptions!$B$13+IF(P40&gt;=Assumptions!$B$16,Assumptions!$B$17,IF(P40&gt;=Assumptions!$B$14,Assumptions!$B$15,0))))/((1+IF(H40="Yes",Assumptions!$B$6,0))*(1+(Assumptions!$B$7*(Assumptions!$B$8*N40*Assumptions!$B$9+Assumptions!$B$10)))+Assumptions!$B$11*N40))</f>
        <v>975177.505417256</v>
      </c>
      <c r="AB40" s="50" t="n">
        <f aca="false">IF(AA40&lt;=0,"no price works",D40/AA40)</f>
        <v>1.63970148113274</v>
      </c>
      <c r="AC40" s="46" t="n">
        <f aca="false">(INDEX(Assumptions!$B$36:$B$48,MATCH(AK40,Assumptions!$A$36:$A$48,0))+IF(I40="Yes",Assumptions!$B$23,0)+IF(J40="Yes",Assumptions!$B$24,0))*(1+Assumptions!$B$28)</f>
        <v>1400</v>
      </c>
      <c r="AD40" s="47" t="n">
        <f aca="false">(L40)*AC40-(((D40)+(L40)*Assumptions!$B$4+IF(H40="Yes",Assumptions!$B$6*(D40),(L40)*Assumptions!$B$5))*(1+Assumptions!$B$7*(Assumptions!$B$8*(N40)*Assumptions!$B$9+Assumptions!$B$10))+(D40)*Assumptions!$B$11*(N40)+(L40)*AC40*(Assumptions!$B$12+Assumptions!$B$13+IF((L40)*AC40&gt;=Assumptions!$B$16,Assumptions!$B$17,IF((L40)*AC40&gt;=Assumptions!$B$14,Assumptions!$B$15,0))))</f>
        <v>-538267.53375</v>
      </c>
      <c r="AE40" s="46" t="n">
        <f aca="false">(INDEX(Assumptions!$B$36:$B$48,MATCH(AK40,Assumptions!$A$36:$A$48,0))+IF(I40="Yes",Assumptions!$B$23,0)+IF(J40="Yes",Assumptions!$B$24,0))*(1+Assumptions!$B$29)</f>
        <v>1540</v>
      </c>
      <c r="AF40" s="47" t="n">
        <f aca="false">(L40)*AE40-(((D40)+(L40)*Assumptions!$B$4+IF(H40="Yes",Assumptions!$B$6*(D40),(L40)*Assumptions!$B$5))*(1+Assumptions!$B$7*(Assumptions!$B$8*(N40)*Assumptions!$B$9+Assumptions!$B$10))+(D40)*Assumptions!$B$11*(N40)+(L40)*AE40*(Assumptions!$B$12+Assumptions!$B$13+IF((L40)*AE40&gt;=Assumptions!$B$16,Assumptions!$B$17,IF((L40)*AE40&gt;=Assumptions!$B$14,Assumptions!$B$15,0))))</f>
        <v>-160705.257749998</v>
      </c>
      <c r="AG40" s="46" t="n">
        <f aca="false">(INDEX(Assumptions!$B$36:$B$48,MATCH(AK40,Assumptions!$A$36:$A$48,0))+IF(I40="Yes",Assumptions!$B$23,0)+IF(J40="Yes",Assumptions!$B$24,0))*(1+Assumptions!$B$30)</f>
        <v>1680</v>
      </c>
      <c r="AH40" s="47" t="n">
        <f aca="false">(L40)*AG40-(((D40)+(L40)*Assumptions!$B$4+IF(H40="Yes",Assumptions!$B$6*(D40),(L40)*Assumptions!$B$5))*(1+Assumptions!$B$7*(Assumptions!$B$8*(N40)*Assumptions!$B$9+Assumptions!$B$10))+(D40)*Assumptions!$B$11*(N40)+(L40)*AG40*(Assumptions!$B$12+Assumptions!$B$13+IF((L40)*AG40&gt;=Assumptions!$B$16,Assumptions!$B$17,IF((L40)*AG40&gt;=Assumptions!$B$14,Assumptions!$B$15,0))))</f>
        <v>216857.018250001</v>
      </c>
      <c r="AI40" s="47" t="n">
        <f aca="false">(L40)*AE40-(((D40)+(L40)*Assumptions!$B$25+IF(H40="Yes",Assumptions!$B$6*(D40),(L40)*Assumptions!$B$5))*(1+Assumptions!$B$7*(Assumptions!$B$8*(N40)*Assumptions!$B$9+Assumptions!$B$10))+(D40)*Assumptions!$B$11*(N40)+(L40)*AE40*(Assumptions!$B$12+Assumptions!$B$13+IF((L40)*AE40&gt;=Assumptions!$B$16,Assumptions!$B$17,IF((L40)*AE40&gt;=Assumptions!$B$14,Assumptions!$B$15,0))))</f>
        <v>-2340.54524999857</v>
      </c>
      <c r="AJ40" s="47" t="n">
        <f aca="false">(L40)*AE40-(((D40)+(L40)*Assumptions!$B$26+IF(H40="Yes",Assumptions!$B$6*(D40),(L40)*Assumptions!$B$5))*(1+Assumptions!$B$7*(Assumptions!$B$8*(N40)*Assumptions!$B$9+Assumptions!$B$10))+(D40)*Assumptions!$B$11*(N40)+(L40)*AE40*(Assumptions!$B$12+Assumptions!$B$13+IF((L40)*AE40&gt;=Assumptions!$B$16,Assumptions!$B$17,IF((L40)*AE40&gt;=Assumptions!$B$14,Assumptions!$B$15,0))))</f>
        <v>156024.167250001</v>
      </c>
      <c r="AK40" s="40" t="s">
        <v>77</v>
      </c>
      <c r="AL40" s="45" t="n">
        <f aca="false">IF(G40&gt;0,G40,ROUND(F40*Assumptions!$B$18,0))</f>
        <v>2130</v>
      </c>
      <c r="AM40" s="45" t="n">
        <f aca="false">IF(H40="Yes",AL40,MAX(AL40,MIN(Assumptions!$B$20,ROUND(E40*Assumptions!$B$19,0))))</f>
        <v>2811</v>
      </c>
      <c r="AN40" s="47" t="n">
        <f aca="false">(AL40)*AE40-(((D40)+(AL40)*Assumptions!$B$4+IF(H40="Yes",Assumptions!$B$6*(D40),(AL40)*Assumptions!$B$5))*(1+Assumptions!$B$7*(Assumptions!$B$8*(Assumptions!$B$21)*Assumptions!$B$9+Assumptions!$B$10))+(D40)*Assumptions!$B$11*(Assumptions!$B$21)+(AL40)*AE40*(Assumptions!$B$12+Assumptions!$B$13+IF((AL40)*AE40&gt;=Assumptions!$B$16,Assumptions!$B$17,IF((AL40)*AE40&gt;=Assumptions!$B$14,Assumptions!$B$15,0))))</f>
        <v>-426267.6825</v>
      </c>
      <c r="AO40" s="47" t="n">
        <f aca="false">(AM40)*AE40-(((D40)+(AM40)*Assumptions!$B$4+IF(H40="Yes",Assumptions!$B$6*(D40),(AM40)*Assumptions!$B$5))*(1+Assumptions!$B$7*(Assumptions!$B$8*(IF(AM40&gt;AL40,Assumptions!$B$22,Assumptions!$B$21))*Assumptions!$B$9+Assumptions!$B$10))+(D40)*Assumptions!$B$11*(IF(AM40&gt;AL40,Assumptions!$B$22,Assumptions!$B$21))+(AM40)*AE40*(Assumptions!$B$12+Assumptions!$B$13+IF((AM40)*AE40&gt;=Assumptions!$B$16,Assumptions!$B$17,IF((AM40)*AE40&gt;=Assumptions!$B$14,Assumptions!$B$15,0))))</f>
        <v>-160705.257749998</v>
      </c>
      <c r="AP40" s="47" t="n">
        <f aca="false">Assumptions!$B$7*(Q40+R40+S40)</f>
        <v>2455391.25</v>
      </c>
    </row>
    <row r="41" customFormat="false" ht="23.85" hidden="false" customHeight="false" outlineLevel="0" collapsed="false">
      <c r="A41" s="40" t="n">
        <v>39</v>
      </c>
      <c r="B41" s="40" t="s">
        <v>154</v>
      </c>
      <c r="C41" s="40" t="s">
        <v>75</v>
      </c>
      <c r="D41" s="41" t="n">
        <v>2895000</v>
      </c>
      <c r="E41" s="42" t="n">
        <v>7405</v>
      </c>
      <c r="F41" s="42" t="n">
        <v>5073</v>
      </c>
      <c r="G41" s="42" t="n">
        <v>5180</v>
      </c>
      <c r="H41" s="43" t="s">
        <v>71</v>
      </c>
      <c r="I41" s="43" t="s">
        <v>80</v>
      </c>
      <c r="J41" s="43" t="s">
        <v>71</v>
      </c>
      <c r="K41" s="44" t="s">
        <v>155</v>
      </c>
      <c r="L41" s="45" t="n">
        <f aca="false">IF(AO41&gt;AN41,AM41,AL41)</f>
        <v>5180</v>
      </c>
      <c r="M41" s="40" t="str">
        <f aca="false">IF(AO41&gt;AN41,"Zoning estimate",IF(H41="Yes","Approved plans",IF(G41&gt;0,"Listing claim","110% old house")))</f>
        <v>Listing claim</v>
      </c>
      <c r="N41" s="45" t="n">
        <f aca="false">IF(AO41&gt;AN41,IF(AM41&gt;AL41,Assumptions!$B$22,Assumptions!$B$21),Assumptions!$B$21)</f>
        <v>2</v>
      </c>
      <c r="O41" s="46" t="n">
        <f aca="false">(INDEX(Assumptions!$B$36:$B$48,MATCH(AK41,Assumptions!$A$36:$A$48,0))+IF(I41="Yes",Assumptions!$B$23,0)+IF(J41="Yes",Assumptions!$B$24,0))*(1+IF(UPPER(Assumptions!$B$31)="WORST",Assumptions!$B$28,IF(UPPER(Assumptions!$B$31)="BEST",Assumptions!$B$30,Assumptions!$B$29)))</f>
        <v>1650</v>
      </c>
      <c r="P41" s="47" t="n">
        <f aca="false">L41*O41</f>
        <v>8547000</v>
      </c>
      <c r="Q41" s="47" t="n">
        <f aca="false">D41</f>
        <v>2895000</v>
      </c>
      <c r="R41" s="47" t="n">
        <f aca="false">L41*Assumptions!$B$4</f>
        <v>3626000</v>
      </c>
      <c r="S41" s="47" t="n">
        <f aca="false">IF(H41="Yes",Assumptions!$B$6*(D41),(L41)*Assumptions!$B$5)</f>
        <v>388500</v>
      </c>
      <c r="T41" s="47" t="n">
        <f aca="false">AP41*(Assumptions!$B$8*N41*Assumptions!$B$9+Assumptions!$B$10)</f>
        <v>606308.625</v>
      </c>
      <c r="U41" s="47" t="n">
        <f aca="false">Q41*Assumptions!$B$11*N41</f>
        <v>69480</v>
      </c>
      <c r="V41" s="47" t="n">
        <f aca="false">P41*(Assumptions!$B$12+Assumptions!$B$13)</f>
        <v>347008.2</v>
      </c>
      <c r="W41" s="47" t="n">
        <f aca="false">P41*IF(P41&gt;=Assumptions!$B$16,Assumptions!$B$17,IF(P41&gt;=Assumptions!$B$14,Assumptions!$B$15,0))</f>
        <v>341880</v>
      </c>
      <c r="X41" s="48" t="n">
        <f aca="false">SUM(Q41:W41)</f>
        <v>8274176.825</v>
      </c>
      <c r="Y41" s="48" t="n">
        <f aca="false">P41-X41</f>
        <v>272823.175000002</v>
      </c>
      <c r="Z41" s="49" t="n">
        <f aca="false">IF(X41=0,0,Y41/X41)</f>
        <v>0.0329728480270908</v>
      </c>
      <c r="AA41" s="47" t="n">
        <f aca="false">MAX(0,(P41/(1+Assumptions!$B$27)-(L41*(Assumptions!$B$4+IF(H41="Yes",0,Assumptions!$B$5)))*(1+(Assumptions!$B$7*(Assumptions!$B$8*N41*Assumptions!$B$9+Assumptions!$B$10)))-P41*(Assumptions!$B$12+Assumptions!$B$13+IF(P41&gt;=Assumptions!$B$16,Assumptions!$B$17,IF(P41&gt;=Assumptions!$B$14,Assumptions!$B$15,0))))/((1+IF(H41="Yes",Assumptions!$B$6,0))*(1+(Assumptions!$B$7*(Assumptions!$B$8*N41*Assumptions!$B$9+Assumptions!$B$10)))+Assumptions!$B$11*N41))</f>
        <v>2137632.86534156</v>
      </c>
      <c r="AB41" s="50" t="n">
        <f aca="false">IF(AA41&lt;=0,"no price works",D41/AA41)</f>
        <v>1.35430178256425</v>
      </c>
      <c r="AC41" s="46" t="n">
        <f aca="false">(INDEX(Assumptions!$B$36:$B$48,MATCH(AK41,Assumptions!$A$36:$A$48,0))+IF(I41="Yes",Assumptions!$B$23,0)+IF(J41="Yes",Assumptions!$B$24,0))*(1+Assumptions!$B$28)</f>
        <v>1500</v>
      </c>
      <c r="AD41" s="47" t="n">
        <f aca="false">(L41)*AC41-(((D41)+(L41)*Assumptions!$B$4+IF(H41="Yes",Assumptions!$B$6*(D41),(L41)*Assumptions!$B$5))*(1+Assumptions!$B$7*(Assumptions!$B$8*(N41)*Assumptions!$B$9+Assumptions!$B$10))+(D41)*Assumptions!$B$11*(N41)+(L41)*AC41*(Assumptions!$B$12+Assumptions!$B$13+IF((L41)*AC41&gt;=Assumptions!$B$16,Assumptions!$B$17,IF((L41)*AC41&gt;=Assumptions!$B$14,Assumptions!$B$15,0))))</f>
        <v>-441550.625</v>
      </c>
      <c r="AE41" s="46" t="n">
        <f aca="false">(INDEX(Assumptions!$B$36:$B$48,MATCH(AK41,Assumptions!$A$36:$A$48,0))+IF(I41="Yes",Assumptions!$B$23,0)+IF(J41="Yes",Assumptions!$B$24,0))*(1+Assumptions!$B$29)</f>
        <v>1650</v>
      </c>
      <c r="AF41" s="47" t="n">
        <f aca="false">(L41)*AE41-(((D41)+(L41)*Assumptions!$B$4+IF(H41="Yes",Assumptions!$B$6*(D41),(L41)*Assumptions!$B$5))*(1+Assumptions!$B$7*(Assumptions!$B$8*(N41)*Assumptions!$B$9+Assumptions!$B$10))+(D41)*Assumptions!$B$11*(N41)+(L41)*AE41*(Assumptions!$B$12+Assumptions!$B$13+IF((L41)*AE41&gt;=Assumptions!$B$16,Assumptions!$B$17,IF((L41)*AE41&gt;=Assumptions!$B$14,Assumptions!$B$15,0))))</f>
        <v>272823.175000002</v>
      </c>
      <c r="AG41" s="46" t="n">
        <f aca="false">(INDEX(Assumptions!$B$36:$B$48,MATCH(AK41,Assumptions!$A$36:$A$48,0))+IF(I41="Yes",Assumptions!$B$23,0)+IF(J41="Yes",Assumptions!$B$24,0))*(1+Assumptions!$B$30)</f>
        <v>1800</v>
      </c>
      <c r="AH41" s="47" t="n">
        <f aca="false">(L41)*AG41-(((D41)+(L41)*Assumptions!$B$4+IF(H41="Yes",Assumptions!$B$6*(D41),(L41)*Assumptions!$B$5))*(1+Assumptions!$B$7*(Assumptions!$B$8*(N41)*Assumptions!$B$9+Assumptions!$B$10))+(D41)*Assumptions!$B$11*(N41)+(L41)*AG41*(Assumptions!$B$12+Assumptions!$B$13+IF((L41)*AG41&gt;=Assumptions!$B$16,Assumptions!$B$17,IF((L41)*AG41&gt;=Assumptions!$B$14,Assumptions!$B$15,0))))</f>
        <v>987196.975</v>
      </c>
      <c r="AI41" s="47" t="n">
        <f aca="false">(L41)*AE41-(((D41)+(L41)*Assumptions!$B$25+IF(H41="Yes",Assumptions!$B$6*(D41),(L41)*Assumptions!$B$5))*(1+Assumptions!$B$7*(Assumptions!$B$8*(N41)*Assumptions!$B$9+Assumptions!$B$10))+(D41)*Assumptions!$B$11*(N41)+(L41)*AE41*(Assumptions!$B$12+Assumptions!$B$13+IF((L41)*AE41&gt;=Assumptions!$B$16,Assumptions!$B$17,IF((L41)*AE41&gt;=Assumptions!$B$14,Assumptions!$B$15,0))))</f>
        <v>554550.425000002</v>
      </c>
      <c r="AJ41" s="47" t="n">
        <f aca="false">(L41)*AE41-(((D41)+(L41)*Assumptions!$B$26+IF(H41="Yes",Assumptions!$B$6*(D41),(L41)*Assumptions!$B$5))*(1+Assumptions!$B$7*(Assumptions!$B$8*(N41)*Assumptions!$B$9+Assumptions!$B$10))+(D41)*Assumptions!$B$11*(N41)+(L41)*AE41*(Assumptions!$B$12+Assumptions!$B$13+IF((L41)*AE41&gt;=Assumptions!$B$16,Assumptions!$B$17,IF((L41)*AE41&gt;=Assumptions!$B$14,Assumptions!$B$15,0))))</f>
        <v>836277.675000002</v>
      </c>
      <c r="AK41" s="40" t="s">
        <v>77</v>
      </c>
      <c r="AL41" s="45" t="n">
        <f aca="false">IF(G41&gt;0,G41,ROUND(F41*Assumptions!$B$18,0))</f>
        <v>5180</v>
      </c>
      <c r="AM41" s="45" t="n">
        <f aca="false">IF(H41="Yes",AL41,MAX(AL41,MIN(Assumptions!$B$20,ROUND(E41*Assumptions!$B$19,0))))</f>
        <v>5180</v>
      </c>
      <c r="AN41" s="47" t="n">
        <f aca="false">(AL41)*AE41-(((D41)+(AL41)*Assumptions!$B$4+IF(H41="Yes",Assumptions!$B$6*(D41),(AL41)*Assumptions!$B$5))*(1+Assumptions!$B$7*(Assumptions!$B$8*(Assumptions!$B$21)*Assumptions!$B$9+Assumptions!$B$10))+(D41)*Assumptions!$B$11*(Assumptions!$B$21)+(AL41)*AE41*(Assumptions!$B$12+Assumptions!$B$13+IF((AL41)*AE41&gt;=Assumptions!$B$16,Assumptions!$B$17,IF((AL41)*AE41&gt;=Assumptions!$B$14,Assumptions!$B$15,0))))</f>
        <v>272823.175000002</v>
      </c>
      <c r="AO41" s="47" t="n">
        <f aca="false">(AM41)*AE41-(((D41)+(AM41)*Assumptions!$B$4+IF(H41="Yes",Assumptions!$B$6*(D41),(AM41)*Assumptions!$B$5))*(1+Assumptions!$B$7*(Assumptions!$B$8*(IF(AM41&gt;AL41,Assumptions!$B$22,Assumptions!$B$21))*Assumptions!$B$9+Assumptions!$B$10))+(D41)*Assumptions!$B$11*(IF(AM41&gt;AL41,Assumptions!$B$22,Assumptions!$B$21))+(AM41)*AE41*(Assumptions!$B$12+Assumptions!$B$13+IF((AM41)*AE41&gt;=Assumptions!$B$16,Assumptions!$B$17,IF((AM41)*AE41&gt;=Assumptions!$B$14,Assumptions!$B$15,0))))</f>
        <v>272823.175000002</v>
      </c>
      <c r="AP41" s="47" t="n">
        <f aca="false">Assumptions!$B$7*(Q41+R41+S41)</f>
        <v>4491175</v>
      </c>
    </row>
    <row r="42" customFormat="false" ht="15" hidden="false" customHeight="false" outlineLevel="0" collapsed="false">
      <c r="A42" s="40" t="n">
        <v>40</v>
      </c>
      <c r="B42" s="40" t="s">
        <v>156</v>
      </c>
      <c r="C42" s="40" t="s">
        <v>126</v>
      </c>
      <c r="D42" s="41" t="n">
        <v>2195000</v>
      </c>
      <c r="E42" s="42" t="n">
        <v>15123</v>
      </c>
      <c r="F42" s="42" t="n">
        <v>3395</v>
      </c>
      <c r="G42" s="42"/>
      <c r="H42" s="43" t="s">
        <v>71</v>
      </c>
      <c r="I42" s="43" t="s">
        <v>71</v>
      </c>
      <c r="J42" s="43" t="s">
        <v>71</v>
      </c>
      <c r="K42" s="44" t="s">
        <v>157</v>
      </c>
      <c r="L42" s="45" t="n">
        <f aca="false">IF(AO42&gt;AN42,AM42,AL42)</f>
        <v>6049</v>
      </c>
      <c r="M42" s="40" t="str">
        <f aca="false">IF(AO42&gt;AN42,"Zoning estimate",IF(H42="Yes","Approved plans",IF(G42&gt;0,"Listing claim","110% old house")))</f>
        <v>Zoning estimate</v>
      </c>
      <c r="N42" s="45" t="n">
        <f aca="false">IF(AO42&gt;AN42,IF(AM42&gt;AL42,Assumptions!$B$22,Assumptions!$B$21),Assumptions!$B$21)</f>
        <v>3</v>
      </c>
      <c r="O42" s="46" t="n">
        <f aca="false">(INDEX(Assumptions!$B$36:$B$48,MATCH(AK42,Assumptions!$A$36:$A$48,0))+IF(I42="Yes",Assumptions!$B$23,0)+IF(J42="Yes",Assumptions!$B$24,0))*(1+IF(UPPER(Assumptions!$B$31)="WORST",Assumptions!$B$28,IF(UPPER(Assumptions!$B$31)="BEST",Assumptions!$B$30,Assumptions!$B$29)))</f>
        <v>1430</v>
      </c>
      <c r="P42" s="47" t="n">
        <f aca="false">L42*O42</f>
        <v>8650070</v>
      </c>
      <c r="Q42" s="47" t="n">
        <f aca="false">D42</f>
        <v>2195000</v>
      </c>
      <c r="R42" s="47" t="n">
        <f aca="false">L42*Assumptions!$B$4</f>
        <v>4234300</v>
      </c>
      <c r="S42" s="47" t="n">
        <f aca="false">IF(H42="Yes",Assumptions!$B$6*(D42),(L42)*Assumptions!$B$5)</f>
        <v>453675</v>
      </c>
      <c r="T42" s="47" t="n">
        <f aca="false">AP42*(Assumptions!$B$8*N42*Assumptions!$B$9+Assumptions!$B$10)</f>
        <v>872417.08125</v>
      </c>
      <c r="U42" s="47" t="n">
        <f aca="false">Q42*Assumptions!$B$11*N42</f>
        <v>79020</v>
      </c>
      <c r="V42" s="47" t="n">
        <f aca="false">P42*(Assumptions!$B$12+Assumptions!$B$13)</f>
        <v>351192.842</v>
      </c>
      <c r="W42" s="47" t="n">
        <f aca="false">P42*IF(P42&gt;=Assumptions!$B$16,Assumptions!$B$17,IF(P42&gt;=Assumptions!$B$14,Assumptions!$B$15,0))</f>
        <v>346002.8</v>
      </c>
      <c r="X42" s="48" t="n">
        <f aca="false">SUM(Q42:W42)</f>
        <v>8531607.72325</v>
      </c>
      <c r="Y42" s="48" t="n">
        <f aca="false">P42-X42</f>
        <v>118462.276750002</v>
      </c>
      <c r="Z42" s="49" t="n">
        <f aca="false">IF(X42=0,0,Y42/X42)</f>
        <v>0.0138851059018072</v>
      </c>
      <c r="AA42" s="47" t="n">
        <f aca="false">MAX(0,(P42/(1+Assumptions!$B$27)-(L42*(Assumptions!$B$4+IF(H42="Yes",0,Assumptions!$B$5)))*(1+(Assumptions!$B$7*(Assumptions!$B$8*N42*Assumptions!$B$9+Assumptions!$B$10)))-P42*(Assumptions!$B$12+Assumptions!$B$13+IF(P42&gt;=Assumptions!$B$16,Assumptions!$B$17,IF(P42&gt;=Assumptions!$B$14,Assumptions!$B$15,0))))/((1+IF(H42="Yes",Assumptions!$B$6,0))*(1+(Assumptions!$B$7*(Assumptions!$B$8*N42*Assumptions!$B$9+Assumptions!$B$10)))+Assumptions!$B$11*N42))</f>
        <v>1326534.96172866</v>
      </c>
      <c r="AB42" s="50" t="n">
        <f aca="false">IF(AA42&lt;=0,"no price works",D42/AA42)</f>
        <v>1.65468688223611</v>
      </c>
      <c r="AC42" s="46" t="n">
        <f aca="false">(INDEX(Assumptions!$B$36:$B$48,MATCH(AK42,Assumptions!$A$36:$A$48,0))+IF(I42="Yes",Assumptions!$B$23,0)+IF(J42="Yes",Assumptions!$B$24,0))*(1+Assumptions!$B$28)</f>
        <v>1300</v>
      </c>
      <c r="AD42" s="47" t="n">
        <f aca="false">(L42)*AC42-(((D42)+(L42)*Assumptions!$B$4+IF(H42="Yes",Assumptions!$B$6*(D42),(L42)*Assumptions!$B$5))*(1+Assumptions!$B$7*(Assumptions!$B$8*(N42)*Assumptions!$B$9+Assumptions!$B$10))+(D42)*Assumptions!$B$11*(N42)+(L42)*AC42*(Assumptions!$B$12+Assumptions!$B$13+IF((L42)*AC42&gt;=Assumptions!$B$16,Assumptions!$B$17,IF((L42)*AC42&gt;=Assumptions!$B$14,Assumptions!$B$15,0))))</f>
        <v>-604526.30125</v>
      </c>
      <c r="AE42" s="46" t="n">
        <f aca="false">(INDEX(Assumptions!$B$36:$B$48,MATCH(AK42,Assumptions!$A$36:$A$48,0))+IF(I42="Yes",Assumptions!$B$23,0)+IF(J42="Yes",Assumptions!$B$24,0))*(1+Assumptions!$B$29)</f>
        <v>1430</v>
      </c>
      <c r="AF42" s="47" t="n">
        <f aca="false">(L42)*AE42-(((D42)+(L42)*Assumptions!$B$4+IF(H42="Yes",Assumptions!$B$6*(D42),(L42)*Assumptions!$B$5))*(1+Assumptions!$B$7*(Assumptions!$B$8*(N42)*Assumptions!$B$9+Assumptions!$B$10))+(D42)*Assumptions!$B$11*(N42)+(L42)*AE42*(Assumptions!$B$12+Assumptions!$B$13+IF((L42)*AE42&gt;=Assumptions!$B$16,Assumptions!$B$17,IF((L42)*AE42&gt;=Assumptions!$B$14,Assumptions!$B$15,0))))</f>
        <v>118462.276750002</v>
      </c>
      <c r="AG42" s="46" t="n">
        <f aca="false">(INDEX(Assumptions!$B$36:$B$48,MATCH(AK42,Assumptions!$A$36:$A$48,0))+IF(I42="Yes",Assumptions!$B$23,0)+IF(J42="Yes",Assumptions!$B$24,0))*(1+Assumptions!$B$30)</f>
        <v>1560</v>
      </c>
      <c r="AH42" s="47" t="n">
        <f aca="false">(L42)*AG42-(((D42)+(L42)*Assumptions!$B$4+IF(H42="Yes",Assumptions!$B$6*(D42),(L42)*Assumptions!$B$5))*(1+Assumptions!$B$7*(Assumptions!$B$8*(N42)*Assumptions!$B$9+Assumptions!$B$10))+(D42)*Assumptions!$B$11*(N42)+(L42)*AG42*(Assumptions!$B$12+Assumptions!$B$13+IF((L42)*AG42&gt;=Assumptions!$B$16,Assumptions!$B$17,IF((L42)*AG42&gt;=Assumptions!$B$14,Assumptions!$B$15,0))))</f>
        <v>841450.85475</v>
      </c>
      <c r="AI42" s="47" t="n">
        <f aca="false">(L42)*AE42-(((D42)+(L42)*Assumptions!$B$25+IF(H42="Yes",Assumptions!$B$6*(D42),(L42)*Assumptions!$B$5))*(1+Assumptions!$B$7*(Assumptions!$B$8*(N42)*Assumptions!$B$9+Assumptions!$B$10))+(D42)*Assumptions!$B$11*(N42)+(L42)*AE42*(Assumptions!$B$12+Assumptions!$B$13+IF((L42)*AE42&gt;=Assumptions!$B$16,Assumptions!$B$17,IF((L42)*AE42&gt;=Assumptions!$B$14,Assumptions!$B$15,0))))</f>
        <v>459247.814250003</v>
      </c>
      <c r="AJ42" s="47" t="n">
        <f aca="false">(L42)*AE42-(((D42)+(L42)*Assumptions!$B$26+IF(H42="Yes",Assumptions!$B$6*(D42),(L42)*Assumptions!$B$5))*(1+Assumptions!$B$7*(Assumptions!$B$8*(N42)*Assumptions!$B$9+Assumptions!$B$10))+(D42)*Assumptions!$B$11*(N42)+(L42)*AE42*(Assumptions!$B$12+Assumptions!$B$13+IF((L42)*AE42&gt;=Assumptions!$B$16,Assumptions!$B$17,IF((L42)*AE42&gt;=Assumptions!$B$14,Assumptions!$B$15,0))))</f>
        <v>800033.351750002</v>
      </c>
      <c r="AK42" s="40" t="s">
        <v>128</v>
      </c>
      <c r="AL42" s="45" t="n">
        <f aca="false">IF(G42&gt;0,G42,ROUND(F42*Assumptions!$B$18,0))</f>
        <v>3735</v>
      </c>
      <c r="AM42" s="45" t="n">
        <f aca="false">IF(H42="Yes",AL42,MAX(AL42,MIN(Assumptions!$B$20,ROUND(E42*Assumptions!$B$19,0))))</f>
        <v>6049</v>
      </c>
      <c r="AN42" s="47" t="n">
        <f aca="false">(AL42)*AE42-(((D42)+(AL42)*Assumptions!$B$4+IF(H42="Yes",Assumptions!$B$6*(D42),(AL42)*Assumptions!$B$5))*(1+Assumptions!$B$7*(Assumptions!$B$8*(Assumptions!$B$21)*Assumptions!$B$9+Assumptions!$B$10))+(D42)*Assumptions!$B$11*(Assumptions!$B$21)+(AL42)*AE42*(Assumptions!$B$12+Assumptions!$B$13+IF((AL42)*AE42&gt;=Assumptions!$B$16,Assumptions!$B$17,IF((AL42)*AE42&gt;=Assumptions!$B$14,Assumptions!$B$15,0))))</f>
        <v>-464716.223749999</v>
      </c>
      <c r="AO42" s="47" t="n">
        <f aca="false">(AM42)*AE42-(((D42)+(AM42)*Assumptions!$B$4+IF(H42="Yes",Assumptions!$B$6*(D42),(AM42)*Assumptions!$B$5))*(1+Assumptions!$B$7*(Assumptions!$B$8*(IF(AM42&gt;AL42,Assumptions!$B$22,Assumptions!$B$21))*Assumptions!$B$9+Assumptions!$B$10))+(D42)*Assumptions!$B$11*(IF(AM42&gt;AL42,Assumptions!$B$22,Assumptions!$B$21))+(AM42)*AE42*(Assumptions!$B$12+Assumptions!$B$13+IF((AM42)*AE42&gt;=Assumptions!$B$16,Assumptions!$B$17,IF((AM42)*AE42&gt;=Assumptions!$B$14,Assumptions!$B$15,0))))</f>
        <v>118462.276750002</v>
      </c>
      <c r="AP42" s="47" t="n">
        <f aca="false">Assumptions!$B$7*(Q42+R42+S42)</f>
        <v>4473933.75</v>
      </c>
    </row>
    <row r="43" customFormat="false" ht="15" hidden="false" customHeight="false" outlineLevel="0" collapsed="false">
      <c r="A43" s="40" t="n">
        <v>41</v>
      </c>
      <c r="B43" s="40" t="s">
        <v>158</v>
      </c>
      <c r="C43" s="40" t="s">
        <v>102</v>
      </c>
      <c r="D43" s="41" t="n">
        <v>1600000</v>
      </c>
      <c r="E43" s="42" t="n">
        <v>6599</v>
      </c>
      <c r="F43" s="42" t="n">
        <v>3085</v>
      </c>
      <c r="G43" s="42"/>
      <c r="H43" s="43" t="s">
        <v>71</v>
      </c>
      <c r="I43" s="43" t="s">
        <v>71</v>
      </c>
      <c r="J43" s="43" t="s">
        <v>71</v>
      </c>
      <c r="K43" s="44" t="s">
        <v>159</v>
      </c>
      <c r="L43" s="45" t="n">
        <f aca="false">IF(AO43&gt;AN43,AM43,AL43)</f>
        <v>3394</v>
      </c>
      <c r="M43" s="40" t="str">
        <f aca="false">IF(AO43&gt;AN43,"Zoning estimate",IF(H43="Yes","Approved plans",IF(G43&gt;0,"Listing claim","110% old house")))</f>
        <v>110% old house</v>
      </c>
      <c r="N43" s="45" t="n">
        <f aca="false">IF(AO43&gt;AN43,IF(AM43&gt;AL43,Assumptions!$B$22,Assumptions!$B$21),Assumptions!$B$21)</f>
        <v>2</v>
      </c>
      <c r="O43" s="46" t="n">
        <f aca="false">(INDEX(Assumptions!$B$36:$B$48,MATCH(AK43,Assumptions!$A$36:$A$48,0))+IF(I43="Yes",Assumptions!$B$23,0)+IF(J43="Yes",Assumptions!$B$24,0))*(1+IF(UPPER(Assumptions!$B$31)="WORST",Assumptions!$B$28,IF(UPPER(Assumptions!$B$31)="BEST",Assumptions!$B$30,Assumptions!$B$29)))</f>
        <v>1375</v>
      </c>
      <c r="P43" s="47" t="n">
        <f aca="false">L43*O43</f>
        <v>4666750</v>
      </c>
      <c r="Q43" s="47" t="n">
        <f aca="false">D43</f>
        <v>1600000</v>
      </c>
      <c r="R43" s="47" t="n">
        <f aca="false">L43*Assumptions!$B$4</f>
        <v>2375800</v>
      </c>
      <c r="S43" s="47" t="n">
        <f aca="false">IF(H43="Yes",Assumptions!$B$6*(D43),(L43)*Assumptions!$B$5)</f>
        <v>254550</v>
      </c>
      <c r="T43" s="47" t="n">
        <f aca="false">AP43*(Assumptions!$B$8*N43*Assumptions!$B$9+Assumptions!$B$10)</f>
        <v>371213.2125</v>
      </c>
      <c r="U43" s="47" t="n">
        <f aca="false">Q43*Assumptions!$B$11*N43</f>
        <v>38400</v>
      </c>
      <c r="V43" s="47" t="n">
        <f aca="false">P43*(Assumptions!$B$12+Assumptions!$B$13)</f>
        <v>189470.05</v>
      </c>
      <c r="W43" s="47" t="n">
        <f aca="false">P43*IF(P43&gt;=Assumptions!$B$16,Assumptions!$B$17,IF(P43&gt;=Assumptions!$B$14,Assumptions!$B$15,0))</f>
        <v>0</v>
      </c>
      <c r="X43" s="48" t="n">
        <f aca="false">SUM(Q43:W43)</f>
        <v>4829433.2625</v>
      </c>
      <c r="Y43" s="48" t="n">
        <f aca="false">P43-X43</f>
        <v>-162683.2625</v>
      </c>
      <c r="Z43" s="49" t="n">
        <f aca="false">IF(X43=0,0,Y43/X43)</f>
        <v>-0.0336857874739086</v>
      </c>
      <c r="AA43" s="47" t="n">
        <f aca="false">MAX(0,(P43/(1+Assumptions!$B$27)-(L43*(Assumptions!$B$4+IF(H43="Yes",0,Assumptions!$B$5)))*(1+(Assumptions!$B$7*(Assumptions!$B$8*N43*Assumptions!$B$9+Assumptions!$B$10)))-P43*(Assumptions!$B$12+Assumptions!$B$13+IF(P43&gt;=Assumptions!$B$16,Assumptions!$B$17,IF(P43&gt;=Assumptions!$B$14,Assumptions!$B$15,0))))/((1+IF(H43="Yes",Assumptions!$B$6,0))*(1+(Assumptions!$B$7*(Assumptions!$B$8*N43*Assumptions!$B$9+Assumptions!$B$10)))+Assumptions!$B$11*N43))</f>
        <v>906148.158993362</v>
      </c>
      <c r="AB43" s="50" t="n">
        <f aca="false">IF(AA43&lt;=0,"no price works",D43/AA43)</f>
        <v>1.76571566594301</v>
      </c>
      <c r="AC43" s="46" t="n">
        <f aca="false">(INDEX(Assumptions!$B$36:$B$48,MATCH(AK43,Assumptions!$A$36:$A$48,0))+IF(I43="Yes",Assumptions!$B$23,0)+IF(J43="Yes",Assumptions!$B$24,0))*(1+Assumptions!$B$28)</f>
        <v>1250</v>
      </c>
      <c r="AD43" s="47" t="n">
        <f aca="false">(L43)*AC43-(((D43)+(L43)*Assumptions!$B$4+IF(H43="Yes",Assumptions!$B$6*(D43),(L43)*Assumptions!$B$5))*(1+Assumptions!$B$7*(Assumptions!$B$8*(N43)*Assumptions!$B$9+Assumptions!$B$10))+(D43)*Assumptions!$B$11*(N43)+(L43)*AC43*(Assumptions!$B$12+Assumptions!$B$13+IF((L43)*AC43&gt;=Assumptions!$B$16,Assumptions!$B$17,IF((L43)*AC43&gt;=Assumptions!$B$14,Assumptions!$B$15,0))))</f>
        <v>-569708.7125</v>
      </c>
      <c r="AE43" s="46" t="n">
        <f aca="false">(INDEX(Assumptions!$B$36:$B$48,MATCH(AK43,Assumptions!$A$36:$A$48,0))+IF(I43="Yes",Assumptions!$B$23,0)+IF(J43="Yes",Assumptions!$B$24,0))*(1+Assumptions!$B$29)</f>
        <v>1375</v>
      </c>
      <c r="AF43" s="47" t="n">
        <f aca="false">(L43)*AE43-(((D43)+(L43)*Assumptions!$B$4+IF(H43="Yes",Assumptions!$B$6*(D43),(L43)*Assumptions!$B$5))*(1+Assumptions!$B$7*(Assumptions!$B$8*(N43)*Assumptions!$B$9+Assumptions!$B$10))+(D43)*Assumptions!$B$11*(N43)+(L43)*AE43*(Assumptions!$B$12+Assumptions!$B$13+IF((L43)*AE43&gt;=Assumptions!$B$16,Assumptions!$B$17,IF((L43)*AE43&gt;=Assumptions!$B$14,Assumptions!$B$15,0))))</f>
        <v>-162683.2625</v>
      </c>
      <c r="AG43" s="46" t="n">
        <f aca="false">(INDEX(Assumptions!$B$36:$B$48,MATCH(AK43,Assumptions!$A$36:$A$48,0))+IF(I43="Yes",Assumptions!$B$23,0)+IF(J43="Yes",Assumptions!$B$24,0))*(1+Assumptions!$B$30)</f>
        <v>1500</v>
      </c>
      <c r="AH43" s="47" t="n">
        <f aca="false">(L43)*AG43-(((D43)+(L43)*Assumptions!$B$4+IF(H43="Yes",Assumptions!$B$6*(D43),(L43)*Assumptions!$B$5))*(1+Assumptions!$B$7*(Assumptions!$B$8*(N43)*Assumptions!$B$9+Assumptions!$B$10))+(D43)*Assumptions!$B$11*(N43)+(L43)*AG43*(Assumptions!$B$12+Assumptions!$B$13+IF((L43)*AG43&gt;=Assumptions!$B$16,Assumptions!$B$17,IF((L43)*AG43&gt;=Assumptions!$B$14,Assumptions!$B$15,0))))</f>
        <v>244342.1875</v>
      </c>
      <c r="AI43" s="47" t="n">
        <f aca="false">(L43)*AE43-(((D43)+(L43)*Assumptions!$B$25+IF(H43="Yes",Assumptions!$B$6*(D43),(L43)*Assumptions!$B$5))*(1+Assumptions!$B$7*(Assumptions!$B$8*(N43)*Assumptions!$B$9+Assumptions!$B$10))+(D43)*Assumptions!$B$11*(N43)+(L43)*AE43*(Assumptions!$B$12+Assumptions!$B$13+IF((L43)*AE43&gt;=Assumptions!$B$16,Assumptions!$B$17,IF((L43)*AE43&gt;=Assumptions!$B$14,Assumptions!$B$15,0))))</f>
        <v>21907.9125000006</v>
      </c>
      <c r="AJ43" s="47" t="n">
        <f aca="false">(L43)*AE43-(((D43)+(L43)*Assumptions!$B$26+IF(H43="Yes",Assumptions!$B$6*(D43),(L43)*Assumptions!$B$5))*(1+Assumptions!$B$7*(Assumptions!$B$8*(N43)*Assumptions!$B$9+Assumptions!$B$10))+(D43)*Assumptions!$B$11*(N43)+(L43)*AE43*(Assumptions!$B$12+Assumptions!$B$13+IF((L43)*AE43&gt;=Assumptions!$B$16,Assumptions!$B$17,IF((L43)*AE43&gt;=Assumptions!$B$14,Assumptions!$B$15,0))))</f>
        <v>206499.0875</v>
      </c>
      <c r="AK43" s="40" t="s">
        <v>104</v>
      </c>
      <c r="AL43" s="45" t="n">
        <f aca="false">IF(G43&gt;0,G43,ROUND(F43*Assumptions!$B$18,0))</f>
        <v>3394</v>
      </c>
      <c r="AM43" s="45" t="n">
        <f aca="false">IF(H43="Yes",AL43,MAX(AL43,MIN(Assumptions!$B$20,ROUND(E43*Assumptions!$B$19,0))))</f>
        <v>3394</v>
      </c>
      <c r="AN43" s="47" t="n">
        <f aca="false">(AL43)*AE43-(((D43)+(AL43)*Assumptions!$B$4+IF(H43="Yes",Assumptions!$B$6*(D43),(AL43)*Assumptions!$B$5))*(1+Assumptions!$B$7*(Assumptions!$B$8*(Assumptions!$B$21)*Assumptions!$B$9+Assumptions!$B$10))+(D43)*Assumptions!$B$11*(Assumptions!$B$21)+(AL43)*AE43*(Assumptions!$B$12+Assumptions!$B$13+IF((AL43)*AE43&gt;=Assumptions!$B$16,Assumptions!$B$17,IF((AL43)*AE43&gt;=Assumptions!$B$14,Assumptions!$B$15,0))))</f>
        <v>-162683.2625</v>
      </c>
      <c r="AO43" s="47" t="n">
        <f aca="false">(AM43)*AE43-(((D43)+(AM43)*Assumptions!$B$4+IF(H43="Yes",Assumptions!$B$6*(D43),(AM43)*Assumptions!$B$5))*(1+Assumptions!$B$7*(Assumptions!$B$8*(IF(AM43&gt;AL43,Assumptions!$B$22,Assumptions!$B$21))*Assumptions!$B$9+Assumptions!$B$10))+(D43)*Assumptions!$B$11*(IF(AM43&gt;AL43,Assumptions!$B$22,Assumptions!$B$21))+(AM43)*AE43*(Assumptions!$B$12+Assumptions!$B$13+IF((AM43)*AE43&gt;=Assumptions!$B$16,Assumptions!$B$17,IF((AM43)*AE43&gt;=Assumptions!$B$14,Assumptions!$B$15,0))))</f>
        <v>-162683.2625</v>
      </c>
      <c r="AP43" s="47" t="n">
        <f aca="false">Assumptions!$B$7*(Q43+R43+S43)</f>
        <v>2749727.5</v>
      </c>
    </row>
    <row r="44" customFormat="false" ht="15" hidden="false" customHeight="false" outlineLevel="0" collapsed="false">
      <c r="A44" s="40" t="n">
        <v>42</v>
      </c>
      <c r="B44" s="40" t="s">
        <v>160</v>
      </c>
      <c r="C44" s="40" t="s">
        <v>117</v>
      </c>
      <c r="D44" s="41" t="n">
        <v>1725000</v>
      </c>
      <c r="E44" s="42" t="n">
        <v>6902</v>
      </c>
      <c r="F44" s="42" t="n">
        <v>1802</v>
      </c>
      <c r="G44" s="42"/>
      <c r="H44" s="43" t="s">
        <v>71</v>
      </c>
      <c r="I44" s="43" t="s">
        <v>71</v>
      </c>
      <c r="J44" s="43" t="s">
        <v>71</v>
      </c>
      <c r="K44" s="44" t="s">
        <v>153</v>
      </c>
      <c r="L44" s="45" t="n">
        <f aca="false">IF(AO44&gt;AN44,AM44,AL44)</f>
        <v>2761</v>
      </c>
      <c r="M44" s="40" t="str">
        <f aca="false">IF(AO44&gt;AN44,"Zoning estimate",IF(H44="Yes","Approved plans",IF(G44&gt;0,"Listing claim","110% old house")))</f>
        <v>Zoning estimate</v>
      </c>
      <c r="N44" s="45" t="n">
        <f aca="false">IF(AO44&gt;AN44,IF(AM44&gt;AL44,Assumptions!$B$22,Assumptions!$B$21),Assumptions!$B$21)</f>
        <v>3</v>
      </c>
      <c r="O44" s="46" t="n">
        <f aca="false">(INDEX(Assumptions!$B$36:$B$48,MATCH(AK44,Assumptions!$A$36:$A$48,0))+IF(I44="Yes",Assumptions!$B$23,0)+IF(J44="Yes",Assumptions!$B$24,0))*(1+IF(UPPER(Assumptions!$B$31)="WORST",Assumptions!$B$28,IF(UPPER(Assumptions!$B$31)="BEST",Assumptions!$B$30,Assumptions!$B$29)))</f>
        <v>1540</v>
      </c>
      <c r="P44" s="47" t="n">
        <f aca="false">L44*O44</f>
        <v>4251940</v>
      </c>
      <c r="Q44" s="47" t="n">
        <f aca="false">D44</f>
        <v>1725000</v>
      </c>
      <c r="R44" s="47" t="n">
        <f aca="false">L44*Assumptions!$B$4</f>
        <v>1932700</v>
      </c>
      <c r="S44" s="47" t="n">
        <f aca="false">IF(H44="Yes",Assumptions!$B$6*(D44),(L44)*Assumptions!$B$5)</f>
        <v>207075</v>
      </c>
      <c r="T44" s="47" t="n">
        <f aca="false">AP44*(Assumptions!$B$8*N44*Assumptions!$B$9+Assumptions!$B$10)</f>
        <v>489860.23125</v>
      </c>
      <c r="U44" s="47" t="n">
        <f aca="false">Q44*Assumptions!$B$11*N44</f>
        <v>62100</v>
      </c>
      <c r="V44" s="47" t="n">
        <f aca="false">P44*(Assumptions!$B$12+Assumptions!$B$13)</f>
        <v>172628.764</v>
      </c>
      <c r="W44" s="47" t="n">
        <f aca="false">P44*IF(P44&gt;=Assumptions!$B$16,Assumptions!$B$17,IF(P44&gt;=Assumptions!$B$14,Assumptions!$B$15,0))</f>
        <v>0</v>
      </c>
      <c r="X44" s="48" t="n">
        <f aca="false">SUM(Q44:W44)</f>
        <v>4589363.99525</v>
      </c>
      <c r="Y44" s="48" t="n">
        <f aca="false">P44-X44</f>
        <v>-337423.99525</v>
      </c>
      <c r="Z44" s="49" t="n">
        <f aca="false">IF(X44=0,0,Y44/X44)</f>
        <v>-0.0735230405780047</v>
      </c>
      <c r="AA44" s="47" t="n">
        <f aca="false">MAX(0,(P44/(1+Assumptions!$B$27)-(L44*(Assumptions!$B$4+IF(H44="Yes",0,Assumptions!$B$5)))*(1+(Assumptions!$B$7*(Assumptions!$B$8*N44*Assumptions!$B$9+Assumptions!$B$10)))-P44*(Assumptions!$B$12+Assumptions!$B$13+IF(P44&gt;=Assumptions!$B$16,Assumptions!$B$17,IF(P44&gt;=Assumptions!$B$14,Assumptions!$B$15,0))))/((1+IF(H44="Yes",Assumptions!$B$6,0))*(1+(Assumptions!$B$7*(Assumptions!$B$8*N44*Assumptions!$B$9+Assumptions!$B$10)))+Assumptions!$B$11*N44))</f>
        <v>957831.765370702</v>
      </c>
      <c r="AB44" s="50" t="n">
        <f aca="false">IF(AA44&lt;=0,"no price works",D44/AA44)</f>
        <v>1.80094256879483</v>
      </c>
      <c r="AC44" s="46" t="n">
        <f aca="false">(INDEX(Assumptions!$B$36:$B$48,MATCH(AK44,Assumptions!$A$36:$A$48,0))+IF(I44="Yes",Assumptions!$B$23,0)+IF(J44="Yes",Assumptions!$B$24,0))*(1+Assumptions!$B$28)</f>
        <v>1400</v>
      </c>
      <c r="AD44" s="47" t="n">
        <f aca="false">(L44)*AC44-(((D44)+(L44)*Assumptions!$B$4+IF(H44="Yes",Assumptions!$B$6*(D44),(L44)*Assumptions!$B$5))*(1+Assumptions!$B$7*(Assumptions!$B$8*(N44)*Assumptions!$B$9+Assumptions!$B$10))+(D44)*Assumptions!$B$11*(N44)+(L44)*AC44*(Assumptions!$B$12+Assumptions!$B$13+IF((L44)*AC44&gt;=Assumptions!$B$16,Assumptions!$B$17,IF((L44)*AC44&gt;=Assumptions!$B$14,Assumptions!$B$15,0))))</f>
        <v>-708270.47125</v>
      </c>
      <c r="AE44" s="46" t="n">
        <f aca="false">(INDEX(Assumptions!$B$36:$B$48,MATCH(AK44,Assumptions!$A$36:$A$48,0))+IF(I44="Yes",Assumptions!$B$23,0)+IF(J44="Yes",Assumptions!$B$24,0))*(1+Assumptions!$B$29)</f>
        <v>1540</v>
      </c>
      <c r="AF44" s="47" t="n">
        <f aca="false">(L44)*AE44-(((D44)+(L44)*Assumptions!$B$4+IF(H44="Yes",Assumptions!$B$6*(D44),(L44)*Assumptions!$B$5))*(1+Assumptions!$B$7*(Assumptions!$B$8*(N44)*Assumptions!$B$9+Assumptions!$B$10))+(D44)*Assumptions!$B$11*(N44)+(L44)*AE44*(Assumptions!$B$12+Assumptions!$B$13+IF((L44)*AE44&gt;=Assumptions!$B$16,Assumptions!$B$17,IF((L44)*AE44&gt;=Assumptions!$B$14,Assumptions!$B$15,0))))</f>
        <v>-337423.995249999</v>
      </c>
      <c r="AG44" s="46" t="n">
        <f aca="false">(INDEX(Assumptions!$B$36:$B$48,MATCH(AK44,Assumptions!$A$36:$A$48,0))+IF(I44="Yes",Assumptions!$B$23,0)+IF(J44="Yes",Assumptions!$B$24,0))*(1+Assumptions!$B$30)</f>
        <v>1680</v>
      </c>
      <c r="AH44" s="47" t="n">
        <f aca="false">(L44)*AG44-(((D44)+(L44)*Assumptions!$B$4+IF(H44="Yes",Assumptions!$B$6*(D44),(L44)*Assumptions!$B$5))*(1+Assumptions!$B$7*(Assumptions!$B$8*(N44)*Assumptions!$B$9+Assumptions!$B$10))+(D44)*Assumptions!$B$11*(N44)+(L44)*AG44*(Assumptions!$B$12+Assumptions!$B$13+IF((L44)*AG44&gt;=Assumptions!$B$16,Assumptions!$B$17,IF((L44)*AG44&gt;=Assumptions!$B$14,Assumptions!$B$15,0))))</f>
        <v>33422.480750001</v>
      </c>
      <c r="AI44" s="47" t="n">
        <f aca="false">(L44)*AE44-(((D44)+(L44)*Assumptions!$B$25+IF(H44="Yes",Assumptions!$B$6*(D44),(L44)*Assumptions!$B$5))*(1+Assumptions!$B$7*(Assumptions!$B$8*(N44)*Assumptions!$B$9+Assumptions!$B$10))+(D44)*Assumptions!$B$11*(N44)+(L44)*AE44*(Assumptions!$B$12+Assumptions!$B$13+IF((L44)*AE44&gt;=Assumptions!$B$16,Assumptions!$B$17,IF((L44)*AE44&gt;=Assumptions!$B$14,Assumptions!$B$15,0))))</f>
        <v>-181876.157749999</v>
      </c>
      <c r="AJ44" s="47" t="n">
        <f aca="false">(L44)*AE44-(((D44)+(L44)*Assumptions!$B$26+IF(H44="Yes",Assumptions!$B$6*(D44),(L44)*Assumptions!$B$5))*(1+Assumptions!$B$7*(Assumptions!$B$8*(N44)*Assumptions!$B$9+Assumptions!$B$10))+(D44)*Assumptions!$B$11*(N44)+(L44)*AE44*(Assumptions!$B$12+Assumptions!$B$13+IF((L44)*AE44&gt;=Assumptions!$B$16,Assumptions!$B$17,IF((L44)*AE44&gt;=Assumptions!$B$14,Assumptions!$B$15,0))))</f>
        <v>-26328.3202499989</v>
      </c>
      <c r="AK44" s="40" t="s">
        <v>119</v>
      </c>
      <c r="AL44" s="45" t="n">
        <f aca="false">IF(G44&gt;0,G44,ROUND(F44*Assumptions!$B$18,0))</f>
        <v>1982</v>
      </c>
      <c r="AM44" s="45" t="n">
        <f aca="false">IF(H44="Yes",AL44,MAX(AL44,MIN(Assumptions!$B$20,ROUND(E44*Assumptions!$B$19,0))))</f>
        <v>2761</v>
      </c>
      <c r="AN44" s="47" t="n">
        <f aca="false">(AL44)*AE44-(((D44)+(AL44)*Assumptions!$B$4+IF(H44="Yes",Assumptions!$B$6*(D44),(AL44)*Assumptions!$B$5))*(1+Assumptions!$B$7*(Assumptions!$B$8*(Assumptions!$B$21)*Assumptions!$B$9+Assumptions!$B$10))+(D44)*Assumptions!$B$11*(Assumptions!$B$21)+(AL44)*AE44*(Assumptions!$B$12+Assumptions!$B$13+IF((AL44)*AE44&gt;=Assumptions!$B$16,Assumptions!$B$17,IF((AL44)*AE44&gt;=Assumptions!$B$14,Assumptions!$B$15,0))))</f>
        <v>-660249.7055</v>
      </c>
      <c r="AO44" s="47" t="n">
        <f aca="false">(AM44)*AE44-(((D44)+(AM44)*Assumptions!$B$4+IF(H44="Yes",Assumptions!$B$6*(D44),(AM44)*Assumptions!$B$5))*(1+Assumptions!$B$7*(Assumptions!$B$8*(IF(AM44&gt;AL44,Assumptions!$B$22,Assumptions!$B$21))*Assumptions!$B$9+Assumptions!$B$10))+(D44)*Assumptions!$B$11*(IF(AM44&gt;AL44,Assumptions!$B$22,Assumptions!$B$21))+(AM44)*AE44*(Assumptions!$B$12+Assumptions!$B$13+IF((AM44)*AE44&gt;=Assumptions!$B$16,Assumptions!$B$17,IF((AM44)*AE44&gt;=Assumptions!$B$14,Assumptions!$B$15,0))))</f>
        <v>-337423.995249999</v>
      </c>
      <c r="AP44" s="47" t="n">
        <f aca="false">Assumptions!$B$7*(Q44+R44+S44)</f>
        <v>2512103.75</v>
      </c>
    </row>
    <row r="45" customFormat="false" ht="23.85" hidden="false" customHeight="false" outlineLevel="0" collapsed="false">
      <c r="A45" s="40" t="n">
        <v>43</v>
      </c>
      <c r="B45" s="40" t="s">
        <v>161</v>
      </c>
      <c r="C45" s="40" t="s">
        <v>102</v>
      </c>
      <c r="D45" s="41" t="n">
        <v>2790000</v>
      </c>
      <c r="E45" s="42" t="n">
        <v>14461</v>
      </c>
      <c r="F45" s="42" t="n">
        <v>1990</v>
      </c>
      <c r="G45" s="42" t="n">
        <v>7132</v>
      </c>
      <c r="H45" s="43" t="s">
        <v>71</v>
      </c>
      <c r="I45" s="43" t="s">
        <v>80</v>
      </c>
      <c r="J45" s="43" t="s">
        <v>71</v>
      </c>
      <c r="K45" s="44" t="s">
        <v>162</v>
      </c>
      <c r="L45" s="45" t="n">
        <f aca="false">IF(AO45&gt;AN45,AM45,AL45)</f>
        <v>7132</v>
      </c>
      <c r="M45" s="40" t="str">
        <f aca="false">IF(AO45&gt;AN45,"Zoning estimate",IF(H45="Yes","Approved plans",IF(G45&gt;0,"Listing claim","110% old house")))</f>
        <v>Listing claim</v>
      </c>
      <c r="N45" s="45" t="n">
        <f aca="false">IF(AO45&gt;AN45,IF(AM45&gt;AL45,Assumptions!$B$22,Assumptions!$B$21),Assumptions!$B$21)</f>
        <v>2</v>
      </c>
      <c r="O45" s="46" t="n">
        <f aca="false">(INDEX(Assumptions!$B$36:$B$48,MATCH(AK45,Assumptions!$A$36:$A$48,0))+IF(I45="Yes",Assumptions!$B$23,0)+IF(J45="Yes",Assumptions!$B$24,0))*(1+IF(UPPER(Assumptions!$B$31)="WORST",Assumptions!$B$28,IF(UPPER(Assumptions!$B$31)="BEST",Assumptions!$B$30,Assumptions!$B$29)))</f>
        <v>1485</v>
      </c>
      <c r="P45" s="47" t="n">
        <f aca="false">L45*O45</f>
        <v>10591020</v>
      </c>
      <c r="Q45" s="47" t="n">
        <f aca="false">D45</f>
        <v>2790000</v>
      </c>
      <c r="R45" s="47" t="n">
        <f aca="false">L45*Assumptions!$B$4</f>
        <v>4992400</v>
      </c>
      <c r="S45" s="47" t="n">
        <f aca="false">IF(H45="Yes",Assumptions!$B$6*(D45),(L45)*Assumptions!$B$5)</f>
        <v>534900</v>
      </c>
      <c r="T45" s="47" t="n">
        <f aca="false">AP45*(Assumptions!$B$8*N45*Assumptions!$B$9+Assumptions!$B$10)</f>
        <v>729843.075</v>
      </c>
      <c r="U45" s="47" t="n">
        <f aca="false">Q45*Assumptions!$B$11*N45</f>
        <v>66960</v>
      </c>
      <c r="V45" s="47" t="n">
        <f aca="false">P45*(Assumptions!$B$12+Assumptions!$B$13)</f>
        <v>429995.412</v>
      </c>
      <c r="W45" s="47" t="n">
        <f aca="false">P45*IF(P45&gt;=Assumptions!$B$16,Assumptions!$B$17,IF(P45&gt;=Assumptions!$B$14,Assumptions!$B$15,0))</f>
        <v>423640.8</v>
      </c>
      <c r="X45" s="48" t="n">
        <f aca="false">SUM(Q45:W45)</f>
        <v>9967739.287</v>
      </c>
      <c r="Y45" s="48" t="n">
        <f aca="false">P45-X45</f>
        <v>623280.713000001</v>
      </c>
      <c r="Z45" s="49" t="n">
        <f aca="false">IF(X45=0,0,Y45/X45)</f>
        <v>0.0625297968831196</v>
      </c>
      <c r="AA45" s="47" t="n">
        <f aca="false">MAX(0,(P45/(1+Assumptions!$B$27)-(L45*(Assumptions!$B$4+IF(H45="Yes",0,Assumptions!$B$5)))*(1+(Assumptions!$B$7*(Assumptions!$B$8*N45*Assumptions!$B$9+Assumptions!$B$10)))-P45*(Assumptions!$B$12+Assumptions!$B$13+IF(P45&gt;=Assumptions!$B$16,Assumptions!$B$17,IF(P45&gt;=Assumptions!$B$14,Assumptions!$B$15,0))))/((1+IF(H45="Yes",Assumptions!$B$6,0))*(1+(Assumptions!$B$7*(Assumptions!$B$8*N45*Assumptions!$B$9+Assumptions!$B$10)))+Assumptions!$B$11*N45))</f>
        <v>2108051.11013776</v>
      </c>
      <c r="AB45" s="50" t="n">
        <f aca="false">IF(AA45&lt;=0,"no price works",D45/AA45)</f>
        <v>1.32349732251875</v>
      </c>
      <c r="AC45" s="46" t="n">
        <f aca="false">(INDEX(Assumptions!$B$36:$B$48,MATCH(AK45,Assumptions!$A$36:$A$48,0))+IF(I45="Yes",Assumptions!$B$23,0)+IF(J45="Yes",Assumptions!$B$24,0))*(1+Assumptions!$B$28)</f>
        <v>1350</v>
      </c>
      <c r="AD45" s="47" t="n">
        <f aca="false">(L45)*AC45-(((D45)+(L45)*Assumptions!$B$4+IF(H45="Yes",Assumptions!$B$6*(D45),(L45)*Assumptions!$B$5))*(1+Assumptions!$B$7*(Assumptions!$B$8*(N45)*Assumptions!$B$9+Assumptions!$B$10))+(D45)*Assumptions!$B$11*(N45)+(L45)*AC45*(Assumptions!$B$12+Assumptions!$B$13+IF((L45)*AC45&gt;=Assumptions!$B$16,Assumptions!$B$17,IF((L45)*AC45&gt;=Assumptions!$B$14,Assumptions!$B$15,0))))</f>
        <v>-261935.994999999</v>
      </c>
      <c r="AE45" s="46" t="n">
        <f aca="false">(INDEX(Assumptions!$B$36:$B$48,MATCH(AK45,Assumptions!$A$36:$A$48,0))+IF(I45="Yes",Assumptions!$B$23,0)+IF(J45="Yes",Assumptions!$B$24,0))*(1+Assumptions!$B$29)</f>
        <v>1485</v>
      </c>
      <c r="AF45" s="47" t="n">
        <f aca="false">(L45)*AE45-(((D45)+(L45)*Assumptions!$B$4+IF(H45="Yes",Assumptions!$B$6*(D45),(L45)*Assumptions!$B$5))*(1+Assumptions!$B$7*(Assumptions!$B$8*(N45)*Assumptions!$B$9+Assumptions!$B$10))+(D45)*Assumptions!$B$11*(N45)+(L45)*AE45*(Assumptions!$B$12+Assumptions!$B$13+IF((L45)*AE45&gt;=Assumptions!$B$16,Assumptions!$B$17,IF((L45)*AE45&gt;=Assumptions!$B$14,Assumptions!$B$15,0))))</f>
        <v>623280.713000003</v>
      </c>
      <c r="AG45" s="46" t="n">
        <f aca="false">(INDEX(Assumptions!$B$36:$B$48,MATCH(AK45,Assumptions!$A$36:$A$48,0))+IF(I45="Yes",Assumptions!$B$23,0)+IF(J45="Yes",Assumptions!$B$24,0))*(1+Assumptions!$B$30)</f>
        <v>1620</v>
      </c>
      <c r="AH45" s="47" t="n">
        <f aca="false">(L45)*AG45-(((D45)+(L45)*Assumptions!$B$4+IF(H45="Yes",Assumptions!$B$6*(D45),(L45)*Assumptions!$B$5))*(1+Assumptions!$B$7*(Assumptions!$B$8*(N45)*Assumptions!$B$9+Assumptions!$B$10))+(D45)*Assumptions!$B$11*(N45)+(L45)*AG45*(Assumptions!$B$12+Assumptions!$B$13+IF((L45)*AG45&gt;=Assumptions!$B$16,Assumptions!$B$17,IF((L45)*AG45&gt;=Assumptions!$B$14,Assumptions!$B$15,0))))</f>
        <v>1335189.821</v>
      </c>
      <c r="AI45" s="47" t="n">
        <f aca="false">(L45)*AE45-(((D45)+(L45)*Assumptions!$B$25+IF(H45="Yes",Assumptions!$B$6*(D45),(L45)*Assumptions!$B$5))*(1+Assumptions!$B$7*(Assumptions!$B$8*(N45)*Assumptions!$B$9+Assumptions!$B$10))+(D45)*Assumptions!$B$11*(N45)+(L45)*AE45*(Assumptions!$B$12+Assumptions!$B$13+IF((L45)*AE45&gt;=Assumptions!$B$16,Assumptions!$B$17,IF((L45)*AE45&gt;=Assumptions!$B$14,Assumptions!$B$15,0))))</f>
        <v>1011172.363</v>
      </c>
      <c r="AJ45" s="47" t="n">
        <f aca="false">(L45)*AE45-(((D45)+(L45)*Assumptions!$B$26+IF(H45="Yes",Assumptions!$B$6*(D45),(L45)*Assumptions!$B$5))*(1+Assumptions!$B$7*(Assumptions!$B$8*(N45)*Assumptions!$B$9+Assumptions!$B$10))+(D45)*Assumptions!$B$11*(N45)+(L45)*AE45*(Assumptions!$B$12+Assumptions!$B$13+IF((L45)*AE45&gt;=Assumptions!$B$16,Assumptions!$B$17,IF((L45)*AE45&gt;=Assumptions!$B$14,Assumptions!$B$15,0))))</f>
        <v>1399064.013</v>
      </c>
      <c r="AK45" s="40" t="s">
        <v>104</v>
      </c>
      <c r="AL45" s="45" t="n">
        <f aca="false">IF(G45&gt;0,G45,ROUND(F45*Assumptions!$B$18,0))</f>
        <v>7132</v>
      </c>
      <c r="AM45" s="45" t="n">
        <f aca="false">IF(H45="Yes",AL45,MAX(AL45,MIN(Assumptions!$B$20,ROUND(E45*Assumptions!$B$19,0))))</f>
        <v>7132</v>
      </c>
      <c r="AN45" s="47" t="n">
        <f aca="false">(AL45)*AE45-(((D45)+(AL45)*Assumptions!$B$4+IF(H45="Yes",Assumptions!$B$6*(D45),(AL45)*Assumptions!$B$5))*(1+Assumptions!$B$7*(Assumptions!$B$8*(Assumptions!$B$21)*Assumptions!$B$9+Assumptions!$B$10))+(D45)*Assumptions!$B$11*(Assumptions!$B$21)+(AL45)*AE45*(Assumptions!$B$12+Assumptions!$B$13+IF((AL45)*AE45&gt;=Assumptions!$B$16,Assumptions!$B$17,IF((AL45)*AE45&gt;=Assumptions!$B$14,Assumptions!$B$15,0))))</f>
        <v>623280.713000003</v>
      </c>
      <c r="AO45" s="47" t="n">
        <f aca="false">(AM45)*AE45-(((D45)+(AM45)*Assumptions!$B$4+IF(H45="Yes",Assumptions!$B$6*(D45),(AM45)*Assumptions!$B$5))*(1+Assumptions!$B$7*(Assumptions!$B$8*(IF(AM45&gt;AL45,Assumptions!$B$22,Assumptions!$B$21))*Assumptions!$B$9+Assumptions!$B$10))+(D45)*Assumptions!$B$11*(IF(AM45&gt;AL45,Assumptions!$B$22,Assumptions!$B$21))+(AM45)*AE45*(Assumptions!$B$12+Assumptions!$B$13+IF((AM45)*AE45&gt;=Assumptions!$B$16,Assumptions!$B$17,IF((AM45)*AE45&gt;=Assumptions!$B$14,Assumptions!$B$15,0))))</f>
        <v>623280.713000003</v>
      </c>
      <c r="AP45" s="47" t="n">
        <f aca="false">Assumptions!$B$7*(Q45+R45+S45)</f>
        <v>5406245</v>
      </c>
    </row>
    <row r="46" customFormat="false" ht="15" hidden="false" customHeight="false" outlineLevel="0" collapsed="false">
      <c r="A46" s="40" t="n">
        <v>44</v>
      </c>
      <c r="B46" s="40" t="s">
        <v>163</v>
      </c>
      <c r="C46" s="40" t="s">
        <v>126</v>
      </c>
      <c r="D46" s="41" t="n">
        <v>2750000</v>
      </c>
      <c r="E46" s="42" t="n">
        <v>9327</v>
      </c>
      <c r="F46" s="42" t="n">
        <v>5328</v>
      </c>
      <c r="G46" s="42"/>
      <c r="H46" s="43" t="s">
        <v>71</v>
      </c>
      <c r="I46" s="43" t="s">
        <v>71</v>
      </c>
      <c r="J46" s="43" t="s">
        <v>71</v>
      </c>
      <c r="K46" s="44"/>
      <c r="L46" s="45" t="n">
        <f aca="false">IF(AO46&gt;AN46,AM46,AL46)</f>
        <v>5861</v>
      </c>
      <c r="M46" s="40" t="str">
        <f aca="false">IF(AO46&gt;AN46,"Zoning estimate",IF(H46="Yes","Approved plans",IF(G46&gt;0,"Listing claim","110% old house")))</f>
        <v>110% old house</v>
      </c>
      <c r="N46" s="45" t="n">
        <f aca="false">IF(AO46&gt;AN46,IF(AM46&gt;AL46,Assumptions!$B$22,Assumptions!$B$21),Assumptions!$B$21)</f>
        <v>2</v>
      </c>
      <c r="O46" s="46" t="n">
        <f aca="false">(INDEX(Assumptions!$B$36:$B$48,MATCH(AK46,Assumptions!$A$36:$A$48,0))+IF(I46="Yes",Assumptions!$B$23,0)+IF(J46="Yes",Assumptions!$B$24,0))*(1+IF(UPPER(Assumptions!$B$31)="WORST",Assumptions!$B$28,IF(UPPER(Assumptions!$B$31)="BEST",Assumptions!$B$30,Assumptions!$B$29)))</f>
        <v>1430</v>
      </c>
      <c r="P46" s="47" t="n">
        <f aca="false">L46*O46</f>
        <v>8381230</v>
      </c>
      <c r="Q46" s="47" t="n">
        <f aca="false">D46</f>
        <v>2750000</v>
      </c>
      <c r="R46" s="47" t="n">
        <f aca="false">L46*Assumptions!$B$4</f>
        <v>4102700</v>
      </c>
      <c r="S46" s="47" t="n">
        <f aca="false">IF(H46="Yes",Assumptions!$B$6*(D46),(L46)*Assumptions!$B$5)</f>
        <v>439575</v>
      </c>
      <c r="T46" s="47" t="n">
        <f aca="false">AP46*(Assumptions!$B$8*N46*Assumptions!$B$9+Assumptions!$B$10)</f>
        <v>639897.13125</v>
      </c>
      <c r="U46" s="47" t="n">
        <f aca="false">Q46*Assumptions!$B$11*N46</f>
        <v>66000</v>
      </c>
      <c r="V46" s="47" t="n">
        <f aca="false">P46*(Assumptions!$B$12+Assumptions!$B$13)</f>
        <v>340277.938</v>
      </c>
      <c r="W46" s="47" t="n">
        <f aca="false">P46*IF(P46&gt;=Assumptions!$B$16,Assumptions!$B$17,IF(P46&gt;=Assumptions!$B$14,Assumptions!$B$15,0))</f>
        <v>335249.2</v>
      </c>
      <c r="X46" s="48" t="n">
        <f aca="false">SUM(Q46:W46)</f>
        <v>8673699.26925</v>
      </c>
      <c r="Y46" s="48" t="n">
        <f aca="false">P46-X46</f>
        <v>-292469.269249999</v>
      </c>
      <c r="Z46" s="49" t="n">
        <f aca="false">IF(X46=0,0,Y46/X46)</f>
        <v>-0.0337190926467627</v>
      </c>
      <c r="AA46" s="47" t="n">
        <f aca="false">MAX(0,(P46/(1+Assumptions!$B$27)-(L46*(Assumptions!$B$4+IF(H46="Yes",0,Assumptions!$B$5)))*(1+(Assumptions!$B$7*(Assumptions!$B$8*N46*Assumptions!$B$9+Assumptions!$B$10)))-P46*(Assumptions!$B$12+Assumptions!$B$13+IF(P46&gt;=Assumptions!$B$16,Assumptions!$B$17,IF(P46&gt;=Assumptions!$B$14,Assumptions!$B$15,0))))/((1+IF(H46="Yes",Assumptions!$B$6,0))*(1+(Assumptions!$B$7*(Assumptions!$B$8*N46*Assumptions!$B$9+Assumptions!$B$10)))+Assumptions!$B$11*N46))</f>
        <v>1503610.80972028</v>
      </c>
      <c r="AB46" s="50" t="n">
        <f aca="false">IF(AA46&lt;=0,"no price works",D46/AA46)</f>
        <v>1.82893071945365</v>
      </c>
      <c r="AC46" s="46" t="n">
        <f aca="false">(INDEX(Assumptions!$B$36:$B$48,MATCH(AK46,Assumptions!$A$36:$A$48,0))+IF(I46="Yes",Assumptions!$B$23,0)+IF(J46="Yes",Assumptions!$B$24,0))*(1+Assumptions!$B$28)</f>
        <v>1300</v>
      </c>
      <c r="AD46" s="47" t="n">
        <f aca="false">(L46)*AC46-(((D46)+(L46)*Assumptions!$B$4+IF(H46="Yes",Assumptions!$B$6*(D46),(L46)*Assumptions!$B$5))*(1+Assumptions!$B$7*(Assumptions!$B$8*(N46)*Assumptions!$B$9+Assumptions!$B$10))+(D46)*Assumptions!$B$11*(N46)+(L46)*AC46*(Assumptions!$B$12+Assumptions!$B$13+IF((L46)*AC46&gt;=Assumptions!$B$16,Assumptions!$B$17,IF((L46)*AC46&gt;=Assumptions!$B$14,Assumptions!$B$15,0))))</f>
        <v>-992987.71125</v>
      </c>
      <c r="AE46" s="46" t="n">
        <f aca="false">(INDEX(Assumptions!$B$36:$B$48,MATCH(AK46,Assumptions!$A$36:$A$48,0))+IF(I46="Yes",Assumptions!$B$23,0)+IF(J46="Yes",Assumptions!$B$24,0))*(1+Assumptions!$B$29)</f>
        <v>1430</v>
      </c>
      <c r="AF46" s="47" t="n">
        <f aca="false">(L46)*AE46-(((D46)+(L46)*Assumptions!$B$4+IF(H46="Yes",Assumptions!$B$6*(D46),(L46)*Assumptions!$B$5))*(1+Assumptions!$B$7*(Assumptions!$B$8*(N46)*Assumptions!$B$9+Assumptions!$B$10))+(D46)*Assumptions!$B$11*(N46)+(L46)*AE46*(Assumptions!$B$12+Assumptions!$B$13+IF((L46)*AE46&gt;=Assumptions!$B$16,Assumptions!$B$17,IF((L46)*AE46&gt;=Assumptions!$B$14,Assumptions!$B$15,0))))</f>
        <v>-292469.269249999</v>
      </c>
      <c r="AG46" s="46" t="n">
        <f aca="false">(INDEX(Assumptions!$B$36:$B$48,MATCH(AK46,Assumptions!$A$36:$A$48,0))+IF(I46="Yes",Assumptions!$B$23,0)+IF(J46="Yes",Assumptions!$B$24,0))*(1+Assumptions!$B$30)</f>
        <v>1560</v>
      </c>
      <c r="AH46" s="47" t="n">
        <f aca="false">(L46)*AG46-(((D46)+(L46)*Assumptions!$B$4+IF(H46="Yes",Assumptions!$B$6*(D46),(L46)*Assumptions!$B$5))*(1+Assumptions!$B$7*(Assumptions!$B$8*(N46)*Assumptions!$B$9+Assumptions!$B$10))+(D46)*Assumptions!$B$11*(N46)+(L46)*AG46*(Assumptions!$B$12+Assumptions!$B$13+IF((L46)*AG46&gt;=Assumptions!$B$16,Assumptions!$B$17,IF((L46)*AG46&gt;=Assumptions!$B$14,Assumptions!$B$15,0))))</f>
        <v>408049.17275</v>
      </c>
      <c r="AI46" s="47" t="n">
        <f aca="false">(L46)*AE46-(((D46)+(L46)*Assumptions!$B$25+IF(H46="Yes",Assumptions!$B$6*(D46),(L46)*Assumptions!$B$5))*(1+Assumptions!$B$7*(Assumptions!$B$8*(N46)*Assumptions!$B$9+Assumptions!$B$10))+(D46)*Assumptions!$B$11*(N46)+(L46)*AE46*(Assumptions!$B$12+Assumptions!$B$13+IF((L46)*AE46&gt;=Assumptions!$B$16,Assumptions!$B$17,IF((L46)*AE46&gt;=Assumptions!$B$14,Assumptions!$B$15,0))))</f>
        <v>26295.8682500003</v>
      </c>
      <c r="AJ46" s="47" t="n">
        <f aca="false">(L46)*AE46-(((D46)+(L46)*Assumptions!$B$26+IF(H46="Yes",Assumptions!$B$6*(D46),(L46)*Assumptions!$B$5))*(1+Assumptions!$B$7*(Assumptions!$B$8*(N46)*Assumptions!$B$9+Assumptions!$B$10))+(D46)*Assumptions!$B$11*(N46)+(L46)*AE46*(Assumptions!$B$12+Assumptions!$B$13+IF((L46)*AE46&gt;=Assumptions!$B$16,Assumptions!$B$17,IF((L46)*AE46&gt;=Assumptions!$B$14,Assumptions!$B$15,0))))</f>
        <v>345061.005750001</v>
      </c>
      <c r="AK46" s="40" t="s">
        <v>128</v>
      </c>
      <c r="AL46" s="45" t="n">
        <f aca="false">IF(G46&gt;0,G46,ROUND(F46*Assumptions!$B$18,0))</f>
        <v>5861</v>
      </c>
      <c r="AM46" s="45" t="n">
        <f aca="false">IF(H46="Yes",AL46,MAX(AL46,MIN(Assumptions!$B$20,ROUND(E46*Assumptions!$B$19,0))))</f>
        <v>5861</v>
      </c>
      <c r="AN46" s="47" t="n">
        <f aca="false">(AL46)*AE46-(((D46)+(AL46)*Assumptions!$B$4+IF(H46="Yes",Assumptions!$B$6*(D46),(AL46)*Assumptions!$B$5))*(1+Assumptions!$B$7*(Assumptions!$B$8*(Assumptions!$B$21)*Assumptions!$B$9+Assumptions!$B$10))+(D46)*Assumptions!$B$11*(Assumptions!$B$21)+(AL46)*AE46*(Assumptions!$B$12+Assumptions!$B$13+IF((AL46)*AE46&gt;=Assumptions!$B$16,Assumptions!$B$17,IF((AL46)*AE46&gt;=Assumptions!$B$14,Assumptions!$B$15,0))))</f>
        <v>-292469.269249999</v>
      </c>
      <c r="AO46" s="47" t="n">
        <f aca="false">(AM46)*AE46-(((D46)+(AM46)*Assumptions!$B$4+IF(H46="Yes",Assumptions!$B$6*(D46),(AM46)*Assumptions!$B$5))*(1+Assumptions!$B$7*(Assumptions!$B$8*(IF(AM46&gt;AL46,Assumptions!$B$22,Assumptions!$B$21))*Assumptions!$B$9+Assumptions!$B$10))+(D46)*Assumptions!$B$11*(IF(AM46&gt;AL46,Assumptions!$B$22,Assumptions!$B$21))+(AM46)*AE46*(Assumptions!$B$12+Assumptions!$B$13+IF((AM46)*AE46&gt;=Assumptions!$B$16,Assumptions!$B$17,IF((AM46)*AE46&gt;=Assumptions!$B$14,Assumptions!$B$15,0))))</f>
        <v>-292469.269249999</v>
      </c>
      <c r="AP46" s="47" t="n">
        <f aca="false">Assumptions!$B$7*(Q46+R46+S46)</f>
        <v>4739978.75</v>
      </c>
    </row>
    <row r="47" customFormat="false" ht="15" hidden="false" customHeight="false" outlineLevel="0" collapsed="false">
      <c r="A47" s="40" t="n">
        <v>45</v>
      </c>
      <c r="B47" s="40" t="s">
        <v>164</v>
      </c>
      <c r="C47" s="40" t="s">
        <v>75</v>
      </c>
      <c r="D47" s="41" t="n">
        <v>1699999</v>
      </c>
      <c r="E47" s="42" t="n">
        <v>6507</v>
      </c>
      <c r="F47" s="42" t="n">
        <v>1907</v>
      </c>
      <c r="G47" s="42"/>
      <c r="H47" s="43" t="s">
        <v>71</v>
      </c>
      <c r="I47" s="43" t="s">
        <v>71</v>
      </c>
      <c r="J47" s="43" t="s">
        <v>71</v>
      </c>
      <c r="K47" s="44"/>
      <c r="L47" s="45" t="n">
        <f aca="false">IF(AO47&gt;AN47,AM47,AL47)</f>
        <v>2603</v>
      </c>
      <c r="M47" s="40" t="str">
        <f aca="false">IF(AO47&gt;AN47,"Zoning estimate",IF(H47="Yes","Approved plans",IF(G47&gt;0,"Listing claim","110% old house")))</f>
        <v>Zoning estimate</v>
      </c>
      <c r="N47" s="45" t="n">
        <f aca="false">IF(AO47&gt;AN47,IF(AM47&gt;AL47,Assumptions!$B$22,Assumptions!$B$21),Assumptions!$B$21)</f>
        <v>3</v>
      </c>
      <c r="O47" s="46" t="n">
        <f aca="false">(INDEX(Assumptions!$B$36:$B$48,MATCH(AK47,Assumptions!$A$36:$A$48,0))+IF(I47="Yes",Assumptions!$B$23,0)+IF(J47="Yes",Assumptions!$B$24,0))*(1+IF(UPPER(Assumptions!$B$31)="WORST",Assumptions!$B$28,IF(UPPER(Assumptions!$B$31)="BEST",Assumptions!$B$30,Assumptions!$B$29)))</f>
        <v>1540</v>
      </c>
      <c r="P47" s="47" t="n">
        <f aca="false">L47*O47</f>
        <v>4008620</v>
      </c>
      <c r="Q47" s="47" t="n">
        <f aca="false">D47</f>
        <v>1699999</v>
      </c>
      <c r="R47" s="47" t="n">
        <f aca="false">L47*Assumptions!$B$4</f>
        <v>1822100</v>
      </c>
      <c r="S47" s="47" t="n">
        <f aca="false">IF(H47="Yes",Assumptions!$B$6*(D47),(L47)*Assumptions!$B$5)</f>
        <v>195225</v>
      </c>
      <c r="T47" s="47" t="n">
        <f aca="false">AP47*(Assumptions!$B$8*N47*Assumptions!$B$9+Assumptions!$B$10)</f>
        <v>471170.817</v>
      </c>
      <c r="U47" s="47" t="n">
        <f aca="false">Q47*Assumptions!$B$11*N47</f>
        <v>61199.964</v>
      </c>
      <c r="V47" s="47" t="n">
        <f aca="false">P47*(Assumptions!$B$12+Assumptions!$B$13)</f>
        <v>162749.972</v>
      </c>
      <c r="W47" s="47" t="n">
        <f aca="false">P47*IF(P47&gt;=Assumptions!$B$16,Assumptions!$B$17,IF(P47&gt;=Assumptions!$B$14,Assumptions!$B$15,0))</f>
        <v>0</v>
      </c>
      <c r="X47" s="48" t="n">
        <f aca="false">SUM(Q47:W47)</f>
        <v>4412444.753</v>
      </c>
      <c r="Y47" s="48" t="n">
        <f aca="false">P47-X47</f>
        <v>-403824.753</v>
      </c>
      <c r="Z47" s="49" t="n">
        <f aca="false">IF(X47=0,0,Y47/X47)</f>
        <v>-0.0915195034964328</v>
      </c>
      <c r="AA47" s="47" t="n">
        <f aca="false">MAX(0,(P47/(1+Assumptions!$B$27)-(L47*(Assumptions!$B$4+IF(H47="Yes",0,Assumptions!$B$5)))*(1+(Assumptions!$B$7*(Assumptions!$B$8*N47*Assumptions!$B$9+Assumptions!$B$10)))-P47*(Assumptions!$B$12+Assumptions!$B$13+IF(P47&gt;=Assumptions!$B$16,Assumptions!$B$17,IF(P47&gt;=Assumptions!$B$14,Assumptions!$B$15,0))))/((1+IF(H47="Yes",Assumptions!$B$6,0))*(1+(Assumptions!$B$7*(Assumptions!$B$8*N47*Assumptions!$B$9+Assumptions!$B$10)))+Assumptions!$B$11*N47))</f>
        <v>903019.226823592</v>
      </c>
      <c r="AB47" s="50" t="n">
        <f aca="false">IF(AA47&lt;=0,"no price works",D47/AA47)</f>
        <v>1.88257231906326</v>
      </c>
      <c r="AC47" s="46" t="n">
        <f aca="false">(INDEX(Assumptions!$B$36:$B$48,MATCH(AK47,Assumptions!$A$36:$A$48,0))+IF(I47="Yes",Assumptions!$B$23,0)+IF(J47="Yes",Assumptions!$B$24,0))*(1+Assumptions!$B$28)</f>
        <v>1400</v>
      </c>
      <c r="AD47" s="47" t="n">
        <f aca="false">(L47)*AC47-(((D47)+(L47)*Assumptions!$B$4+IF(H47="Yes",Assumptions!$B$6*(D47),(L47)*Assumptions!$B$5))*(1+Assumptions!$B$7*(Assumptions!$B$8*(N47)*Assumptions!$B$9+Assumptions!$B$10))+(D47)*Assumptions!$B$11*(N47)+(L47)*AC47*(Assumptions!$B$12+Assumptions!$B$13+IF((L47)*AC47&gt;=Assumptions!$B$16,Assumptions!$B$17,IF((L47)*AC47&gt;=Assumptions!$B$14,Assumptions!$B$15,0))))</f>
        <v>-753449.300999999</v>
      </c>
      <c r="AE47" s="46" t="n">
        <f aca="false">(INDEX(Assumptions!$B$36:$B$48,MATCH(AK47,Assumptions!$A$36:$A$48,0))+IF(I47="Yes",Assumptions!$B$23,0)+IF(J47="Yes",Assumptions!$B$24,0))*(1+Assumptions!$B$29)</f>
        <v>1540</v>
      </c>
      <c r="AF47" s="47" t="n">
        <f aca="false">(L47)*AE47-(((D47)+(L47)*Assumptions!$B$4+IF(H47="Yes",Assumptions!$B$6*(D47),(L47)*Assumptions!$B$5))*(1+Assumptions!$B$7*(Assumptions!$B$8*(N47)*Assumptions!$B$9+Assumptions!$B$10))+(D47)*Assumptions!$B$11*(N47)+(L47)*AE47*(Assumptions!$B$12+Assumptions!$B$13+IF((L47)*AE47&gt;=Assumptions!$B$16,Assumptions!$B$17,IF((L47)*AE47&gt;=Assumptions!$B$14,Assumptions!$B$15,0))))</f>
        <v>-403824.752999999</v>
      </c>
      <c r="AG47" s="46" t="n">
        <f aca="false">(INDEX(Assumptions!$B$36:$B$48,MATCH(AK47,Assumptions!$A$36:$A$48,0))+IF(I47="Yes",Assumptions!$B$23,0)+IF(J47="Yes",Assumptions!$B$24,0))*(1+Assumptions!$B$30)</f>
        <v>1680</v>
      </c>
      <c r="AH47" s="47" t="n">
        <f aca="false">(L47)*AG47-(((D47)+(L47)*Assumptions!$B$4+IF(H47="Yes",Assumptions!$B$6*(D47),(L47)*Assumptions!$B$5))*(1+Assumptions!$B$7*(Assumptions!$B$8*(N47)*Assumptions!$B$9+Assumptions!$B$10))+(D47)*Assumptions!$B$11*(N47)+(L47)*AG47*(Assumptions!$B$12+Assumptions!$B$13+IF((L47)*AG47&gt;=Assumptions!$B$16,Assumptions!$B$17,IF((L47)*AG47&gt;=Assumptions!$B$14,Assumptions!$B$15,0))))</f>
        <v>-54200.2049999991</v>
      </c>
      <c r="AI47" s="47" t="n">
        <f aca="false">(L47)*AE47-(((D47)+(L47)*Assumptions!$B$25+IF(H47="Yes",Assumptions!$B$6*(D47),(L47)*Assumptions!$B$5))*(1+Assumptions!$B$7*(Assumptions!$B$8*(N47)*Assumptions!$B$9+Assumptions!$B$10))+(D47)*Assumptions!$B$11*(N47)+(L47)*AE47*(Assumptions!$B$12+Assumptions!$B$13+IF((L47)*AE47&gt;=Assumptions!$B$16,Assumptions!$B$17,IF((L47)*AE47&gt;=Assumptions!$B$14,Assumptions!$B$15,0))))</f>
        <v>-257178.240499999</v>
      </c>
      <c r="AJ47" s="47" t="n">
        <f aca="false">(L47)*AE47-(((D47)+(L47)*Assumptions!$B$26+IF(H47="Yes",Assumptions!$B$6*(D47),(L47)*Assumptions!$B$5))*(1+Assumptions!$B$7*(Assumptions!$B$8*(N47)*Assumptions!$B$9+Assumptions!$B$10))+(D47)*Assumptions!$B$11*(N47)+(L47)*AE47*(Assumptions!$B$12+Assumptions!$B$13+IF((L47)*AE47&gt;=Assumptions!$B$16,Assumptions!$B$17,IF((L47)*AE47&gt;=Assumptions!$B$14,Assumptions!$B$15,0))))</f>
        <v>-110531.728</v>
      </c>
      <c r="AK47" s="40" t="s">
        <v>77</v>
      </c>
      <c r="AL47" s="45" t="n">
        <f aca="false">IF(G47&gt;0,G47,ROUND(F47*Assumptions!$B$18,0))</f>
        <v>2098</v>
      </c>
      <c r="AM47" s="45" t="n">
        <f aca="false">IF(H47="Yes",AL47,MAX(AL47,MIN(Assumptions!$B$20,ROUND(E47*Assumptions!$B$19,0))))</f>
        <v>2603</v>
      </c>
      <c r="AN47" s="47" t="n">
        <f aca="false">(AL47)*AE47-(((D47)+(AL47)*Assumptions!$B$4+IF(H47="Yes",Assumptions!$B$6*(D47),(AL47)*Assumptions!$B$5))*(1+Assumptions!$B$7*(Assumptions!$B$8*(Assumptions!$B$21)*Assumptions!$B$9+Assumptions!$B$10))+(D47)*Assumptions!$B$11*(Assumptions!$B$21)+(AL47)*AE47*(Assumptions!$B$12+Assumptions!$B$13+IF((AL47)*AE47&gt;=Assumptions!$B$16,Assumptions!$B$17,IF((AL47)*AE47&gt;=Assumptions!$B$14,Assumptions!$B$15,0))))</f>
        <v>-558856.352749999</v>
      </c>
      <c r="AO47" s="47" t="n">
        <f aca="false">(AM47)*AE47-(((D47)+(AM47)*Assumptions!$B$4+IF(H47="Yes",Assumptions!$B$6*(D47),(AM47)*Assumptions!$B$5))*(1+Assumptions!$B$7*(Assumptions!$B$8*(IF(AM47&gt;AL47,Assumptions!$B$22,Assumptions!$B$21))*Assumptions!$B$9+Assumptions!$B$10))+(D47)*Assumptions!$B$11*(IF(AM47&gt;AL47,Assumptions!$B$22,Assumptions!$B$21))+(AM47)*AE47*(Assumptions!$B$12+Assumptions!$B$13+IF((AM47)*AE47&gt;=Assumptions!$B$16,Assumptions!$B$17,IF((AM47)*AE47&gt;=Assumptions!$B$14,Assumptions!$B$15,0))))</f>
        <v>-403824.752999999</v>
      </c>
      <c r="AP47" s="47" t="n">
        <f aca="false">Assumptions!$B$7*(Q47+R47+S47)</f>
        <v>2416260.6</v>
      </c>
    </row>
    <row r="48" customFormat="false" ht="15" hidden="false" customHeight="false" outlineLevel="0" collapsed="false">
      <c r="A48" s="40" t="n">
        <v>46</v>
      </c>
      <c r="B48" s="40" t="s">
        <v>165</v>
      </c>
      <c r="C48" s="40" t="s">
        <v>126</v>
      </c>
      <c r="D48" s="41" t="n">
        <v>1895000</v>
      </c>
      <c r="E48" s="42" t="n">
        <v>5207</v>
      </c>
      <c r="F48" s="42" t="n">
        <v>2984</v>
      </c>
      <c r="G48" s="42"/>
      <c r="H48" s="43" t="s">
        <v>71</v>
      </c>
      <c r="I48" s="43" t="s">
        <v>71</v>
      </c>
      <c r="J48" s="43" t="s">
        <v>71</v>
      </c>
      <c r="K48" s="44" t="s">
        <v>166</v>
      </c>
      <c r="L48" s="45" t="n">
        <f aca="false">IF(AO48&gt;AN48,AM48,AL48)</f>
        <v>3282</v>
      </c>
      <c r="M48" s="40" t="str">
        <f aca="false">IF(AO48&gt;AN48,"Zoning estimate",IF(H48="Yes","Approved plans",IF(G48&gt;0,"Listing claim","110% old house")))</f>
        <v>110% old house</v>
      </c>
      <c r="N48" s="45" t="n">
        <f aca="false">IF(AO48&gt;AN48,IF(AM48&gt;AL48,Assumptions!$B$22,Assumptions!$B$21),Assumptions!$B$21)</f>
        <v>2</v>
      </c>
      <c r="O48" s="46" t="n">
        <f aca="false">(INDEX(Assumptions!$B$36:$B$48,MATCH(AK48,Assumptions!$A$36:$A$48,0))+IF(I48="Yes",Assumptions!$B$23,0)+IF(J48="Yes",Assumptions!$B$24,0))*(1+IF(UPPER(Assumptions!$B$31)="WORST",Assumptions!$B$28,IF(UPPER(Assumptions!$B$31)="BEST",Assumptions!$B$30,Assumptions!$B$29)))</f>
        <v>1430</v>
      </c>
      <c r="P48" s="47" t="n">
        <f aca="false">L48*O48</f>
        <v>4693260</v>
      </c>
      <c r="Q48" s="47" t="n">
        <f aca="false">D48</f>
        <v>1895000</v>
      </c>
      <c r="R48" s="47" t="n">
        <f aca="false">L48*Assumptions!$B$4</f>
        <v>2297400</v>
      </c>
      <c r="S48" s="47" t="n">
        <f aca="false">IF(H48="Yes",Assumptions!$B$6*(D48),(L48)*Assumptions!$B$5)</f>
        <v>246150</v>
      </c>
      <c r="T48" s="47" t="n">
        <f aca="false">AP48*(Assumptions!$B$8*N48*Assumptions!$B$9+Assumptions!$B$10)</f>
        <v>389482.7625</v>
      </c>
      <c r="U48" s="47" t="n">
        <f aca="false">Q48*Assumptions!$B$11*N48</f>
        <v>45480</v>
      </c>
      <c r="V48" s="47" t="n">
        <f aca="false">P48*(Assumptions!$B$12+Assumptions!$B$13)</f>
        <v>190546.356</v>
      </c>
      <c r="W48" s="47" t="n">
        <f aca="false">P48*IF(P48&gt;=Assumptions!$B$16,Assumptions!$B$17,IF(P48&gt;=Assumptions!$B$14,Assumptions!$B$15,0))</f>
        <v>0</v>
      </c>
      <c r="X48" s="48" t="n">
        <f aca="false">SUM(Q48:W48)</f>
        <v>5064059.1185</v>
      </c>
      <c r="Y48" s="48" t="n">
        <f aca="false">P48-X48</f>
        <v>-370799.118499999</v>
      </c>
      <c r="Z48" s="49" t="n">
        <f aca="false">IF(X48=0,0,Y48/X48)</f>
        <v>-0.0732217199332048</v>
      </c>
      <c r="AA48" s="47" t="n">
        <f aca="false">MAX(0,(P48/(1+Assumptions!$B$27)-(L48*(Assumptions!$B$4+IF(H48="Yes",0,Assumptions!$B$5)))*(1+(Assumptions!$B$7*(Assumptions!$B$8*N48*Assumptions!$B$9+Assumptions!$B$10)))-P48*(Assumptions!$B$12+Assumptions!$B$13+IF(P48&gt;=Assumptions!$B$16,Assumptions!$B$17,IF(P48&gt;=Assumptions!$B$14,Assumptions!$B$15,0))))/((1+IF(H48="Yes",Assumptions!$B$6,0))*(1+(Assumptions!$B$7*(Assumptions!$B$8*N48*Assumptions!$B$9+Assumptions!$B$10)))+Assumptions!$B$11*N48))</f>
        <v>1010841.27157537</v>
      </c>
      <c r="AB48" s="50" t="n">
        <f aca="false">IF(AA48&lt;=0,"no price works",D48/AA48)</f>
        <v>1.87467612699143</v>
      </c>
      <c r="AC48" s="46" t="n">
        <f aca="false">(INDEX(Assumptions!$B$36:$B$48,MATCH(AK48,Assumptions!$A$36:$A$48,0))+IF(I48="Yes",Assumptions!$B$23,0)+IF(J48="Yes",Assumptions!$B$24,0))*(1+Assumptions!$B$28)</f>
        <v>1300</v>
      </c>
      <c r="AD48" s="47" t="n">
        <f aca="false">(L48)*AC48-(((D48)+(L48)*Assumptions!$B$4+IF(H48="Yes",Assumptions!$B$6*(D48),(L48)*Assumptions!$B$5))*(1+Assumptions!$B$7*(Assumptions!$B$8*(N48)*Assumptions!$B$9+Assumptions!$B$10))+(D48)*Assumptions!$B$11*(N48)+(L48)*AC48*(Assumptions!$B$12+Assumptions!$B$13+IF((L48)*AC48&gt;=Assumptions!$B$16,Assumptions!$B$17,IF((L48)*AC48&gt;=Assumptions!$B$14,Assumptions!$B$15,0))))</f>
        <v>-780136.7225</v>
      </c>
      <c r="AE48" s="46" t="n">
        <f aca="false">(INDEX(Assumptions!$B$36:$B$48,MATCH(AK48,Assumptions!$A$36:$A$48,0))+IF(I48="Yes",Assumptions!$B$23,0)+IF(J48="Yes",Assumptions!$B$24,0))*(1+Assumptions!$B$29)</f>
        <v>1430</v>
      </c>
      <c r="AF48" s="47" t="n">
        <f aca="false">(L48)*AE48-(((D48)+(L48)*Assumptions!$B$4+IF(H48="Yes",Assumptions!$B$6*(D48),(L48)*Assumptions!$B$5))*(1+Assumptions!$B$7*(Assumptions!$B$8*(N48)*Assumptions!$B$9+Assumptions!$B$10))+(D48)*Assumptions!$B$11*(N48)+(L48)*AE48*(Assumptions!$B$12+Assumptions!$B$13+IF((L48)*AE48&gt;=Assumptions!$B$16,Assumptions!$B$17,IF((L48)*AE48&gt;=Assumptions!$B$14,Assumptions!$B$15,0))))</f>
        <v>-370799.118499999</v>
      </c>
      <c r="AG48" s="46" t="n">
        <f aca="false">(INDEX(Assumptions!$B$36:$B$48,MATCH(AK48,Assumptions!$A$36:$A$48,0))+IF(I48="Yes",Assumptions!$B$23,0)+IF(J48="Yes",Assumptions!$B$24,0))*(1+Assumptions!$B$30)</f>
        <v>1560</v>
      </c>
      <c r="AH48" s="47" t="n">
        <f aca="false">(L48)*AG48-(((D48)+(L48)*Assumptions!$B$4+IF(H48="Yes",Assumptions!$B$6*(D48),(L48)*Assumptions!$B$5))*(1+Assumptions!$B$7*(Assumptions!$B$8*(N48)*Assumptions!$B$9+Assumptions!$B$10))+(D48)*Assumptions!$B$11*(N48)+(L48)*AG48*(Assumptions!$B$12+Assumptions!$B$13+IF((L48)*AG48&gt;=Assumptions!$B$16,Assumptions!$B$17,IF((L48)*AG48&gt;=Assumptions!$B$14,Assumptions!$B$15,0))))</f>
        <v>38538.4854999995</v>
      </c>
      <c r="AI48" s="47" t="n">
        <f aca="false">(L48)*AE48-(((D48)+(L48)*Assumptions!$B$25+IF(H48="Yes",Assumptions!$B$6*(D48),(L48)*Assumptions!$B$5))*(1+Assumptions!$B$7*(Assumptions!$B$8*(N48)*Assumptions!$B$9+Assumptions!$B$10))+(D48)*Assumptions!$B$11*(N48)+(L48)*AE48*(Assumptions!$B$12+Assumptions!$B$13+IF((L48)*AE48&gt;=Assumptions!$B$16,Assumptions!$B$17,IF((L48)*AE48&gt;=Assumptions!$B$14,Assumptions!$B$15,0))))</f>
        <v>-192299.343499999</v>
      </c>
      <c r="AJ48" s="47" t="n">
        <f aca="false">(L48)*AE48-(((D48)+(L48)*Assumptions!$B$26+IF(H48="Yes",Assumptions!$B$6*(D48),(L48)*Assumptions!$B$5))*(1+Assumptions!$B$7*(Assumptions!$B$8*(N48)*Assumptions!$B$9+Assumptions!$B$10))+(D48)*Assumptions!$B$11*(N48)+(L48)*AE48*(Assumptions!$B$12+Assumptions!$B$13+IF((L48)*AE48&gt;=Assumptions!$B$16,Assumptions!$B$17,IF((L48)*AE48&gt;=Assumptions!$B$14,Assumptions!$B$15,0))))</f>
        <v>-13799.5684999991</v>
      </c>
      <c r="AK48" s="40" t="s">
        <v>128</v>
      </c>
      <c r="AL48" s="45" t="n">
        <f aca="false">IF(G48&gt;0,G48,ROUND(F48*Assumptions!$B$18,0))</f>
        <v>3282</v>
      </c>
      <c r="AM48" s="45" t="n">
        <f aca="false">IF(H48="Yes",AL48,MAX(AL48,MIN(Assumptions!$B$20,ROUND(E48*Assumptions!$B$19,0))))</f>
        <v>3282</v>
      </c>
      <c r="AN48" s="47" t="n">
        <f aca="false">(AL48)*AE48-(((D48)+(AL48)*Assumptions!$B$4+IF(H48="Yes",Assumptions!$B$6*(D48),(AL48)*Assumptions!$B$5))*(1+Assumptions!$B$7*(Assumptions!$B$8*(Assumptions!$B$21)*Assumptions!$B$9+Assumptions!$B$10))+(D48)*Assumptions!$B$11*(Assumptions!$B$21)+(AL48)*AE48*(Assumptions!$B$12+Assumptions!$B$13+IF((AL48)*AE48&gt;=Assumptions!$B$16,Assumptions!$B$17,IF((AL48)*AE48&gt;=Assumptions!$B$14,Assumptions!$B$15,0))))</f>
        <v>-370799.118499999</v>
      </c>
      <c r="AO48" s="47" t="n">
        <f aca="false">(AM48)*AE48-(((D48)+(AM48)*Assumptions!$B$4+IF(H48="Yes",Assumptions!$B$6*(D48),(AM48)*Assumptions!$B$5))*(1+Assumptions!$B$7*(Assumptions!$B$8*(IF(AM48&gt;AL48,Assumptions!$B$22,Assumptions!$B$21))*Assumptions!$B$9+Assumptions!$B$10))+(D48)*Assumptions!$B$11*(IF(AM48&gt;AL48,Assumptions!$B$22,Assumptions!$B$21))+(AM48)*AE48*(Assumptions!$B$12+Assumptions!$B$13+IF((AM48)*AE48&gt;=Assumptions!$B$16,Assumptions!$B$17,IF((AM48)*AE48&gt;=Assumptions!$B$14,Assumptions!$B$15,0))))</f>
        <v>-370799.118499999</v>
      </c>
      <c r="AP48" s="47" t="n">
        <f aca="false">Assumptions!$B$7*(Q48+R48+S48)</f>
        <v>2885057.5</v>
      </c>
    </row>
    <row r="49" customFormat="false" ht="15" hidden="false" customHeight="false" outlineLevel="0" collapsed="false">
      <c r="A49" s="40" t="n">
        <v>47</v>
      </c>
      <c r="B49" s="40" t="s">
        <v>167</v>
      </c>
      <c r="C49" s="40" t="s">
        <v>102</v>
      </c>
      <c r="D49" s="41" t="n">
        <v>1750000</v>
      </c>
      <c r="E49" s="42" t="n">
        <v>13307</v>
      </c>
      <c r="F49" s="42" t="n">
        <v>2359</v>
      </c>
      <c r="G49" s="42"/>
      <c r="H49" s="43" t="s">
        <v>71</v>
      </c>
      <c r="I49" s="43" t="s">
        <v>80</v>
      </c>
      <c r="J49" s="43" t="s">
        <v>71</v>
      </c>
      <c r="K49" s="44"/>
      <c r="L49" s="45" t="n">
        <f aca="false">IF(AO49&gt;AN49,AM49,AL49)</f>
        <v>5323</v>
      </c>
      <c r="M49" s="40" t="str">
        <f aca="false">IF(AO49&gt;AN49,"Zoning estimate",IF(H49="Yes","Approved plans",IF(G49&gt;0,"Listing claim","110% old house")))</f>
        <v>Zoning estimate</v>
      </c>
      <c r="N49" s="45" t="n">
        <f aca="false">IF(AO49&gt;AN49,IF(AM49&gt;AL49,Assumptions!$B$22,Assumptions!$B$21),Assumptions!$B$21)</f>
        <v>3</v>
      </c>
      <c r="O49" s="46" t="n">
        <f aca="false">(INDEX(Assumptions!$B$36:$B$48,MATCH(AK49,Assumptions!$A$36:$A$48,0))+IF(I49="Yes",Assumptions!$B$23,0)+IF(J49="Yes",Assumptions!$B$24,0))*(1+IF(UPPER(Assumptions!$B$31)="WORST",Assumptions!$B$28,IF(UPPER(Assumptions!$B$31)="BEST",Assumptions!$B$30,Assumptions!$B$29)))</f>
        <v>1485</v>
      </c>
      <c r="P49" s="47" t="n">
        <f aca="false">L49*O49</f>
        <v>7904655</v>
      </c>
      <c r="Q49" s="47" t="n">
        <f aca="false">D49</f>
        <v>1750000</v>
      </c>
      <c r="R49" s="47" t="n">
        <f aca="false">L49*Assumptions!$B$4</f>
        <v>3726100</v>
      </c>
      <c r="S49" s="47" t="n">
        <f aca="false">IF(H49="Yes",Assumptions!$B$6*(D49),(L49)*Assumptions!$B$5)</f>
        <v>399225</v>
      </c>
      <c r="T49" s="47" t="n">
        <f aca="false">AP49*(Assumptions!$B$8*N49*Assumptions!$B$9+Assumptions!$B$10)</f>
        <v>744697.44375</v>
      </c>
      <c r="U49" s="47" t="n">
        <f aca="false">Q49*Assumptions!$B$11*N49</f>
        <v>63000</v>
      </c>
      <c r="V49" s="47" t="n">
        <f aca="false">P49*(Assumptions!$B$12+Assumptions!$B$13)</f>
        <v>320928.993</v>
      </c>
      <c r="W49" s="47" t="n">
        <f aca="false">P49*IF(P49&gt;=Assumptions!$B$16,Assumptions!$B$17,IF(P49&gt;=Assumptions!$B$14,Assumptions!$B$15,0))</f>
        <v>316186.2</v>
      </c>
      <c r="X49" s="48" t="n">
        <f aca="false">SUM(Q49:W49)</f>
        <v>7320137.63675</v>
      </c>
      <c r="Y49" s="48" t="n">
        <f aca="false">P49-X49</f>
        <v>584517.36325</v>
      </c>
      <c r="Z49" s="49" t="n">
        <f aca="false">IF(X49=0,0,Y49/X49)</f>
        <v>0.0798505973870615</v>
      </c>
      <c r="AA49" s="47" t="n">
        <f aca="false">MAX(0,(P49/(1+Assumptions!$B$27)-(L49*(Assumptions!$B$4+IF(H49="Yes",0,Assumptions!$B$5)))*(1+(Assumptions!$B$7*(Assumptions!$B$8*N49*Assumptions!$B$9+Assumptions!$B$10)))-P49*(Assumptions!$B$12+Assumptions!$B$13+IF(P49&gt;=Assumptions!$B$16,Assumptions!$B$17,IF(P49&gt;=Assumptions!$B$14,Assumptions!$B$15,0))))/((1+IF(H49="Yes",Assumptions!$B$6,0))*(1+(Assumptions!$B$7*(Assumptions!$B$8*N49*Assumptions!$B$9+Assumptions!$B$10)))+Assumptions!$B$11*N49))</f>
        <v>1365975.40892562</v>
      </c>
      <c r="AB49" s="50" t="n">
        <f aca="false">IF(AA49&lt;=0,"no price works",D49/AA49)</f>
        <v>1.28113580124874</v>
      </c>
      <c r="AC49" s="46" t="n">
        <f aca="false">(INDEX(Assumptions!$B$36:$B$48,MATCH(AK49,Assumptions!$A$36:$A$48,0))+IF(I49="Yes",Assumptions!$B$23,0)+IF(J49="Yes",Assumptions!$B$24,0))*(1+Assumptions!$B$28)</f>
        <v>1350</v>
      </c>
      <c r="AD49" s="47" t="n">
        <f aca="false">(L49)*AC49-(((D49)+(L49)*Assumptions!$B$4+IF(H49="Yes",Assumptions!$B$6*(D49),(L49)*Assumptions!$B$5))*(1+Assumptions!$B$7*(Assumptions!$B$8*(N49)*Assumptions!$B$9+Assumptions!$B$10))+(D49)*Assumptions!$B$11*(N49)+(L49)*AC49*(Assumptions!$B$12+Assumptions!$B$13+IF((L49)*AC49&gt;=Assumptions!$B$16,Assumptions!$B$17,IF((L49)*AC49&gt;=Assumptions!$B$14,Assumptions!$B$15,0))))</f>
        <v>-76168.0737499995</v>
      </c>
      <c r="AE49" s="46" t="n">
        <f aca="false">(INDEX(Assumptions!$B$36:$B$48,MATCH(AK49,Assumptions!$A$36:$A$48,0))+IF(I49="Yes",Assumptions!$B$23,0)+IF(J49="Yes",Assumptions!$B$24,0))*(1+Assumptions!$B$29)</f>
        <v>1485</v>
      </c>
      <c r="AF49" s="47" t="n">
        <f aca="false">(L49)*AE49-(((D49)+(L49)*Assumptions!$B$4+IF(H49="Yes",Assumptions!$B$6*(D49),(L49)*Assumptions!$B$5))*(1+Assumptions!$B$7*(Assumptions!$B$8*(N49)*Assumptions!$B$9+Assumptions!$B$10))+(D49)*Assumptions!$B$11*(N49)+(L49)*AE49*(Assumptions!$B$12+Assumptions!$B$13+IF((L49)*AE49&gt;=Assumptions!$B$16,Assumptions!$B$17,IF((L49)*AE49&gt;=Assumptions!$B$14,Assumptions!$B$15,0))))</f>
        <v>584517.363250001</v>
      </c>
      <c r="AG49" s="46" t="n">
        <f aca="false">(INDEX(Assumptions!$B$36:$B$48,MATCH(AK49,Assumptions!$A$36:$A$48,0))+IF(I49="Yes",Assumptions!$B$23,0)+IF(J49="Yes",Assumptions!$B$24,0))*(1+Assumptions!$B$30)</f>
        <v>1620</v>
      </c>
      <c r="AH49" s="47" t="n">
        <f aca="false">(L49)*AG49-(((D49)+(L49)*Assumptions!$B$4+IF(H49="Yes",Assumptions!$B$6*(D49),(L49)*Assumptions!$B$5))*(1+Assumptions!$B$7*(Assumptions!$B$8*(N49)*Assumptions!$B$9+Assumptions!$B$10))+(D49)*Assumptions!$B$11*(N49)+(L49)*AG49*(Assumptions!$B$12+Assumptions!$B$13+IF((L49)*AG49&gt;=Assumptions!$B$16,Assumptions!$B$17,IF((L49)*AG49&gt;=Assumptions!$B$14,Assumptions!$B$15,0))))</f>
        <v>1245202.80025</v>
      </c>
      <c r="AI49" s="47" t="n">
        <f aca="false">(L49)*AE49-(((D49)+(L49)*Assumptions!$B$25+IF(H49="Yes",Assumptions!$B$6*(D49),(L49)*Assumptions!$B$5))*(1+Assumptions!$B$7*(Assumptions!$B$8*(N49)*Assumptions!$B$9+Assumptions!$B$10))+(D49)*Assumptions!$B$11*(N49)+(L49)*AE49*(Assumptions!$B$12+Assumptions!$B$13+IF((L49)*AE49&gt;=Assumptions!$B$16,Assumptions!$B$17,IF((L49)*AE49&gt;=Assumptions!$B$14,Assumptions!$B$15,0))))</f>
        <v>884401.875750002</v>
      </c>
      <c r="AJ49" s="47" t="n">
        <f aca="false">(L49)*AE49-(((D49)+(L49)*Assumptions!$B$26+IF(H49="Yes",Assumptions!$B$6*(D49),(L49)*Assumptions!$B$5))*(1+Assumptions!$B$7*(Assumptions!$B$8*(N49)*Assumptions!$B$9+Assumptions!$B$10))+(D49)*Assumptions!$B$11*(N49)+(L49)*AE49*(Assumptions!$B$12+Assumptions!$B$13+IF((L49)*AE49&gt;=Assumptions!$B$16,Assumptions!$B$17,IF((L49)*AE49&gt;=Assumptions!$B$14,Assumptions!$B$15,0))))</f>
        <v>1184286.38825</v>
      </c>
      <c r="AK49" s="40" t="s">
        <v>104</v>
      </c>
      <c r="AL49" s="45" t="n">
        <f aca="false">IF(G49&gt;0,G49,ROUND(F49*Assumptions!$B$18,0))</f>
        <v>2595</v>
      </c>
      <c r="AM49" s="45" t="n">
        <f aca="false">IF(H49="Yes",AL49,MAX(AL49,MIN(Assumptions!$B$20,ROUND(E49*Assumptions!$B$19,0))))</f>
        <v>5323</v>
      </c>
      <c r="AN49" s="47" t="n">
        <f aca="false">(AL49)*AE49-(((D49)+(AL49)*Assumptions!$B$4+IF(H49="Yes",Assumptions!$B$6*(D49),(AL49)*Assumptions!$B$5))*(1+Assumptions!$B$7*(Assumptions!$B$8*(Assumptions!$B$21)*Assumptions!$B$9+Assumptions!$B$10))+(D49)*Assumptions!$B$11*(Assumptions!$B$21)+(AL49)*AE49*(Assumptions!$B$12+Assumptions!$B$13+IF((AL49)*AE49&gt;=Assumptions!$B$16,Assumptions!$B$17,IF((AL49)*AE49&gt;=Assumptions!$B$14,Assumptions!$B$15,0))))</f>
        <v>-436043.86375</v>
      </c>
      <c r="AO49" s="47" t="n">
        <f aca="false">(AM49)*AE49-(((D49)+(AM49)*Assumptions!$B$4+IF(H49="Yes",Assumptions!$B$6*(D49),(AM49)*Assumptions!$B$5))*(1+Assumptions!$B$7*(Assumptions!$B$8*(IF(AM49&gt;AL49,Assumptions!$B$22,Assumptions!$B$21))*Assumptions!$B$9+Assumptions!$B$10))+(D49)*Assumptions!$B$11*(IF(AM49&gt;AL49,Assumptions!$B$22,Assumptions!$B$21))+(AM49)*AE49*(Assumptions!$B$12+Assumptions!$B$13+IF((AM49)*AE49&gt;=Assumptions!$B$16,Assumptions!$B$17,IF((AM49)*AE49&gt;=Assumptions!$B$14,Assumptions!$B$15,0))))</f>
        <v>584517.363250001</v>
      </c>
      <c r="AP49" s="47" t="n">
        <f aca="false">Assumptions!$B$7*(Q49+R49+S49)</f>
        <v>3818961.25</v>
      </c>
    </row>
    <row r="50" customFormat="false" ht="15" hidden="false" customHeight="false" outlineLevel="0" collapsed="false">
      <c r="A50" s="40" t="n">
        <v>48</v>
      </c>
      <c r="B50" s="40" t="s">
        <v>168</v>
      </c>
      <c r="C50" s="40" t="s">
        <v>126</v>
      </c>
      <c r="D50" s="41" t="n">
        <v>2999000</v>
      </c>
      <c r="E50" s="42" t="n">
        <v>7803</v>
      </c>
      <c r="F50" s="42" t="n">
        <v>5636</v>
      </c>
      <c r="G50" s="42"/>
      <c r="H50" s="43" t="s">
        <v>71</v>
      </c>
      <c r="I50" s="43" t="s">
        <v>80</v>
      </c>
      <c r="J50" s="43" t="s">
        <v>71</v>
      </c>
      <c r="K50" s="44"/>
      <c r="L50" s="45" t="n">
        <f aca="false">IF(AO50&gt;AN50,AM50,AL50)</f>
        <v>6200</v>
      </c>
      <c r="M50" s="40" t="str">
        <f aca="false">IF(AO50&gt;AN50,"Zoning estimate",IF(H50="Yes","Approved plans",IF(G50&gt;0,"Listing claim","110% old house")))</f>
        <v>110% old house</v>
      </c>
      <c r="N50" s="45" t="n">
        <f aca="false">IF(AO50&gt;AN50,IF(AM50&gt;AL50,Assumptions!$B$22,Assumptions!$B$21),Assumptions!$B$21)</f>
        <v>2</v>
      </c>
      <c r="O50" s="46" t="n">
        <f aca="false">(INDEX(Assumptions!$B$36:$B$48,MATCH(AK50,Assumptions!$A$36:$A$48,0))+IF(I50="Yes",Assumptions!$B$23,0)+IF(J50="Yes",Assumptions!$B$24,0))*(1+IF(UPPER(Assumptions!$B$31)="WORST",Assumptions!$B$28,IF(UPPER(Assumptions!$B$31)="BEST",Assumptions!$B$30,Assumptions!$B$29)))</f>
        <v>1540</v>
      </c>
      <c r="P50" s="47" t="n">
        <f aca="false">L50*O50</f>
        <v>9548000</v>
      </c>
      <c r="Q50" s="47" t="n">
        <f aca="false">D50</f>
        <v>2999000</v>
      </c>
      <c r="R50" s="47" t="n">
        <f aca="false">L50*Assumptions!$B$4</f>
        <v>4340000</v>
      </c>
      <c r="S50" s="47" t="n">
        <f aca="false">IF(H50="Yes",Assumptions!$B$6*(D50),(L50)*Assumptions!$B$5)</f>
        <v>465000</v>
      </c>
      <c r="T50" s="47" t="n">
        <f aca="false">AP50*(Assumptions!$B$8*N50*Assumptions!$B$9+Assumptions!$B$10)</f>
        <v>684801</v>
      </c>
      <c r="U50" s="47" t="n">
        <f aca="false">Q50*Assumptions!$B$11*N50</f>
        <v>71976</v>
      </c>
      <c r="V50" s="47" t="n">
        <f aca="false">P50*(Assumptions!$B$12+Assumptions!$B$13)</f>
        <v>387648.8</v>
      </c>
      <c r="W50" s="47" t="n">
        <f aca="false">P50*IF(P50&gt;=Assumptions!$B$16,Assumptions!$B$17,IF(P50&gt;=Assumptions!$B$14,Assumptions!$B$15,0))</f>
        <v>381920</v>
      </c>
      <c r="X50" s="48" t="n">
        <f aca="false">SUM(Q50:W50)</f>
        <v>9330345.8</v>
      </c>
      <c r="Y50" s="48" t="n">
        <f aca="false">P50-X50</f>
        <v>217654.200000001</v>
      </c>
      <c r="Z50" s="49" t="n">
        <f aca="false">IF(X50=0,0,Y50/X50)</f>
        <v>0.0233275598424231</v>
      </c>
      <c r="AA50" s="47" t="n">
        <f aca="false">MAX(0,(P50/(1+Assumptions!$B$27)-(L50*(Assumptions!$B$4+IF(H50="Yes",0,Assumptions!$B$5)))*(1+(Assumptions!$B$7*(Assumptions!$B$8*N50*Assumptions!$B$9+Assumptions!$B$10)))-P50*(Assumptions!$B$12+Assumptions!$B$13+IF(P50&gt;=Assumptions!$B$16,Assumptions!$B$17,IF(P50&gt;=Assumptions!$B$14,Assumptions!$B$15,0))))/((1+IF(H50="Yes",Assumptions!$B$6,0))*(1+(Assumptions!$B$7*(Assumptions!$B$8*N50*Assumptions!$B$9+Assumptions!$B$10)))+Assumptions!$B$11*N50))</f>
        <v>2074568.15439818</v>
      </c>
      <c r="AB50" s="50" t="n">
        <f aca="false">IF(AA50&lt;=0,"no price works",D50/AA50)</f>
        <v>1.44560206115282</v>
      </c>
      <c r="AC50" s="46" t="n">
        <f aca="false">(INDEX(Assumptions!$B$36:$B$48,MATCH(AK50,Assumptions!$A$36:$A$48,0))+IF(I50="Yes",Assumptions!$B$23,0)+IF(J50="Yes",Assumptions!$B$24,0))*(1+Assumptions!$B$28)</f>
        <v>1400</v>
      </c>
      <c r="AD50" s="47" t="n">
        <f aca="false">(L50)*AC50-(((D50)+(L50)*Assumptions!$B$4+IF(H50="Yes",Assumptions!$B$6*(D50),(L50)*Assumptions!$B$5))*(1+Assumptions!$B$7*(Assumptions!$B$8*(N50)*Assumptions!$B$9+Assumptions!$B$10))+(D50)*Assumptions!$B$11*(N50)+(L50)*AC50*(Assumptions!$B$12+Assumptions!$B$13+IF((L50)*AC50&gt;=Assumptions!$B$16,Assumptions!$B$17,IF((L50)*AC50&gt;=Assumptions!$B$14,Assumptions!$B$15,0))))</f>
        <v>-580385</v>
      </c>
      <c r="AE50" s="46" t="n">
        <f aca="false">(INDEX(Assumptions!$B$36:$B$48,MATCH(AK50,Assumptions!$A$36:$A$48,0))+IF(I50="Yes",Assumptions!$B$23,0)+IF(J50="Yes",Assumptions!$B$24,0))*(1+Assumptions!$B$29)</f>
        <v>1540</v>
      </c>
      <c r="AF50" s="47" t="n">
        <f aca="false">(L50)*AE50-(((D50)+(L50)*Assumptions!$B$4+IF(H50="Yes",Assumptions!$B$6*(D50),(L50)*Assumptions!$B$5))*(1+Assumptions!$B$7*(Assumptions!$B$8*(N50)*Assumptions!$B$9+Assumptions!$B$10))+(D50)*Assumptions!$B$11*(N50)+(L50)*AE50*(Assumptions!$B$12+Assumptions!$B$13+IF((L50)*AE50&gt;=Assumptions!$B$16,Assumptions!$B$17,IF((L50)*AE50&gt;=Assumptions!$B$14,Assumptions!$B$15,0))))</f>
        <v>217654.200000001</v>
      </c>
      <c r="AG50" s="46" t="n">
        <f aca="false">(INDEX(Assumptions!$B$36:$B$48,MATCH(AK50,Assumptions!$A$36:$A$48,0))+IF(I50="Yes",Assumptions!$B$23,0)+IF(J50="Yes",Assumptions!$B$24,0))*(1+Assumptions!$B$30)</f>
        <v>1680</v>
      </c>
      <c r="AH50" s="47" t="n">
        <f aca="false">(L50)*AG50-(((D50)+(L50)*Assumptions!$B$4+IF(H50="Yes",Assumptions!$B$6*(D50),(L50)*Assumptions!$B$5))*(1+Assumptions!$B$7*(Assumptions!$B$8*(N50)*Assumptions!$B$9+Assumptions!$B$10))+(D50)*Assumptions!$B$11*(N50)+(L50)*AG50*(Assumptions!$B$12+Assumptions!$B$13+IF((L50)*AG50&gt;=Assumptions!$B$16,Assumptions!$B$17,IF((L50)*AG50&gt;=Assumptions!$B$14,Assumptions!$B$15,0))))</f>
        <v>1015693.4</v>
      </c>
      <c r="AI50" s="47" t="n">
        <f aca="false">(L50)*AE50-(((D50)+(L50)*Assumptions!$B$25+IF(H50="Yes",Assumptions!$B$6*(D50),(L50)*Assumptions!$B$5))*(1+Assumptions!$B$7*(Assumptions!$B$8*(N50)*Assumptions!$B$9+Assumptions!$B$10))+(D50)*Assumptions!$B$11*(N50)+(L50)*AE50*(Assumptions!$B$12+Assumptions!$B$13+IF((L50)*AE50&gt;=Assumptions!$B$16,Assumptions!$B$17,IF((L50)*AE50&gt;=Assumptions!$B$14,Assumptions!$B$15,0))))</f>
        <v>554856.700000001</v>
      </c>
      <c r="AJ50" s="47" t="n">
        <f aca="false">(L50)*AE50-(((D50)+(L50)*Assumptions!$B$26+IF(H50="Yes",Assumptions!$B$6*(D50),(L50)*Assumptions!$B$5))*(1+Assumptions!$B$7*(Assumptions!$B$8*(N50)*Assumptions!$B$9+Assumptions!$B$10))+(D50)*Assumptions!$B$11*(N50)+(L50)*AE50*(Assumptions!$B$12+Assumptions!$B$13+IF((L50)*AE50&gt;=Assumptions!$B$16,Assumptions!$B$17,IF((L50)*AE50&gt;=Assumptions!$B$14,Assumptions!$B$15,0))))</f>
        <v>892059.200000001</v>
      </c>
      <c r="AK50" s="40" t="s">
        <v>128</v>
      </c>
      <c r="AL50" s="45" t="n">
        <f aca="false">IF(G50&gt;0,G50,ROUND(F50*Assumptions!$B$18,0))</f>
        <v>6200</v>
      </c>
      <c r="AM50" s="45" t="n">
        <f aca="false">IF(H50="Yes",AL50,MAX(AL50,MIN(Assumptions!$B$20,ROUND(E50*Assumptions!$B$19,0))))</f>
        <v>6200</v>
      </c>
      <c r="AN50" s="47" t="n">
        <f aca="false">(AL50)*AE50-(((D50)+(AL50)*Assumptions!$B$4+IF(H50="Yes",Assumptions!$B$6*(D50),(AL50)*Assumptions!$B$5))*(1+Assumptions!$B$7*(Assumptions!$B$8*(Assumptions!$B$21)*Assumptions!$B$9+Assumptions!$B$10))+(D50)*Assumptions!$B$11*(Assumptions!$B$21)+(AL50)*AE50*(Assumptions!$B$12+Assumptions!$B$13+IF((AL50)*AE50&gt;=Assumptions!$B$16,Assumptions!$B$17,IF((AL50)*AE50&gt;=Assumptions!$B$14,Assumptions!$B$15,0))))</f>
        <v>217654.200000001</v>
      </c>
      <c r="AO50" s="47" t="n">
        <f aca="false">(AM50)*AE50-(((D50)+(AM50)*Assumptions!$B$4+IF(H50="Yes",Assumptions!$B$6*(D50),(AM50)*Assumptions!$B$5))*(1+Assumptions!$B$7*(Assumptions!$B$8*(IF(AM50&gt;AL50,Assumptions!$B$22,Assumptions!$B$21))*Assumptions!$B$9+Assumptions!$B$10))+(D50)*Assumptions!$B$11*(IF(AM50&gt;AL50,Assumptions!$B$22,Assumptions!$B$21))+(AM50)*AE50*(Assumptions!$B$12+Assumptions!$B$13+IF((AM50)*AE50&gt;=Assumptions!$B$16,Assumptions!$B$17,IF((AM50)*AE50&gt;=Assumptions!$B$14,Assumptions!$B$15,0))))</f>
        <v>217654.200000001</v>
      </c>
      <c r="AP50" s="47" t="n">
        <f aca="false">Assumptions!$B$7*(Q50+R50+S50)</f>
        <v>5072600</v>
      </c>
    </row>
    <row r="51" customFormat="false" ht="15" hidden="false" customHeight="false" outlineLevel="0" collapsed="false">
      <c r="A51" s="40" t="n">
        <v>49</v>
      </c>
      <c r="B51" s="40" t="s">
        <v>169</v>
      </c>
      <c r="C51" s="40" t="s">
        <v>109</v>
      </c>
      <c r="D51" s="41" t="n">
        <v>1660000</v>
      </c>
      <c r="E51" s="42" t="n">
        <v>12288</v>
      </c>
      <c r="F51" s="42" t="n">
        <v>2007</v>
      </c>
      <c r="G51" s="42"/>
      <c r="H51" s="43" t="s">
        <v>71</v>
      </c>
      <c r="I51" s="43" t="s">
        <v>80</v>
      </c>
      <c r="J51" s="43" t="s">
        <v>71</v>
      </c>
      <c r="K51" s="44"/>
      <c r="L51" s="45" t="n">
        <f aca="false">IF(AO51&gt;AN51,AM51,AL51)</f>
        <v>4915</v>
      </c>
      <c r="M51" s="40" t="str">
        <f aca="false">IF(AO51&gt;AN51,"Zoning estimate",IF(H51="Yes","Approved plans",IF(G51&gt;0,"Listing claim","110% old house")))</f>
        <v>Zoning estimate</v>
      </c>
      <c r="N51" s="45" t="n">
        <f aca="false">IF(AO51&gt;AN51,IF(AM51&gt;AL51,Assumptions!$B$22,Assumptions!$B$21),Assumptions!$B$21)</f>
        <v>3</v>
      </c>
      <c r="O51" s="46" t="n">
        <f aca="false">(INDEX(Assumptions!$B$36:$B$48,MATCH(AK51,Assumptions!$A$36:$A$48,0))+IF(I51="Yes",Assumptions!$B$23,0)+IF(J51="Yes",Assumptions!$B$24,0))*(1+IF(UPPER(Assumptions!$B$31)="WORST",Assumptions!$B$28,IF(UPPER(Assumptions!$B$31)="BEST",Assumptions!$B$30,Assumptions!$B$29)))</f>
        <v>1485</v>
      </c>
      <c r="P51" s="47" t="n">
        <f aca="false">L51*O51</f>
        <v>7298775</v>
      </c>
      <c r="Q51" s="47" t="n">
        <f aca="false">D51</f>
        <v>1660000</v>
      </c>
      <c r="R51" s="47" t="n">
        <f aca="false">L51*Assumptions!$B$4</f>
        <v>3440500</v>
      </c>
      <c r="S51" s="47" t="n">
        <f aca="false">IF(H51="Yes",Assumptions!$B$6*(D51),(L51)*Assumptions!$B$5)</f>
        <v>368625</v>
      </c>
      <c r="T51" s="47" t="n">
        <f aca="false">AP51*(Assumptions!$B$8*N51*Assumptions!$B$9+Assumptions!$B$10)</f>
        <v>693211.59375</v>
      </c>
      <c r="U51" s="47" t="n">
        <f aca="false">Q51*Assumptions!$B$11*N51</f>
        <v>59760</v>
      </c>
      <c r="V51" s="47" t="n">
        <f aca="false">P51*(Assumptions!$B$12+Assumptions!$B$13)</f>
        <v>296330.265</v>
      </c>
      <c r="W51" s="47" t="n">
        <f aca="false">P51*IF(P51&gt;=Assumptions!$B$16,Assumptions!$B$17,IF(P51&gt;=Assumptions!$B$14,Assumptions!$B$15,0))</f>
        <v>291951</v>
      </c>
      <c r="X51" s="48" t="n">
        <f aca="false">SUM(Q51:W51)</f>
        <v>6810377.85875</v>
      </c>
      <c r="Y51" s="48" t="n">
        <f aca="false">P51-X51</f>
        <v>488397.141250001</v>
      </c>
      <c r="Z51" s="49" t="n">
        <f aca="false">IF(X51=0,0,Y51/X51)</f>
        <v>0.0717136627922204</v>
      </c>
      <c r="AA51" s="47" t="n">
        <f aca="false">MAX(0,(P51/(1+Assumptions!$B$27)-(L51*(Assumptions!$B$4+IF(H51="Yes",0,Assumptions!$B$5)))*(1+(Assumptions!$B$7*(Assumptions!$B$8*N51*Assumptions!$B$9+Assumptions!$B$10)))-P51*(Assumptions!$B$12+Assumptions!$B$13+IF(P51&gt;=Assumptions!$B$16,Assumptions!$B$17,IF(P51&gt;=Assumptions!$B$14,Assumptions!$B$15,0))))/((1+IF(H51="Yes",Assumptions!$B$6,0))*(1+(Assumptions!$B$7*(Assumptions!$B$8*N51*Assumptions!$B$9+Assumptions!$B$10)))+Assumptions!$B$11*N51))</f>
        <v>1261275.43394128</v>
      </c>
      <c r="AB51" s="50" t="n">
        <f aca="false">IF(AA51&lt;=0,"no price works",D51/AA51)</f>
        <v>1.31612806792944</v>
      </c>
      <c r="AC51" s="46" t="n">
        <f aca="false">(INDEX(Assumptions!$B$36:$B$48,MATCH(AK51,Assumptions!$A$36:$A$48,0))+IF(I51="Yes",Assumptions!$B$23,0)+IF(J51="Yes",Assumptions!$B$24,0))*(1+Assumptions!$B$28)</f>
        <v>1350</v>
      </c>
      <c r="AD51" s="47" t="n">
        <f aca="false">(L51)*AC51-(((D51)+(L51)*Assumptions!$B$4+IF(H51="Yes",Assumptions!$B$6*(D51),(L51)*Assumptions!$B$5))*(1+Assumptions!$B$7*(Assumptions!$B$8*(N51)*Assumptions!$B$9+Assumptions!$B$10))+(D51)*Assumptions!$B$11*(N51)+(L51)*AC51*(Assumptions!$B$12+Assumptions!$B$13+IF((L51)*AC51&gt;=Assumptions!$B$16,Assumptions!$B$17,IF((L51)*AC51&gt;=Assumptions!$B$14,Assumptions!$B$15,0))))</f>
        <v>-121647.74375</v>
      </c>
      <c r="AE51" s="46" t="n">
        <f aca="false">(INDEX(Assumptions!$B$36:$B$48,MATCH(AK51,Assumptions!$A$36:$A$48,0))+IF(I51="Yes",Assumptions!$B$23,0)+IF(J51="Yes",Assumptions!$B$24,0))*(1+Assumptions!$B$29)</f>
        <v>1485</v>
      </c>
      <c r="AF51" s="47" t="n">
        <f aca="false">(L51)*AE51-(((D51)+(L51)*Assumptions!$B$4+IF(H51="Yes",Assumptions!$B$6*(D51),(L51)*Assumptions!$B$5))*(1+Assumptions!$B$7*(Assumptions!$B$8*(N51)*Assumptions!$B$9+Assumptions!$B$10))+(D51)*Assumptions!$B$11*(N51)+(L51)*AE51*(Assumptions!$B$12+Assumptions!$B$13+IF((L51)*AE51&gt;=Assumptions!$B$16,Assumptions!$B$17,IF((L51)*AE51&gt;=Assumptions!$B$14,Assumptions!$B$15,0))))</f>
        <v>488397.14125</v>
      </c>
      <c r="AG51" s="46" t="n">
        <f aca="false">(INDEX(Assumptions!$B$36:$B$48,MATCH(AK51,Assumptions!$A$36:$A$48,0))+IF(I51="Yes",Assumptions!$B$23,0)+IF(J51="Yes",Assumptions!$B$24,0))*(1+Assumptions!$B$30)</f>
        <v>1620</v>
      </c>
      <c r="AH51" s="47" t="n">
        <f aca="false">(L51)*AG51-(((D51)+(L51)*Assumptions!$B$4+IF(H51="Yes",Assumptions!$B$6*(D51),(L51)*Assumptions!$B$5))*(1+Assumptions!$B$7*(Assumptions!$B$8*(N51)*Assumptions!$B$9+Assumptions!$B$10))+(D51)*Assumptions!$B$11*(N51)+(L51)*AG51*(Assumptions!$B$12+Assumptions!$B$13+IF((L51)*AG51&gt;=Assumptions!$B$16,Assumptions!$B$17,IF((L51)*AG51&gt;=Assumptions!$B$14,Assumptions!$B$15,0))))</f>
        <v>1098442.02625</v>
      </c>
      <c r="AI51" s="47" t="n">
        <f aca="false">(L51)*AE51-(((D51)+(L51)*Assumptions!$B$25+IF(H51="Yes",Assumptions!$B$6*(D51),(L51)*Assumptions!$B$5))*(1+Assumptions!$B$7*(Assumptions!$B$8*(N51)*Assumptions!$B$9+Assumptions!$B$10))+(D51)*Assumptions!$B$11*(N51)+(L51)*AE51*(Assumptions!$B$12+Assumptions!$B$13+IF((L51)*AE51&gt;=Assumptions!$B$16,Assumptions!$B$17,IF((L51)*AE51&gt;=Assumptions!$B$14,Assumptions!$B$15,0))))</f>
        <v>765295.95375</v>
      </c>
      <c r="AJ51" s="47" t="n">
        <f aca="false">(L51)*AE51-(((D51)+(L51)*Assumptions!$B$26+IF(H51="Yes",Assumptions!$B$6*(D51),(L51)*Assumptions!$B$5))*(1+Assumptions!$B$7*(Assumptions!$B$8*(N51)*Assumptions!$B$9+Assumptions!$B$10))+(D51)*Assumptions!$B$11*(N51)+(L51)*AE51*(Assumptions!$B$12+Assumptions!$B$13+IF((L51)*AE51&gt;=Assumptions!$B$16,Assumptions!$B$17,IF((L51)*AE51&gt;=Assumptions!$B$14,Assumptions!$B$15,0))))</f>
        <v>1042194.76625</v>
      </c>
      <c r="AK51" s="40" t="s">
        <v>111</v>
      </c>
      <c r="AL51" s="45" t="n">
        <f aca="false">IF(G51&gt;0,G51,ROUND(F51*Assumptions!$B$18,0))</f>
        <v>2208</v>
      </c>
      <c r="AM51" s="45" t="n">
        <f aca="false">IF(H51="Yes",AL51,MAX(AL51,MIN(Assumptions!$B$20,ROUND(E51*Assumptions!$B$19,0))))</f>
        <v>4915</v>
      </c>
      <c r="AN51" s="47" t="n">
        <f aca="false">(AL51)*AE51-(((D51)+(AL51)*Assumptions!$B$4+IF(H51="Yes",Assumptions!$B$6*(D51),(AL51)*Assumptions!$B$5))*(1+Assumptions!$B$7*(Assumptions!$B$8*(Assumptions!$B$21)*Assumptions!$B$9+Assumptions!$B$10))+(D51)*Assumptions!$B$11*(Assumptions!$B$21)+(AL51)*AE51*(Assumptions!$B$12+Assumptions!$B$13+IF((AL51)*AE51&gt;=Assumptions!$B$16,Assumptions!$B$17,IF((AL51)*AE51&gt;=Assumptions!$B$14,Assumptions!$B$15,0))))</f>
        <v>-561105.327999999</v>
      </c>
      <c r="AO51" s="47" t="n">
        <f aca="false">(AM51)*AE51-(((D51)+(AM51)*Assumptions!$B$4+IF(H51="Yes",Assumptions!$B$6*(D51),(AM51)*Assumptions!$B$5))*(1+Assumptions!$B$7*(Assumptions!$B$8*(IF(AM51&gt;AL51,Assumptions!$B$22,Assumptions!$B$21))*Assumptions!$B$9+Assumptions!$B$10))+(D51)*Assumptions!$B$11*(IF(AM51&gt;AL51,Assumptions!$B$22,Assumptions!$B$21))+(AM51)*AE51*(Assumptions!$B$12+Assumptions!$B$13+IF((AM51)*AE51&gt;=Assumptions!$B$16,Assumptions!$B$17,IF((AM51)*AE51&gt;=Assumptions!$B$14,Assumptions!$B$15,0))))</f>
        <v>488397.14125</v>
      </c>
      <c r="AP51" s="47" t="n">
        <f aca="false">Assumptions!$B$7*(Q51+R51+S51)</f>
        <v>3554931.25</v>
      </c>
    </row>
    <row r="52" customFormat="false" ht="15" hidden="false" customHeight="false" outlineLevel="0" collapsed="false">
      <c r="A52" s="40" t="n">
        <v>50</v>
      </c>
      <c r="B52" s="40" t="s">
        <v>170</v>
      </c>
      <c r="C52" s="40" t="s">
        <v>117</v>
      </c>
      <c r="D52" s="41" t="n">
        <v>2595000</v>
      </c>
      <c r="E52" s="42" t="n">
        <v>8528</v>
      </c>
      <c r="F52" s="42" t="n">
        <v>2020</v>
      </c>
      <c r="G52" s="42" t="n">
        <v>3377</v>
      </c>
      <c r="H52" s="43" t="s">
        <v>71</v>
      </c>
      <c r="I52" s="43" t="s">
        <v>80</v>
      </c>
      <c r="J52" s="43" t="s">
        <v>71</v>
      </c>
      <c r="K52" s="44" t="s">
        <v>171</v>
      </c>
      <c r="L52" s="45" t="n">
        <f aca="false">IF(AO52&gt;AN52,AM52,AL52)</f>
        <v>3377</v>
      </c>
      <c r="M52" s="40" t="str">
        <f aca="false">IF(AO52&gt;AN52,"Zoning estimate",IF(H52="Yes","Approved plans",IF(G52&gt;0,"Listing claim","110% old house")))</f>
        <v>Listing claim</v>
      </c>
      <c r="N52" s="45" t="n">
        <f aca="false">IF(AO52&gt;AN52,IF(AM52&gt;AL52,Assumptions!$B$22,Assumptions!$B$21),Assumptions!$B$21)</f>
        <v>2</v>
      </c>
      <c r="O52" s="46" t="n">
        <f aca="false">(INDEX(Assumptions!$B$36:$B$48,MATCH(AK52,Assumptions!$A$36:$A$48,0))+IF(I52="Yes",Assumptions!$B$23,0)+IF(J52="Yes",Assumptions!$B$24,0))*(1+IF(UPPER(Assumptions!$B$31)="WORST",Assumptions!$B$28,IF(UPPER(Assumptions!$B$31)="BEST",Assumptions!$B$30,Assumptions!$B$29)))</f>
        <v>1650</v>
      </c>
      <c r="P52" s="47" t="n">
        <f aca="false">L52*O52</f>
        <v>5572050</v>
      </c>
      <c r="Q52" s="47" t="n">
        <f aca="false">D52</f>
        <v>2595000</v>
      </c>
      <c r="R52" s="47" t="n">
        <f aca="false">L52*Assumptions!$B$4</f>
        <v>2363900</v>
      </c>
      <c r="S52" s="47" t="n">
        <f aca="false">IF(H52="Yes",Assumptions!$B$6*(D52),(L52)*Assumptions!$B$5)</f>
        <v>253275</v>
      </c>
      <c r="T52" s="47" t="n">
        <f aca="false">AP52*(Assumptions!$B$8*N52*Assumptions!$B$9+Assumptions!$B$10)</f>
        <v>457368.35625</v>
      </c>
      <c r="U52" s="47" t="n">
        <f aca="false">Q52*Assumptions!$B$11*N52</f>
        <v>62280</v>
      </c>
      <c r="V52" s="47" t="n">
        <f aca="false">P52*(Assumptions!$B$12+Assumptions!$B$13)</f>
        <v>226225.23</v>
      </c>
      <c r="W52" s="47" t="n">
        <f aca="false">P52*IF(P52&gt;=Assumptions!$B$16,Assumptions!$B$17,IF(P52&gt;=Assumptions!$B$14,Assumptions!$B$15,0))</f>
        <v>222882</v>
      </c>
      <c r="X52" s="48" t="n">
        <f aca="false">SUM(Q52:W52)</f>
        <v>6180930.58625</v>
      </c>
      <c r="Y52" s="48" t="n">
        <f aca="false">P52-X52</f>
        <v>-608880.586249999</v>
      </c>
      <c r="Z52" s="49" t="n">
        <f aca="false">IF(X52=0,0,Y52/X52)</f>
        <v>-0.0985095331121344</v>
      </c>
      <c r="AA52" s="47" t="n">
        <f aca="false">MAX(0,(P52/(1+Assumptions!$B$27)-(L52*(Assumptions!$B$4+IF(H52="Yes",0,Assumptions!$B$5)))*(1+(Assumptions!$B$7*(Assumptions!$B$8*N52*Assumptions!$B$9+Assumptions!$B$10)))-P52*(Assumptions!$B$12+Assumptions!$B$13+IF(P52&gt;=Assumptions!$B$16,Assumptions!$B$17,IF(P52&gt;=Assumptions!$B$14,Assumptions!$B$15,0))))/((1+IF(H52="Yes",Assumptions!$B$6,0))*(1+(Assumptions!$B$7*(Assumptions!$B$8*N52*Assumptions!$B$9+Assumptions!$B$10)))+Assumptions!$B$11*N52))</f>
        <v>1393588.06684526</v>
      </c>
      <c r="AB52" s="50" t="n">
        <f aca="false">IF(AA52&lt;=0,"no price works",D52/AA52)</f>
        <v>1.86209975654746</v>
      </c>
      <c r="AC52" s="46" t="n">
        <f aca="false">(INDEX(Assumptions!$B$36:$B$48,MATCH(AK52,Assumptions!$A$36:$A$48,0))+IF(I52="Yes",Assumptions!$B$23,0)+IF(J52="Yes",Assumptions!$B$24,0))*(1+Assumptions!$B$28)</f>
        <v>1500</v>
      </c>
      <c r="AD52" s="47" t="n">
        <f aca="false">(L52)*AC52-(((D52)+(L52)*Assumptions!$B$4+IF(H52="Yes",Assumptions!$B$6*(D52),(L52)*Assumptions!$B$5))*(1+Assumptions!$B$7*(Assumptions!$B$8*(N52)*Assumptions!$B$9+Assumptions!$B$10))+(D52)*Assumptions!$B$11*(N52)+(L52)*AC52*(Assumptions!$B$12+Assumptions!$B$13+IF((L52)*AC52&gt;=Assumptions!$B$16,Assumptions!$B$17,IF((L52)*AC52&gt;=Assumptions!$B$14,Assumptions!$B$15,0))))</f>
        <v>-871982.65625</v>
      </c>
      <c r="AE52" s="46" t="n">
        <f aca="false">(INDEX(Assumptions!$B$36:$B$48,MATCH(AK52,Assumptions!$A$36:$A$48,0))+IF(I52="Yes",Assumptions!$B$23,0)+IF(J52="Yes",Assumptions!$B$24,0))*(1+Assumptions!$B$29)</f>
        <v>1650</v>
      </c>
      <c r="AF52" s="47" t="n">
        <f aca="false">(L52)*AE52-(((D52)+(L52)*Assumptions!$B$4+IF(H52="Yes",Assumptions!$B$6*(D52),(L52)*Assumptions!$B$5))*(1+Assumptions!$B$7*(Assumptions!$B$8*(N52)*Assumptions!$B$9+Assumptions!$B$10))+(D52)*Assumptions!$B$11*(N52)+(L52)*AE52*(Assumptions!$B$12+Assumptions!$B$13+IF((L52)*AE52&gt;=Assumptions!$B$16,Assumptions!$B$17,IF((L52)*AE52&gt;=Assumptions!$B$14,Assumptions!$B$15,0))))</f>
        <v>-608880.58625</v>
      </c>
      <c r="AG52" s="46" t="n">
        <f aca="false">(INDEX(Assumptions!$B$36:$B$48,MATCH(AK52,Assumptions!$A$36:$A$48,0))+IF(I52="Yes",Assumptions!$B$23,0)+IF(J52="Yes",Assumptions!$B$24,0))*(1+Assumptions!$B$30)</f>
        <v>1800</v>
      </c>
      <c r="AH52" s="47" t="n">
        <f aca="false">(L52)*AG52-(((D52)+(L52)*Assumptions!$B$4+IF(H52="Yes",Assumptions!$B$6*(D52),(L52)*Assumptions!$B$5))*(1+Assumptions!$B$7*(Assumptions!$B$8*(N52)*Assumptions!$B$9+Assumptions!$B$10))+(D52)*Assumptions!$B$11*(N52)+(L52)*AG52*(Assumptions!$B$12+Assumptions!$B$13+IF((L52)*AG52&gt;=Assumptions!$B$16,Assumptions!$B$17,IF((L52)*AG52&gt;=Assumptions!$B$14,Assumptions!$B$15,0))))</f>
        <v>-143158.51625</v>
      </c>
      <c r="AI52" s="47" t="n">
        <f aca="false">(L52)*AE52-(((D52)+(L52)*Assumptions!$B$25+IF(H52="Yes",Assumptions!$B$6*(D52),(L52)*Assumptions!$B$5))*(1+Assumptions!$B$7*(Assumptions!$B$8*(N52)*Assumptions!$B$9+Assumptions!$B$10))+(D52)*Assumptions!$B$11*(N52)+(L52)*AE52*(Assumptions!$B$12+Assumptions!$B$13+IF((L52)*AE52&gt;=Assumptions!$B$16,Assumptions!$B$17,IF((L52)*AE52&gt;=Assumptions!$B$14,Assumptions!$B$15,0))))</f>
        <v>-425213.998749999</v>
      </c>
      <c r="AJ52" s="47" t="n">
        <f aca="false">(L52)*AE52-(((D52)+(L52)*Assumptions!$B$26+IF(H52="Yes",Assumptions!$B$6*(D52),(L52)*Assumptions!$B$5))*(1+Assumptions!$B$7*(Assumptions!$B$8*(N52)*Assumptions!$B$9+Assumptions!$B$10))+(D52)*Assumptions!$B$11*(N52)+(L52)*AE52*(Assumptions!$B$12+Assumptions!$B$13+IF((L52)*AE52&gt;=Assumptions!$B$16,Assumptions!$B$17,IF((L52)*AE52&gt;=Assumptions!$B$14,Assumptions!$B$15,0))))</f>
        <v>-241547.41125</v>
      </c>
      <c r="AK52" s="40" t="s">
        <v>119</v>
      </c>
      <c r="AL52" s="45" t="n">
        <f aca="false">IF(G52&gt;0,G52,ROUND(F52*Assumptions!$B$18,0))</f>
        <v>3377</v>
      </c>
      <c r="AM52" s="45" t="n">
        <f aca="false">IF(H52="Yes",AL52,MAX(AL52,MIN(Assumptions!$B$20,ROUND(E52*Assumptions!$B$19,0))))</f>
        <v>3411</v>
      </c>
      <c r="AN52" s="47" t="n">
        <f aca="false">(AL52)*AE52-(((D52)+(AL52)*Assumptions!$B$4+IF(H52="Yes",Assumptions!$B$6*(D52),(AL52)*Assumptions!$B$5))*(1+Assumptions!$B$7*(Assumptions!$B$8*(Assumptions!$B$21)*Assumptions!$B$9+Assumptions!$B$10))+(D52)*Assumptions!$B$11*(Assumptions!$B$21)+(AL52)*AE52*(Assumptions!$B$12+Assumptions!$B$13+IF((AL52)*AE52&gt;=Assumptions!$B$16,Assumptions!$B$17,IF((AL52)*AE52&gt;=Assumptions!$B$14,Assumptions!$B$15,0))))</f>
        <v>-608880.58625</v>
      </c>
      <c r="AO52" s="47" t="n">
        <f aca="false">(AM52)*AE52-(((D52)+(AM52)*Assumptions!$B$4+IF(H52="Yes",Assumptions!$B$6*(D52),(AM52)*Assumptions!$B$5))*(1+Assumptions!$B$7*(Assumptions!$B$8*(IF(AM52&gt;AL52,Assumptions!$B$22,Assumptions!$B$21))*Assumptions!$B$9+Assumptions!$B$10))+(D52)*Assumptions!$B$11*(IF(AM52&gt;AL52,Assumptions!$B$22,Assumptions!$B$21))+(AM52)*AE52*(Assumptions!$B$12+Assumptions!$B$13+IF((AM52)*AE52&gt;=Assumptions!$B$16,Assumptions!$B$17,IF((AM52)*AE52&gt;=Assumptions!$B$14,Assumptions!$B$15,0))))</f>
        <v>-821406.933749999</v>
      </c>
      <c r="AP52" s="47" t="n">
        <f aca="false">Assumptions!$B$7*(Q52+R52+S52)</f>
        <v>3387913.75</v>
      </c>
    </row>
    <row r="53" customFormat="false" ht="15" hidden="false" customHeight="false" outlineLevel="0" collapsed="false">
      <c r="A53" s="40" t="n">
        <v>51</v>
      </c>
      <c r="B53" s="40" t="s">
        <v>172</v>
      </c>
      <c r="C53" s="40" t="s">
        <v>75</v>
      </c>
      <c r="D53" s="41" t="n">
        <v>1500000</v>
      </c>
      <c r="E53" s="42" t="n">
        <v>5212</v>
      </c>
      <c r="F53" s="42" t="n">
        <v>1395</v>
      </c>
      <c r="G53" s="42"/>
      <c r="H53" s="43" t="s">
        <v>71</v>
      </c>
      <c r="I53" s="43" t="s">
        <v>71</v>
      </c>
      <c r="J53" s="43" t="s">
        <v>71</v>
      </c>
      <c r="K53" s="44"/>
      <c r="L53" s="45" t="n">
        <f aca="false">IF(AO53&gt;AN53,AM53,AL53)</f>
        <v>2085</v>
      </c>
      <c r="M53" s="40" t="str">
        <f aca="false">IF(AO53&gt;AN53,"Zoning estimate",IF(H53="Yes","Approved plans",IF(G53&gt;0,"Listing claim","110% old house")))</f>
        <v>Zoning estimate</v>
      </c>
      <c r="N53" s="45" t="n">
        <f aca="false">IF(AO53&gt;AN53,IF(AM53&gt;AL53,Assumptions!$B$22,Assumptions!$B$21),Assumptions!$B$21)</f>
        <v>3</v>
      </c>
      <c r="O53" s="46" t="n">
        <f aca="false">(INDEX(Assumptions!$B$36:$B$48,MATCH(AK53,Assumptions!$A$36:$A$48,0))+IF(I53="Yes",Assumptions!$B$23,0)+IF(J53="Yes",Assumptions!$B$24,0))*(1+IF(UPPER(Assumptions!$B$31)="WORST",Assumptions!$B$28,IF(UPPER(Assumptions!$B$31)="BEST",Assumptions!$B$30,Assumptions!$B$29)))</f>
        <v>1540</v>
      </c>
      <c r="P53" s="47" t="n">
        <f aca="false">L53*O53</f>
        <v>3210900</v>
      </c>
      <c r="Q53" s="47" t="n">
        <f aca="false">D53</f>
        <v>1500000</v>
      </c>
      <c r="R53" s="47" t="n">
        <f aca="false">L53*Assumptions!$B$4</f>
        <v>1459500</v>
      </c>
      <c r="S53" s="47" t="n">
        <f aca="false">IF(H53="Yes",Assumptions!$B$6*(D53),(L53)*Assumptions!$B$5)</f>
        <v>156375</v>
      </c>
      <c r="T53" s="47" t="n">
        <f aca="false">AP53*(Assumptions!$B$8*N53*Assumptions!$B$9+Assumptions!$B$10)</f>
        <v>394937.15625</v>
      </c>
      <c r="U53" s="47" t="n">
        <f aca="false">Q53*Assumptions!$B$11*N53</f>
        <v>54000</v>
      </c>
      <c r="V53" s="47" t="n">
        <f aca="false">P53*(Assumptions!$B$12+Assumptions!$B$13)</f>
        <v>130362.54</v>
      </c>
      <c r="W53" s="47" t="n">
        <f aca="false">P53*IF(P53&gt;=Assumptions!$B$16,Assumptions!$B$17,IF(P53&gt;=Assumptions!$B$14,Assumptions!$B$15,0))</f>
        <v>0</v>
      </c>
      <c r="X53" s="48" t="n">
        <f aca="false">SUM(Q53:W53)</f>
        <v>3695174.69625</v>
      </c>
      <c r="Y53" s="48" t="n">
        <f aca="false">P53-X53</f>
        <v>-484274.69625</v>
      </c>
      <c r="Z53" s="49" t="n">
        <f aca="false">IF(X53=0,0,Y53/X53)</f>
        <v>-0.13105596786573</v>
      </c>
      <c r="AA53" s="47" t="n">
        <f aca="false">MAX(0,(P53/(1+Assumptions!$B$27)-(L53*(Assumptions!$B$4+IF(H53="Yes",0,Assumptions!$B$5)))*(1+(Assumptions!$B$7*(Assumptions!$B$8*N53*Assumptions!$B$9+Assumptions!$B$10)))-P53*(Assumptions!$B$12+Assumptions!$B$13+IF(P53&gt;=Assumptions!$B$16,Assumptions!$B$17,IF(P53&gt;=Assumptions!$B$14,Assumptions!$B$15,0))))/((1+IF(H53="Yes",Assumptions!$B$6,0))*(1+(Assumptions!$B$7*(Assumptions!$B$8*N53*Assumptions!$B$9+Assumptions!$B$10)))+Assumptions!$B$11*N53))</f>
        <v>723317.359941294</v>
      </c>
      <c r="AB53" s="50" t="n">
        <f aca="false">IF(AA53&lt;=0,"no price works",D53/AA53)</f>
        <v>2.07377851420812</v>
      </c>
      <c r="AC53" s="46" t="n">
        <f aca="false">(INDEX(Assumptions!$B$36:$B$48,MATCH(AK53,Assumptions!$A$36:$A$48,0))+IF(I53="Yes",Assumptions!$B$23,0)+IF(J53="Yes",Assumptions!$B$24,0))*(1+Assumptions!$B$28)</f>
        <v>1400</v>
      </c>
      <c r="AD53" s="47" t="n">
        <f aca="false">(L53)*AC53-(((D53)+(L53)*Assumptions!$B$4+IF(H53="Yes",Assumptions!$B$6*(D53),(L53)*Assumptions!$B$5))*(1+Assumptions!$B$7*(Assumptions!$B$8*(N53)*Assumptions!$B$9+Assumptions!$B$10))+(D53)*Assumptions!$B$11*(N53)+(L53)*AC53*(Assumptions!$B$12+Assumptions!$B$13+IF((L53)*AC53&gt;=Assumptions!$B$16,Assumptions!$B$17,IF((L53)*AC53&gt;=Assumptions!$B$14,Assumptions!$B$15,0))))</f>
        <v>-764323.556249999</v>
      </c>
      <c r="AE53" s="46" t="n">
        <f aca="false">(INDEX(Assumptions!$B$36:$B$48,MATCH(AK53,Assumptions!$A$36:$A$48,0))+IF(I53="Yes",Assumptions!$B$23,0)+IF(J53="Yes",Assumptions!$B$24,0))*(1+Assumptions!$B$29)</f>
        <v>1540</v>
      </c>
      <c r="AF53" s="47" t="n">
        <f aca="false">(L53)*AE53-(((D53)+(L53)*Assumptions!$B$4+IF(H53="Yes",Assumptions!$B$6*(D53),(L53)*Assumptions!$B$5))*(1+Assumptions!$B$7*(Assumptions!$B$8*(N53)*Assumptions!$B$9+Assumptions!$B$10))+(D53)*Assumptions!$B$11*(N53)+(L53)*AE53*(Assumptions!$B$12+Assumptions!$B$13+IF((L53)*AE53&gt;=Assumptions!$B$16,Assumptions!$B$17,IF((L53)*AE53&gt;=Assumptions!$B$14,Assumptions!$B$15,0))))</f>
        <v>-484274.696249999</v>
      </c>
      <c r="AG53" s="46" t="n">
        <f aca="false">(INDEX(Assumptions!$B$36:$B$48,MATCH(AK53,Assumptions!$A$36:$A$48,0))+IF(I53="Yes",Assumptions!$B$23,0)+IF(J53="Yes",Assumptions!$B$24,0))*(1+Assumptions!$B$30)</f>
        <v>1680</v>
      </c>
      <c r="AH53" s="47" t="n">
        <f aca="false">(L53)*AG53-(((D53)+(L53)*Assumptions!$B$4+IF(H53="Yes",Assumptions!$B$6*(D53),(L53)*Assumptions!$B$5))*(1+Assumptions!$B$7*(Assumptions!$B$8*(N53)*Assumptions!$B$9+Assumptions!$B$10))+(D53)*Assumptions!$B$11*(N53)+(L53)*AG53*(Assumptions!$B$12+Assumptions!$B$13+IF((L53)*AG53&gt;=Assumptions!$B$16,Assumptions!$B$17,IF((L53)*AG53&gt;=Assumptions!$B$14,Assumptions!$B$15,0))))</f>
        <v>-204225.83625</v>
      </c>
      <c r="AI53" s="47" t="n">
        <f aca="false">(L53)*AE53-(((D53)+(L53)*Assumptions!$B$25+IF(H53="Yes",Assumptions!$B$6*(D53),(L53)*Assumptions!$B$5))*(1+Assumptions!$B$7*(Assumptions!$B$8*(N53)*Assumptions!$B$9+Assumptions!$B$10))+(D53)*Assumptions!$B$11*(N53)+(L53)*AE53*(Assumptions!$B$12+Assumptions!$B$13+IF((L53)*AE53&gt;=Assumptions!$B$16,Assumptions!$B$17,IF((L53)*AE53&gt;=Assumptions!$B$14,Assumptions!$B$15,0))))</f>
        <v>-366811.008749999</v>
      </c>
      <c r="AJ53" s="47" t="n">
        <f aca="false">(L53)*AE53-(((D53)+(L53)*Assumptions!$B$26+IF(H53="Yes",Assumptions!$B$6*(D53),(L53)*Assumptions!$B$5))*(1+Assumptions!$B$7*(Assumptions!$B$8*(N53)*Assumptions!$B$9+Assumptions!$B$10))+(D53)*Assumptions!$B$11*(N53)+(L53)*AE53*(Assumptions!$B$12+Assumptions!$B$13+IF((L53)*AE53&gt;=Assumptions!$B$16,Assumptions!$B$17,IF((L53)*AE53&gt;=Assumptions!$B$14,Assumptions!$B$15,0))))</f>
        <v>-249347.321249999</v>
      </c>
      <c r="AK53" s="40" t="s">
        <v>77</v>
      </c>
      <c r="AL53" s="45" t="n">
        <f aca="false">IF(G53&gt;0,G53,ROUND(F53*Assumptions!$B$18,0))</f>
        <v>1535</v>
      </c>
      <c r="AM53" s="45" t="n">
        <f aca="false">IF(H53="Yes",AL53,MAX(AL53,MIN(Assumptions!$B$20,ROUND(E53*Assumptions!$B$19,0))))</f>
        <v>2085</v>
      </c>
      <c r="AN53" s="47" t="n">
        <f aca="false">(AL53)*AE53-(((D53)+(AL53)*Assumptions!$B$4+IF(H53="Yes",Assumptions!$B$6*(D53),(AL53)*Assumptions!$B$5))*(1+Assumptions!$B$7*(Assumptions!$B$8*(Assumptions!$B$21)*Assumptions!$B$9+Assumptions!$B$10))+(D53)*Assumptions!$B$11*(Assumptions!$B$21)+(AL53)*AE53*(Assumptions!$B$12+Assumptions!$B$13+IF((AL53)*AE53&gt;=Assumptions!$B$16,Assumptions!$B$17,IF((AL53)*AE53&gt;=Assumptions!$B$14,Assumptions!$B$15,0))))</f>
        <v>-693713.933749999</v>
      </c>
      <c r="AO53" s="47" t="n">
        <f aca="false">(AM53)*AE53-(((D53)+(AM53)*Assumptions!$B$4+IF(H53="Yes",Assumptions!$B$6*(D53),(AM53)*Assumptions!$B$5))*(1+Assumptions!$B$7*(Assumptions!$B$8*(IF(AM53&gt;AL53,Assumptions!$B$22,Assumptions!$B$21))*Assumptions!$B$9+Assumptions!$B$10))+(D53)*Assumptions!$B$11*(IF(AM53&gt;AL53,Assumptions!$B$22,Assumptions!$B$21))+(AM53)*AE53*(Assumptions!$B$12+Assumptions!$B$13+IF((AM53)*AE53&gt;=Assumptions!$B$16,Assumptions!$B$17,IF((AM53)*AE53&gt;=Assumptions!$B$14,Assumptions!$B$15,0))))</f>
        <v>-484274.696249999</v>
      </c>
      <c r="AP53" s="47" t="n">
        <f aca="false">Assumptions!$B$7*(Q53+R53+S53)</f>
        <v>2025318.75</v>
      </c>
    </row>
    <row r="54" customFormat="false" ht="15" hidden="false" customHeight="false" outlineLevel="0" collapsed="false">
      <c r="A54" s="40" t="n">
        <v>52</v>
      </c>
      <c r="B54" s="40" t="s">
        <v>173</v>
      </c>
      <c r="C54" s="40" t="s">
        <v>126</v>
      </c>
      <c r="D54" s="41" t="n">
        <v>2350000</v>
      </c>
      <c r="E54" s="42" t="n">
        <v>6575</v>
      </c>
      <c r="F54" s="42" t="n">
        <v>3356</v>
      </c>
      <c r="G54" s="42"/>
      <c r="H54" s="43" t="s">
        <v>71</v>
      </c>
      <c r="I54" s="43" t="s">
        <v>80</v>
      </c>
      <c r="J54" s="43" t="s">
        <v>71</v>
      </c>
      <c r="K54" s="44" t="s">
        <v>174</v>
      </c>
      <c r="L54" s="45" t="n">
        <f aca="false">IF(AO54&gt;AN54,AM54,AL54)</f>
        <v>3692</v>
      </c>
      <c r="M54" s="40" t="str">
        <f aca="false">IF(AO54&gt;AN54,"Zoning estimate",IF(H54="Yes","Approved plans",IF(G54&gt;0,"Listing claim","110% old house")))</f>
        <v>110% old house</v>
      </c>
      <c r="N54" s="45" t="n">
        <f aca="false">IF(AO54&gt;AN54,IF(AM54&gt;AL54,Assumptions!$B$22,Assumptions!$B$21),Assumptions!$B$21)</f>
        <v>2</v>
      </c>
      <c r="O54" s="46" t="n">
        <f aca="false">(INDEX(Assumptions!$B$36:$B$48,MATCH(AK54,Assumptions!$A$36:$A$48,0))+IF(I54="Yes",Assumptions!$B$23,0)+IF(J54="Yes",Assumptions!$B$24,0))*(1+IF(UPPER(Assumptions!$B$31)="WORST",Assumptions!$B$28,IF(UPPER(Assumptions!$B$31)="BEST",Assumptions!$B$30,Assumptions!$B$29)))</f>
        <v>1540</v>
      </c>
      <c r="P54" s="47" t="n">
        <f aca="false">L54*O54</f>
        <v>5685680</v>
      </c>
      <c r="Q54" s="47" t="n">
        <f aca="false">D54</f>
        <v>2350000</v>
      </c>
      <c r="R54" s="47" t="n">
        <f aca="false">L54*Assumptions!$B$4</f>
        <v>2584400</v>
      </c>
      <c r="S54" s="47" t="n">
        <f aca="false">IF(H54="Yes",Assumptions!$B$6*(D54),(L54)*Assumptions!$B$5)</f>
        <v>276900</v>
      </c>
      <c r="T54" s="47" t="n">
        <f aca="false">AP54*(Assumptions!$B$8*N54*Assumptions!$B$9+Assumptions!$B$10)</f>
        <v>457291.575</v>
      </c>
      <c r="U54" s="47" t="n">
        <f aca="false">Q54*Assumptions!$B$11*N54</f>
        <v>56400</v>
      </c>
      <c r="V54" s="47" t="n">
        <f aca="false">P54*(Assumptions!$B$12+Assumptions!$B$13)</f>
        <v>230838.608</v>
      </c>
      <c r="W54" s="47" t="n">
        <f aca="false">P54*IF(P54&gt;=Assumptions!$B$16,Assumptions!$B$17,IF(P54&gt;=Assumptions!$B$14,Assumptions!$B$15,0))</f>
        <v>227427.2</v>
      </c>
      <c r="X54" s="48" t="n">
        <f aca="false">SUM(Q54:W54)</f>
        <v>6183257.383</v>
      </c>
      <c r="Y54" s="48" t="n">
        <f aca="false">P54-X54</f>
        <v>-497577.382999999</v>
      </c>
      <c r="Z54" s="49" t="n">
        <f aca="false">IF(X54=0,0,Y54/X54)</f>
        <v>-0.0804717242351934</v>
      </c>
      <c r="AA54" s="47" t="n">
        <f aca="false">MAX(0,(P54/(1+Assumptions!$B$27)-(L54*(Assumptions!$B$4+IF(H54="Yes",0,Assumptions!$B$5)))*(1+(Assumptions!$B$7*(Assumptions!$B$8*N54*Assumptions!$B$9+Assumptions!$B$10)))-P54*(Assumptions!$B$12+Assumptions!$B$13+IF(P54&gt;=Assumptions!$B$16,Assumptions!$B$17,IF(P54&gt;=Assumptions!$B$14,Assumptions!$B$15,0))))/((1+IF(H54="Yes",Assumptions!$B$6,0))*(1+(Assumptions!$B$7*(Assumptions!$B$8*N54*Assumptions!$B$9+Assumptions!$B$10)))+Assumptions!$B$11*N54))</f>
        <v>1235371.87516743</v>
      </c>
      <c r="AB54" s="50" t="n">
        <f aca="false">IF(AA54&lt;=0,"no price works",D54/AA54)</f>
        <v>1.90226121157364</v>
      </c>
      <c r="AC54" s="46" t="n">
        <f aca="false">(INDEX(Assumptions!$B$36:$B$48,MATCH(AK54,Assumptions!$A$36:$A$48,0))+IF(I54="Yes",Assumptions!$B$23,0)+IF(J54="Yes",Assumptions!$B$24,0))*(1+Assumptions!$B$28)</f>
        <v>1400</v>
      </c>
      <c r="AD54" s="47" t="n">
        <f aca="false">(L54)*AC54-(((D54)+(L54)*Assumptions!$B$4+IF(H54="Yes",Assumptions!$B$6*(D54),(L54)*Assumptions!$B$5))*(1+Assumptions!$B$7*(Assumptions!$B$8*(N54)*Assumptions!$B$9+Assumptions!$B$10))+(D54)*Assumptions!$B$11*(N54)+(L54)*AC54*(Assumptions!$B$12+Assumptions!$B$13+IF((L54)*AC54&gt;=Assumptions!$B$16,Assumptions!$B$17,IF((L54)*AC54&gt;=Assumptions!$B$14,Assumptions!$B$15,0))))</f>
        <v>-766044.855</v>
      </c>
      <c r="AE54" s="46" t="n">
        <f aca="false">(INDEX(Assumptions!$B$36:$B$48,MATCH(AK54,Assumptions!$A$36:$A$48,0))+IF(I54="Yes",Assumptions!$B$23,0)+IF(J54="Yes",Assumptions!$B$24,0))*(1+Assumptions!$B$29)</f>
        <v>1540</v>
      </c>
      <c r="AF54" s="47" t="n">
        <f aca="false">(L54)*AE54-(((D54)+(L54)*Assumptions!$B$4+IF(H54="Yes",Assumptions!$B$6*(D54),(L54)*Assumptions!$B$5))*(1+Assumptions!$B$7*(Assumptions!$B$8*(N54)*Assumptions!$B$9+Assumptions!$B$10))+(D54)*Assumptions!$B$11*(N54)+(L54)*AE54*(Assumptions!$B$12+Assumptions!$B$13+IF((L54)*AE54&gt;=Assumptions!$B$16,Assumptions!$B$17,IF((L54)*AE54&gt;=Assumptions!$B$14,Assumptions!$B$15,0))))</f>
        <v>-497577.382999999</v>
      </c>
      <c r="AG54" s="46" t="n">
        <f aca="false">(INDEX(Assumptions!$B$36:$B$48,MATCH(AK54,Assumptions!$A$36:$A$48,0))+IF(I54="Yes",Assumptions!$B$23,0)+IF(J54="Yes",Assumptions!$B$24,0))*(1+Assumptions!$B$30)</f>
        <v>1680</v>
      </c>
      <c r="AH54" s="47" t="n">
        <f aca="false">(L54)*AG54-(((D54)+(L54)*Assumptions!$B$4+IF(H54="Yes",Assumptions!$B$6*(D54),(L54)*Assumptions!$B$5))*(1+Assumptions!$B$7*(Assumptions!$B$8*(N54)*Assumptions!$B$9+Assumptions!$B$10))+(D54)*Assumptions!$B$11*(N54)+(L54)*AG54*(Assumptions!$B$12+Assumptions!$B$13+IF((L54)*AG54&gt;=Assumptions!$B$16,Assumptions!$B$17,IF((L54)*AG54&gt;=Assumptions!$B$14,Assumptions!$B$15,0))))</f>
        <v>-22357.9110000003</v>
      </c>
      <c r="AI54" s="47" t="n">
        <f aca="false">(L54)*AE54-(((D54)+(L54)*Assumptions!$B$25+IF(H54="Yes",Assumptions!$B$6*(D54),(L54)*Assumptions!$B$5))*(1+Assumptions!$B$7*(Assumptions!$B$8*(N54)*Assumptions!$B$9+Assumptions!$B$10))+(D54)*Assumptions!$B$11*(N54)+(L54)*AE54*(Assumptions!$B$12+Assumptions!$B$13+IF((L54)*AE54&gt;=Assumptions!$B$16,Assumptions!$B$17,IF((L54)*AE54&gt;=Assumptions!$B$14,Assumptions!$B$15,0))))</f>
        <v>-296778.732999999</v>
      </c>
      <c r="AJ54" s="47" t="n">
        <f aca="false">(L54)*AE54-(((D54)+(L54)*Assumptions!$B$26+IF(H54="Yes",Assumptions!$B$6*(D54),(L54)*Assumptions!$B$5))*(1+Assumptions!$B$7*(Assumptions!$B$8*(N54)*Assumptions!$B$9+Assumptions!$B$10))+(D54)*Assumptions!$B$11*(N54)+(L54)*AE54*(Assumptions!$B$12+Assumptions!$B$13+IF((L54)*AE54&gt;=Assumptions!$B$16,Assumptions!$B$17,IF((L54)*AE54&gt;=Assumptions!$B$14,Assumptions!$B$15,0))))</f>
        <v>-95980.0829999996</v>
      </c>
      <c r="AK54" s="40" t="s">
        <v>128</v>
      </c>
      <c r="AL54" s="45" t="n">
        <f aca="false">IF(G54&gt;0,G54,ROUND(F54*Assumptions!$B$18,0))</f>
        <v>3692</v>
      </c>
      <c r="AM54" s="45" t="n">
        <f aca="false">IF(H54="Yes",AL54,MAX(AL54,MIN(Assumptions!$B$20,ROUND(E54*Assumptions!$B$19,0))))</f>
        <v>3692</v>
      </c>
      <c r="AN54" s="47" t="n">
        <f aca="false">(AL54)*AE54-(((D54)+(AL54)*Assumptions!$B$4+IF(H54="Yes",Assumptions!$B$6*(D54),(AL54)*Assumptions!$B$5))*(1+Assumptions!$B$7*(Assumptions!$B$8*(Assumptions!$B$21)*Assumptions!$B$9+Assumptions!$B$10))+(D54)*Assumptions!$B$11*(Assumptions!$B$21)+(AL54)*AE54*(Assumptions!$B$12+Assumptions!$B$13+IF((AL54)*AE54&gt;=Assumptions!$B$16,Assumptions!$B$17,IF((AL54)*AE54&gt;=Assumptions!$B$14,Assumptions!$B$15,0))))</f>
        <v>-497577.382999999</v>
      </c>
      <c r="AO54" s="47" t="n">
        <f aca="false">(AM54)*AE54-(((D54)+(AM54)*Assumptions!$B$4+IF(H54="Yes",Assumptions!$B$6*(D54),(AM54)*Assumptions!$B$5))*(1+Assumptions!$B$7*(Assumptions!$B$8*(IF(AM54&gt;AL54,Assumptions!$B$22,Assumptions!$B$21))*Assumptions!$B$9+Assumptions!$B$10))+(D54)*Assumptions!$B$11*(IF(AM54&gt;AL54,Assumptions!$B$22,Assumptions!$B$21))+(AM54)*AE54*(Assumptions!$B$12+Assumptions!$B$13+IF((AM54)*AE54&gt;=Assumptions!$B$16,Assumptions!$B$17,IF((AM54)*AE54&gt;=Assumptions!$B$14,Assumptions!$B$15,0))))</f>
        <v>-497577.382999999</v>
      </c>
      <c r="AP54" s="47" t="n">
        <f aca="false">Assumptions!$B$7*(Q54+R54+S54)</f>
        <v>3387345</v>
      </c>
    </row>
    <row r="55" customFormat="false" ht="15" hidden="false" customHeight="false" outlineLevel="0" collapsed="false">
      <c r="A55" s="40" t="n">
        <v>53</v>
      </c>
      <c r="B55" s="40" t="s">
        <v>175</v>
      </c>
      <c r="C55" s="40" t="s">
        <v>102</v>
      </c>
      <c r="D55" s="41" t="n">
        <v>1395000</v>
      </c>
      <c r="E55" s="42" t="n">
        <v>6333</v>
      </c>
      <c r="F55" s="42" t="n">
        <v>2310</v>
      </c>
      <c r="G55" s="42"/>
      <c r="H55" s="43" t="s">
        <v>71</v>
      </c>
      <c r="I55" s="43" t="s">
        <v>71</v>
      </c>
      <c r="J55" s="43" t="s">
        <v>71</v>
      </c>
      <c r="K55" s="44"/>
      <c r="L55" s="45" t="n">
        <f aca="false">IF(AO55&gt;AN55,AM55,AL55)</f>
        <v>2541</v>
      </c>
      <c r="M55" s="40" t="str">
        <f aca="false">IF(AO55&gt;AN55,"Zoning estimate",IF(H55="Yes","Approved plans",IF(G55&gt;0,"Listing claim","110% old house")))</f>
        <v>110% old house</v>
      </c>
      <c r="N55" s="45" t="n">
        <f aca="false">IF(AO55&gt;AN55,IF(AM55&gt;AL55,Assumptions!$B$22,Assumptions!$B$21),Assumptions!$B$21)</f>
        <v>2</v>
      </c>
      <c r="O55" s="46" t="n">
        <f aca="false">(INDEX(Assumptions!$B$36:$B$48,MATCH(AK55,Assumptions!$A$36:$A$48,0))+IF(I55="Yes",Assumptions!$B$23,0)+IF(J55="Yes",Assumptions!$B$24,0))*(1+IF(UPPER(Assumptions!$B$31)="WORST",Assumptions!$B$28,IF(UPPER(Assumptions!$B$31)="BEST",Assumptions!$B$30,Assumptions!$B$29)))</f>
        <v>1375</v>
      </c>
      <c r="P55" s="47" t="n">
        <f aca="false">L55*O55</f>
        <v>3493875</v>
      </c>
      <c r="Q55" s="47" t="n">
        <f aca="false">D55</f>
        <v>1395000</v>
      </c>
      <c r="R55" s="47" t="n">
        <f aca="false">L55*Assumptions!$B$4</f>
        <v>1778700</v>
      </c>
      <c r="S55" s="47" t="n">
        <f aca="false">IF(H55="Yes",Assumptions!$B$6*(D55),(L55)*Assumptions!$B$5)</f>
        <v>190575</v>
      </c>
      <c r="T55" s="47" t="n">
        <f aca="false">AP55*(Assumptions!$B$8*N55*Assumptions!$B$9+Assumptions!$B$10)</f>
        <v>295215.13125</v>
      </c>
      <c r="U55" s="47" t="n">
        <f aca="false">Q55*Assumptions!$B$11*N55</f>
        <v>33480</v>
      </c>
      <c r="V55" s="47" t="n">
        <f aca="false">P55*(Assumptions!$B$12+Assumptions!$B$13)</f>
        <v>141851.325</v>
      </c>
      <c r="W55" s="47" t="n">
        <f aca="false">P55*IF(P55&gt;=Assumptions!$B$16,Assumptions!$B$17,IF(P55&gt;=Assumptions!$B$14,Assumptions!$B$15,0))</f>
        <v>0</v>
      </c>
      <c r="X55" s="48" t="n">
        <f aca="false">SUM(Q55:W55)</f>
        <v>3834821.45625</v>
      </c>
      <c r="Y55" s="48" t="n">
        <f aca="false">P55-X55</f>
        <v>-340946.45625</v>
      </c>
      <c r="Z55" s="49" t="n">
        <f aca="false">IF(X55=0,0,Y55/X55)</f>
        <v>-0.0889080391720259</v>
      </c>
      <c r="AA55" s="47" t="n">
        <f aca="false">MAX(0,(P55/(1+Assumptions!$B$27)-(L55*(Assumptions!$B$4+IF(H55="Yes",0,Assumptions!$B$5)))*(1+(Assumptions!$B$7*(Assumptions!$B$8*N55*Assumptions!$B$9+Assumptions!$B$10)))-P55*(Assumptions!$B$12+Assumptions!$B$13+IF(P55&gt;=Assumptions!$B$16,Assumptions!$B$17,IF(P55&gt;=Assumptions!$B$14,Assumptions!$B$15,0))))/((1+IF(H55="Yes",Assumptions!$B$6,0))*(1+(Assumptions!$B$7*(Assumptions!$B$8*N55*Assumptions!$B$9+Assumptions!$B$10)))+Assumptions!$B$11*N55))</f>
        <v>678409.685327676</v>
      </c>
      <c r="AB55" s="50" t="n">
        <f aca="false">IF(AA55&lt;=0,"no price works",D55/AA55)</f>
        <v>2.05627960533347</v>
      </c>
      <c r="AC55" s="46" t="n">
        <f aca="false">(INDEX(Assumptions!$B$36:$B$48,MATCH(AK55,Assumptions!$A$36:$A$48,0))+IF(I55="Yes",Assumptions!$B$23,0)+IF(J55="Yes",Assumptions!$B$24,0))*(1+Assumptions!$B$28)</f>
        <v>1250</v>
      </c>
      <c r="AD55" s="47" t="n">
        <f aca="false">(L55)*AC55-(((D55)+(L55)*Assumptions!$B$4+IF(H55="Yes",Assumptions!$B$6*(D55),(L55)*Assumptions!$B$5))*(1+Assumptions!$B$7*(Assumptions!$B$8*(N55)*Assumptions!$B$9+Assumptions!$B$10))+(D55)*Assumptions!$B$11*(N55)+(L55)*AC55*(Assumptions!$B$12+Assumptions!$B$13+IF((L55)*AC55&gt;=Assumptions!$B$16,Assumptions!$B$17,IF((L55)*AC55&gt;=Assumptions!$B$14,Assumptions!$B$15,0))))</f>
        <v>-645675.88125</v>
      </c>
      <c r="AE55" s="46" t="n">
        <f aca="false">(INDEX(Assumptions!$B$36:$B$48,MATCH(AK55,Assumptions!$A$36:$A$48,0))+IF(I55="Yes",Assumptions!$B$23,0)+IF(J55="Yes",Assumptions!$B$24,0))*(1+Assumptions!$B$29)</f>
        <v>1375</v>
      </c>
      <c r="AF55" s="47" t="n">
        <f aca="false">(L55)*AE55-(((D55)+(L55)*Assumptions!$B$4+IF(H55="Yes",Assumptions!$B$6*(D55),(L55)*Assumptions!$B$5))*(1+Assumptions!$B$7*(Assumptions!$B$8*(N55)*Assumptions!$B$9+Assumptions!$B$10))+(D55)*Assumptions!$B$11*(N55)+(L55)*AE55*(Assumptions!$B$12+Assumptions!$B$13+IF((L55)*AE55&gt;=Assumptions!$B$16,Assumptions!$B$17,IF((L55)*AE55&gt;=Assumptions!$B$14,Assumptions!$B$15,0))))</f>
        <v>-340946.45625</v>
      </c>
      <c r="AG55" s="46" t="n">
        <f aca="false">(INDEX(Assumptions!$B$36:$B$48,MATCH(AK55,Assumptions!$A$36:$A$48,0))+IF(I55="Yes",Assumptions!$B$23,0)+IF(J55="Yes",Assumptions!$B$24,0))*(1+Assumptions!$B$30)</f>
        <v>1500</v>
      </c>
      <c r="AH55" s="47" t="n">
        <f aca="false">(L55)*AG55-(((D55)+(L55)*Assumptions!$B$4+IF(H55="Yes",Assumptions!$B$6*(D55),(L55)*Assumptions!$B$5))*(1+Assumptions!$B$7*(Assumptions!$B$8*(N55)*Assumptions!$B$9+Assumptions!$B$10))+(D55)*Assumptions!$B$11*(N55)+(L55)*AG55*(Assumptions!$B$12+Assumptions!$B$13+IF((L55)*AG55&gt;=Assumptions!$B$16,Assumptions!$B$17,IF((L55)*AG55&gt;=Assumptions!$B$14,Assumptions!$B$15,0))))</f>
        <v>-36217.03125</v>
      </c>
      <c r="AI55" s="47" t="n">
        <f aca="false">(L55)*AE55-(((D55)+(L55)*Assumptions!$B$25+IF(H55="Yes",Assumptions!$B$6*(D55),(L55)*Assumptions!$B$5))*(1+Assumptions!$B$7*(Assumptions!$B$8*(N55)*Assumptions!$B$9+Assumptions!$B$10))+(D55)*Assumptions!$B$11*(N55)+(L55)*AE55*(Assumptions!$B$12+Assumptions!$B$13+IF((L55)*AE55&gt;=Assumptions!$B$16,Assumptions!$B$17,IF((L55)*AE55&gt;=Assumptions!$B$14,Assumptions!$B$15,0))))</f>
        <v>-202747.81875</v>
      </c>
      <c r="AJ55" s="47" t="n">
        <f aca="false">(L55)*AE55-(((D55)+(L55)*Assumptions!$B$26+IF(H55="Yes",Assumptions!$B$6*(D55),(L55)*Assumptions!$B$5))*(1+Assumptions!$B$7*(Assumptions!$B$8*(N55)*Assumptions!$B$9+Assumptions!$B$10))+(D55)*Assumptions!$B$11*(N55)+(L55)*AE55*(Assumptions!$B$12+Assumptions!$B$13+IF((L55)*AE55&gt;=Assumptions!$B$16,Assumptions!$B$17,IF((L55)*AE55&gt;=Assumptions!$B$14,Assumptions!$B$15,0))))</f>
        <v>-64549.1812500004</v>
      </c>
      <c r="AK55" s="40" t="s">
        <v>104</v>
      </c>
      <c r="AL55" s="45" t="n">
        <f aca="false">IF(G55&gt;0,G55,ROUND(F55*Assumptions!$B$18,0))</f>
        <v>2541</v>
      </c>
      <c r="AM55" s="45" t="n">
        <f aca="false">IF(H55="Yes",AL55,MAX(AL55,MIN(Assumptions!$B$20,ROUND(E55*Assumptions!$B$19,0))))</f>
        <v>2541</v>
      </c>
      <c r="AN55" s="47" t="n">
        <f aca="false">(AL55)*AE55-(((D55)+(AL55)*Assumptions!$B$4+IF(H55="Yes",Assumptions!$B$6*(D55),(AL55)*Assumptions!$B$5))*(1+Assumptions!$B$7*(Assumptions!$B$8*(Assumptions!$B$21)*Assumptions!$B$9+Assumptions!$B$10))+(D55)*Assumptions!$B$11*(Assumptions!$B$21)+(AL55)*AE55*(Assumptions!$B$12+Assumptions!$B$13+IF((AL55)*AE55&gt;=Assumptions!$B$16,Assumptions!$B$17,IF((AL55)*AE55&gt;=Assumptions!$B$14,Assumptions!$B$15,0))))</f>
        <v>-340946.45625</v>
      </c>
      <c r="AO55" s="47" t="n">
        <f aca="false">(AM55)*AE55-(((D55)+(AM55)*Assumptions!$B$4+IF(H55="Yes",Assumptions!$B$6*(D55),(AM55)*Assumptions!$B$5))*(1+Assumptions!$B$7*(Assumptions!$B$8*(IF(AM55&gt;AL55,Assumptions!$B$22,Assumptions!$B$21))*Assumptions!$B$9+Assumptions!$B$10))+(D55)*Assumptions!$B$11*(IF(AM55&gt;AL55,Assumptions!$B$22,Assumptions!$B$21))+(AM55)*AE55*(Assumptions!$B$12+Assumptions!$B$13+IF((AM55)*AE55&gt;=Assumptions!$B$16,Assumptions!$B$17,IF((AM55)*AE55&gt;=Assumptions!$B$14,Assumptions!$B$15,0))))</f>
        <v>-340946.45625</v>
      </c>
      <c r="AP55" s="47" t="n">
        <f aca="false">Assumptions!$B$7*(Q55+R55+S55)</f>
        <v>2186778.75</v>
      </c>
    </row>
    <row r="56" customFormat="false" ht="15" hidden="false" customHeight="false" outlineLevel="0" collapsed="false">
      <c r="A56" s="40" t="n">
        <v>54</v>
      </c>
      <c r="B56" s="40" t="s">
        <v>176</v>
      </c>
      <c r="C56" s="40" t="s">
        <v>109</v>
      </c>
      <c r="D56" s="41" t="n">
        <v>2850000</v>
      </c>
      <c r="E56" s="42" t="n">
        <v>19493</v>
      </c>
      <c r="F56" s="42" t="n">
        <v>2891</v>
      </c>
      <c r="G56" s="42"/>
      <c r="H56" s="43" t="s">
        <v>71</v>
      </c>
      <c r="I56" s="43" t="s">
        <v>71</v>
      </c>
      <c r="J56" s="43" t="s">
        <v>71</v>
      </c>
      <c r="K56" s="44"/>
      <c r="L56" s="45" t="n">
        <f aca="false">IF(AO56&gt;AN56,AM56,AL56)</f>
        <v>7797</v>
      </c>
      <c r="M56" s="40" t="str">
        <f aca="false">IF(AO56&gt;AN56,"Zoning estimate",IF(H56="Yes","Approved plans",IF(G56&gt;0,"Listing claim","110% old house")))</f>
        <v>Zoning estimate</v>
      </c>
      <c r="N56" s="45" t="n">
        <f aca="false">IF(AO56&gt;AN56,IF(AM56&gt;AL56,Assumptions!$B$22,Assumptions!$B$21),Assumptions!$B$21)</f>
        <v>3</v>
      </c>
      <c r="O56" s="46" t="n">
        <f aca="false">(INDEX(Assumptions!$B$36:$B$48,MATCH(AK56,Assumptions!$A$36:$A$48,0))+IF(I56="Yes",Assumptions!$B$23,0)+IF(J56="Yes",Assumptions!$B$24,0))*(1+IF(UPPER(Assumptions!$B$31)="WORST",Assumptions!$B$28,IF(UPPER(Assumptions!$B$31)="BEST",Assumptions!$B$30,Assumptions!$B$29)))</f>
        <v>1375</v>
      </c>
      <c r="P56" s="47" t="n">
        <f aca="false">L56*O56</f>
        <v>10720875</v>
      </c>
      <c r="Q56" s="47" t="n">
        <f aca="false">D56</f>
        <v>2850000</v>
      </c>
      <c r="R56" s="47" t="n">
        <f aca="false">L56*Assumptions!$B$4</f>
        <v>5457900</v>
      </c>
      <c r="S56" s="47" t="n">
        <f aca="false">IF(H56="Yes",Assumptions!$B$6*(D56),(L56)*Assumptions!$B$5)</f>
        <v>584775</v>
      </c>
      <c r="T56" s="47" t="n">
        <f aca="false">AP56*(Assumptions!$B$8*N56*Assumptions!$B$9+Assumptions!$B$10)</f>
        <v>1127146.55625</v>
      </c>
      <c r="U56" s="47" t="n">
        <f aca="false">Q56*Assumptions!$B$11*N56</f>
        <v>102600</v>
      </c>
      <c r="V56" s="47" t="n">
        <f aca="false">P56*(Assumptions!$B$12+Assumptions!$B$13)</f>
        <v>435267.525</v>
      </c>
      <c r="W56" s="47" t="n">
        <f aca="false">P56*IF(P56&gt;=Assumptions!$B$16,Assumptions!$B$17,IF(P56&gt;=Assumptions!$B$14,Assumptions!$B$15,0))</f>
        <v>428835</v>
      </c>
      <c r="X56" s="48" t="n">
        <f aca="false">SUM(Q56:W56)</f>
        <v>10986524.08125</v>
      </c>
      <c r="Y56" s="48" t="n">
        <f aca="false">P56-X56</f>
        <v>-265649.081250001</v>
      </c>
      <c r="Z56" s="49" t="n">
        <f aca="false">IF(X56=0,0,Y56/X56)</f>
        <v>-0.0241795384313922</v>
      </c>
      <c r="AA56" s="47" t="n">
        <f aca="false">MAX(0,(P56/(1+Assumptions!$B$27)-(L56*(Assumptions!$B$4+IF(H56="Yes",0,Assumptions!$B$5)))*(1+(Assumptions!$B$7*(Assumptions!$B$8*N56*Assumptions!$B$9+Assumptions!$B$10)))-P56*(Assumptions!$B$12+Assumptions!$B$13+IF(P56&gt;=Assumptions!$B$16,Assumptions!$B$17,IF(P56&gt;=Assumptions!$B$14,Assumptions!$B$15,0))))/((1+IF(H56="Yes",Assumptions!$B$6,0))*(1+(Assumptions!$B$7*(Assumptions!$B$8*N56*Assumptions!$B$9+Assumptions!$B$10)))+Assumptions!$B$11*N56))</f>
        <v>1418889.20124704</v>
      </c>
      <c r="AB56" s="50" t="n">
        <f aca="false">IF(AA56&lt;=0,"no price works",D56/AA56)</f>
        <v>2.00861349673757</v>
      </c>
      <c r="AC56" s="46" t="n">
        <f aca="false">(INDEX(Assumptions!$B$36:$B$48,MATCH(AK56,Assumptions!$A$36:$A$48,0))+IF(I56="Yes",Assumptions!$B$23,0)+IF(J56="Yes",Assumptions!$B$24,0))*(1+Assumptions!$B$28)</f>
        <v>1250</v>
      </c>
      <c r="AD56" s="47" t="n">
        <f aca="false">(L56)*AC56-(((D56)+(L56)*Assumptions!$B$4+IF(H56="Yes",Assumptions!$B$6*(D56),(L56)*Assumptions!$B$5))*(1+Assumptions!$B$7*(Assumptions!$B$8*(N56)*Assumptions!$B$9+Assumptions!$B$10))+(D56)*Assumptions!$B$11*(N56)+(L56)*AC56*(Assumptions!$B$12+Assumptions!$B$13+IF((L56)*AC56&gt;=Assumptions!$B$16,Assumptions!$B$17,IF((L56)*AC56&gt;=Assumptions!$B$14,Assumptions!$B$15,0))))</f>
        <v>-1161719.30625</v>
      </c>
      <c r="AE56" s="46" t="n">
        <f aca="false">(INDEX(Assumptions!$B$36:$B$48,MATCH(AK56,Assumptions!$A$36:$A$48,0))+IF(I56="Yes",Assumptions!$B$23,0)+IF(J56="Yes",Assumptions!$B$24,0))*(1+Assumptions!$B$29)</f>
        <v>1375</v>
      </c>
      <c r="AF56" s="47" t="n">
        <f aca="false">(L56)*AE56-(((D56)+(L56)*Assumptions!$B$4+IF(H56="Yes",Assumptions!$B$6*(D56),(L56)*Assumptions!$B$5))*(1+Assumptions!$B$7*(Assumptions!$B$8*(N56)*Assumptions!$B$9+Assumptions!$B$10))+(D56)*Assumptions!$B$11*(N56)+(L56)*AE56*(Assumptions!$B$12+Assumptions!$B$13+IF((L56)*AE56&gt;=Assumptions!$B$16,Assumptions!$B$17,IF((L56)*AE56&gt;=Assumptions!$B$14,Assumptions!$B$15,0))))</f>
        <v>-265649.081249999</v>
      </c>
      <c r="AG56" s="46" t="n">
        <f aca="false">(INDEX(Assumptions!$B$36:$B$48,MATCH(AK56,Assumptions!$A$36:$A$48,0))+IF(I56="Yes",Assumptions!$B$23,0)+IF(J56="Yes",Assumptions!$B$24,0))*(1+Assumptions!$B$30)</f>
        <v>1500</v>
      </c>
      <c r="AH56" s="47" t="n">
        <f aca="false">(L56)*AG56-(((D56)+(L56)*Assumptions!$B$4+IF(H56="Yes",Assumptions!$B$6*(D56),(L56)*Assumptions!$B$5))*(1+Assumptions!$B$7*(Assumptions!$B$8*(N56)*Assumptions!$B$9+Assumptions!$B$10))+(D56)*Assumptions!$B$11*(N56)+(L56)*AG56*(Assumptions!$B$12+Assumptions!$B$13+IF((L56)*AG56&gt;=Assumptions!$B$16,Assumptions!$B$17,IF((L56)*AG56&gt;=Assumptions!$B$14,Assumptions!$B$15,0))))</f>
        <v>454988.643750001</v>
      </c>
      <c r="AI56" s="47" t="n">
        <f aca="false">(L56)*AE56-(((D56)+(L56)*Assumptions!$B$25+IF(H56="Yes",Assumptions!$B$6*(D56),(L56)*Assumptions!$B$5))*(1+Assumptions!$B$7*(Assumptions!$B$8*(N56)*Assumptions!$B$9+Assumptions!$B$10))+(D56)*Assumptions!$B$11*(N56)+(L56)*AE56*(Assumptions!$B$12+Assumptions!$B$13+IF((L56)*AE56&gt;=Assumptions!$B$16,Assumptions!$B$17,IF((L56)*AE56&gt;=Assumptions!$B$14,Assumptions!$B$15,0))))</f>
        <v>173614.40625</v>
      </c>
      <c r="AJ56" s="47" t="n">
        <f aca="false">(L56)*AE56-(((D56)+(L56)*Assumptions!$B$26+IF(H56="Yes",Assumptions!$B$6*(D56),(L56)*Assumptions!$B$5))*(1+Assumptions!$B$7*(Assumptions!$B$8*(N56)*Assumptions!$B$9+Assumptions!$B$10))+(D56)*Assumptions!$B$11*(N56)+(L56)*AE56*(Assumptions!$B$12+Assumptions!$B$13+IF((L56)*AE56&gt;=Assumptions!$B$16,Assumptions!$B$17,IF((L56)*AE56&gt;=Assumptions!$B$14,Assumptions!$B$15,0))))</f>
        <v>612877.893750001</v>
      </c>
      <c r="AK56" s="40" t="s">
        <v>111</v>
      </c>
      <c r="AL56" s="45" t="n">
        <f aca="false">IF(G56&gt;0,G56,ROUND(F56*Assumptions!$B$18,0))</f>
        <v>3180</v>
      </c>
      <c r="AM56" s="45" t="n">
        <f aca="false">IF(H56="Yes",AL56,MAX(AL56,MIN(Assumptions!$B$20,ROUND(E56*Assumptions!$B$19,0))))</f>
        <v>7797</v>
      </c>
      <c r="AN56" s="47" t="n">
        <f aca="false">(AL56)*AE56-(((D56)+(AL56)*Assumptions!$B$4+IF(H56="Yes",Assumptions!$B$6*(D56),(AL56)*Assumptions!$B$5))*(1+Assumptions!$B$7*(Assumptions!$B$8*(Assumptions!$B$21)*Assumptions!$B$9+Assumptions!$B$10))+(D56)*Assumptions!$B$11*(Assumptions!$B$21)+(AL56)*AE56*(Assumptions!$B$12+Assumptions!$B$13+IF((AL56)*AE56&gt;=Assumptions!$B$16,Assumptions!$B$17,IF((AL56)*AE56&gt;=Assumptions!$B$14,Assumptions!$B$15,0))))</f>
        <v>-1654270.875</v>
      </c>
      <c r="AO56" s="47" t="n">
        <f aca="false">(AM56)*AE56-(((D56)+(AM56)*Assumptions!$B$4+IF(H56="Yes",Assumptions!$B$6*(D56),(AM56)*Assumptions!$B$5))*(1+Assumptions!$B$7*(Assumptions!$B$8*(IF(AM56&gt;AL56,Assumptions!$B$22,Assumptions!$B$21))*Assumptions!$B$9+Assumptions!$B$10))+(D56)*Assumptions!$B$11*(IF(AM56&gt;AL56,Assumptions!$B$22,Assumptions!$B$21))+(AM56)*AE56*(Assumptions!$B$12+Assumptions!$B$13+IF((AM56)*AE56&gt;=Assumptions!$B$16,Assumptions!$B$17,IF((AM56)*AE56&gt;=Assumptions!$B$14,Assumptions!$B$15,0))))</f>
        <v>-265649.081249999</v>
      </c>
      <c r="AP56" s="47" t="n">
        <f aca="false">Assumptions!$B$7*(Q56+R56+S56)</f>
        <v>5780238.75</v>
      </c>
    </row>
    <row r="57" customFormat="false" ht="15" hidden="false" customHeight="false" outlineLevel="0" collapsed="false">
      <c r="A57" s="40" t="n">
        <v>55</v>
      </c>
      <c r="B57" s="40" t="s">
        <v>177</v>
      </c>
      <c r="C57" s="40" t="s">
        <v>109</v>
      </c>
      <c r="D57" s="41" t="n">
        <v>2198000</v>
      </c>
      <c r="E57" s="42" t="n">
        <v>14840</v>
      </c>
      <c r="F57" s="42" t="n">
        <v>1967</v>
      </c>
      <c r="G57" s="42"/>
      <c r="H57" s="43" t="s">
        <v>71</v>
      </c>
      <c r="I57" s="43" t="s">
        <v>71</v>
      </c>
      <c r="J57" s="43" t="s">
        <v>71</v>
      </c>
      <c r="K57" s="44"/>
      <c r="L57" s="45" t="n">
        <f aca="false">IF(AO57&gt;AN57,AM57,AL57)</f>
        <v>5936</v>
      </c>
      <c r="M57" s="40" t="str">
        <f aca="false">IF(AO57&gt;AN57,"Zoning estimate",IF(H57="Yes","Approved plans",IF(G57&gt;0,"Listing claim","110% old house")))</f>
        <v>Zoning estimate</v>
      </c>
      <c r="N57" s="45" t="n">
        <f aca="false">IF(AO57&gt;AN57,IF(AM57&gt;AL57,Assumptions!$B$22,Assumptions!$B$21),Assumptions!$B$21)</f>
        <v>3</v>
      </c>
      <c r="O57" s="46" t="n">
        <f aca="false">(INDEX(Assumptions!$B$36:$B$48,MATCH(AK57,Assumptions!$A$36:$A$48,0))+IF(I57="Yes",Assumptions!$B$23,0)+IF(J57="Yes",Assumptions!$B$24,0))*(1+IF(UPPER(Assumptions!$B$31)="WORST",Assumptions!$B$28,IF(UPPER(Assumptions!$B$31)="BEST",Assumptions!$B$30,Assumptions!$B$29)))</f>
        <v>1375</v>
      </c>
      <c r="P57" s="47" t="n">
        <f aca="false">L57*O57</f>
        <v>8162000</v>
      </c>
      <c r="Q57" s="47" t="n">
        <f aca="false">D57</f>
        <v>2198000</v>
      </c>
      <c r="R57" s="47" t="n">
        <f aca="false">L57*Assumptions!$B$4</f>
        <v>4155200</v>
      </c>
      <c r="S57" s="47" t="n">
        <f aca="false">IF(H57="Yes",Assumptions!$B$6*(D57),(L57)*Assumptions!$B$5)</f>
        <v>445200</v>
      </c>
      <c r="T57" s="47" t="n">
        <f aca="false">AP57*(Assumptions!$B$8*N57*Assumptions!$B$9+Assumptions!$B$10)</f>
        <v>861697.2</v>
      </c>
      <c r="U57" s="47" t="n">
        <f aca="false">Q57*Assumptions!$B$11*N57</f>
        <v>79128</v>
      </c>
      <c r="V57" s="47" t="n">
        <f aca="false">P57*(Assumptions!$B$12+Assumptions!$B$13)</f>
        <v>331377.2</v>
      </c>
      <c r="W57" s="47" t="n">
        <f aca="false">P57*IF(P57&gt;=Assumptions!$B$16,Assumptions!$B$17,IF(P57&gt;=Assumptions!$B$14,Assumptions!$B$15,0))</f>
        <v>326480</v>
      </c>
      <c r="X57" s="48" t="n">
        <f aca="false">SUM(Q57:W57)</f>
        <v>8397082.4</v>
      </c>
      <c r="Y57" s="48" t="n">
        <f aca="false">P57-X57</f>
        <v>-235082.4</v>
      </c>
      <c r="Z57" s="49" t="n">
        <f aca="false">IF(X57=0,0,Y57/X57)</f>
        <v>-0.0279957238480833</v>
      </c>
      <c r="AA57" s="47" t="n">
        <f aca="false">MAX(0,(P57/(1+Assumptions!$B$27)-(L57*(Assumptions!$B$4+IF(H57="Yes",0,Assumptions!$B$5)))*(1+(Assumptions!$B$7*(Assumptions!$B$8*N57*Assumptions!$B$9+Assumptions!$B$10)))-P57*(Assumptions!$B$12+Assumptions!$B$13+IF(P57&gt;=Assumptions!$B$16,Assumptions!$B$17,IF(P57&gt;=Assumptions!$B$14,Assumptions!$B$15,0))))/((1+IF(H57="Yes",Assumptions!$B$6,0))*(1+(Assumptions!$B$7*(Assumptions!$B$8*N57*Assumptions!$B$9+Assumptions!$B$10)))+Assumptions!$B$11*N57))</f>
        <v>1080226.53566788</v>
      </c>
      <c r="AB57" s="50" t="n">
        <f aca="false">IF(AA57&lt;=0,"no price works",D57/AA57)</f>
        <v>2.03475838393567</v>
      </c>
      <c r="AC57" s="46" t="n">
        <f aca="false">(INDEX(Assumptions!$B$36:$B$48,MATCH(AK57,Assumptions!$A$36:$A$48,0))+IF(I57="Yes",Assumptions!$B$23,0)+IF(J57="Yes",Assumptions!$B$24,0))*(1+Assumptions!$B$28)</f>
        <v>1250</v>
      </c>
      <c r="AD57" s="47" t="n">
        <f aca="false">(L57)*AC57-(((D57)+(L57)*Assumptions!$B$4+IF(H57="Yes",Assumptions!$B$6*(D57),(L57)*Assumptions!$B$5))*(1+Assumptions!$B$7*(Assumptions!$B$8*(N57)*Assumptions!$B$9+Assumptions!$B$10))+(D57)*Assumptions!$B$11*(N57)+(L57)*AC57*(Assumptions!$B$12+Assumptions!$B$13+IF((L57)*AC57&gt;=Assumptions!$B$16,Assumptions!$B$17,IF((L57)*AC57&gt;=Assumptions!$B$14,Assumptions!$B$15,0))))</f>
        <v>-917277.199999999</v>
      </c>
      <c r="AE57" s="46" t="n">
        <f aca="false">(INDEX(Assumptions!$B$36:$B$48,MATCH(AK57,Assumptions!$A$36:$A$48,0))+IF(I57="Yes",Assumptions!$B$23,0)+IF(J57="Yes",Assumptions!$B$24,0))*(1+Assumptions!$B$29)</f>
        <v>1375</v>
      </c>
      <c r="AF57" s="47" t="n">
        <f aca="false">(L57)*AE57-(((D57)+(L57)*Assumptions!$B$4+IF(H57="Yes",Assumptions!$B$6*(D57),(L57)*Assumptions!$B$5))*(1+Assumptions!$B$7*(Assumptions!$B$8*(N57)*Assumptions!$B$9+Assumptions!$B$10))+(D57)*Assumptions!$B$11*(N57)+(L57)*AE57*(Assumptions!$B$12+Assumptions!$B$13+IF((L57)*AE57&gt;=Assumptions!$B$16,Assumptions!$B$17,IF((L57)*AE57&gt;=Assumptions!$B$14,Assumptions!$B$15,0))))</f>
        <v>-235082.399999999</v>
      </c>
      <c r="AG57" s="46" t="n">
        <f aca="false">(INDEX(Assumptions!$B$36:$B$48,MATCH(AK57,Assumptions!$A$36:$A$48,0))+IF(I57="Yes",Assumptions!$B$23,0)+IF(J57="Yes",Assumptions!$B$24,0))*(1+Assumptions!$B$30)</f>
        <v>1500</v>
      </c>
      <c r="AH57" s="47" t="n">
        <f aca="false">(L57)*AG57-(((D57)+(L57)*Assumptions!$B$4+IF(H57="Yes",Assumptions!$B$6*(D57),(L57)*Assumptions!$B$5))*(1+Assumptions!$B$7*(Assumptions!$B$8*(N57)*Assumptions!$B$9+Assumptions!$B$10))+(D57)*Assumptions!$B$11*(N57)+(L57)*AG57*(Assumptions!$B$12+Assumptions!$B$13+IF((L57)*AG57&gt;=Assumptions!$B$16,Assumptions!$B$17,IF((L57)*AG57&gt;=Assumptions!$B$14,Assumptions!$B$15,0))))</f>
        <v>447112.4</v>
      </c>
      <c r="AI57" s="47" t="n">
        <f aca="false">(L57)*AE57-(((D57)+(L57)*Assumptions!$B$25+IF(H57="Yes",Assumptions!$B$6*(D57),(L57)*Assumptions!$B$5))*(1+Assumptions!$B$7*(Assumptions!$B$8*(N57)*Assumptions!$B$9+Assumptions!$B$10))+(D57)*Assumptions!$B$11*(N57)+(L57)*AE57*(Assumptions!$B$12+Assumptions!$B$13+IF((L57)*AE57&gt;=Assumptions!$B$16,Assumptions!$B$17,IF((L57)*AE57&gt;=Assumptions!$B$14,Assumptions!$B$15,0))))</f>
        <v>99337</v>
      </c>
      <c r="AJ57" s="47" t="n">
        <f aca="false">(L57)*AE57-(((D57)+(L57)*Assumptions!$B$26+IF(H57="Yes",Assumptions!$B$6*(D57),(L57)*Assumptions!$B$5))*(1+Assumptions!$B$7*(Assumptions!$B$8*(N57)*Assumptions!$B$9+Assumptions!$B$10))+(D57)*Assumptions!$B$11*(N57)+(L57)*AE57*(Assumptions!$B$12+Assumptions!$B$13+IF((L57)*AE57&gt;=Assumptions!$B$16,Assumptions!$B$17,IF((L57)*AE57&gt;=Assumptions!$B$14,Assumptions!$B$15,0))))</f>
        <v>433756.4</v>
      </c>
      <c r="AK57" s="40" t="s">
        <v>111</v>
      </c>
      <c r="AL57" s="45" t="n">
        <f aca="false">IF(G57&gt;0,G57,ROUND(F57*Assumptions!$B$18,0))</f>
        <v>2164</v>
      </c>
      <c r="AM57" s="45" t="n">
        <f aca="false">IF(H57="Yes",AL57,MAX(AL57,MIN(Assumptions!$B$20,ROUND(E57*Assumptions!$B$19,0))))</f>
        <v>5936</v>
      </c>
      <c r="AN57" s="47" t="n">
        <f aca="false">(AL57)*AE57-(((D57)+(AL57)*Assumptions!$B$4+IF(H57="Yes",Assumptions!$B$6*(D57),(AL57)*Assumptions!$B$5))*(1+Assumptions!$B$7*(Assumptions!$B$8*(Assumptions!$B$21)*Assumptions!$B$9+Assumptions!$B$10))+(D57)*Assumptions!$B$11*(Assumptions!$B$21)+(AL57)*AE57*(Assumptions!$B$12+Assumptions!$B$13+IF((AL57)*AE57&gt;=Assumptions!$B$16,Assumptions!$B$17,IF((AL57)*AE57&gt;=Assumptions!$B$14,Assumptions!$B$15,0))))</f>
        <v>-1413197.325</v>
      </c>
      <c r="AO57" s="47" t="n">
        <f aca="false">(AM57)*AE57-(((D57)+(AM57)*Assumptions!$B$4+IF(H57="Yes",Assumptions!$B$6*(D57),(AM57)*Assumptions!$B$5))*(1+Assumptions!$B$7*(Assumptions!$B$8*(IF(AM57&gt;AL57,Assumptions!$B$22,Assumptions!$B$21))*Assumptions!$B$9+Assumptions!$B$10))+(D57)*Assumptions!$B$11*(IF(AM57&gt;AL57,Assumptions!$B$22,Assumptions!$B$21))+(AM57)*AE57*(Assumptions!$B$12+Assumptions!$B$13+IF((AM57)*AE57&gt;=Assumptions!$B$16,Assumptions!$B$17,IF((AM57)*AE57&gt;=Assumptions!$B$14,Assumptions!$B$15,0))))</f>
        <v>-235082.399999999</v>
      </c>
      <c r="AP57" s="47" t="n">
        <f aca="false">Assumptions!$B$7*(Q57+R57+S57)</f>
        <v>4418960</v>
      </c>
    </row>
    <row r="58" customFormat="false" ht="15" hidden="false" customHeight="false" outlineLevel="0" collapsed="false">
      <c r="A58" s="40" t="n">
        <v>56</v>
      </c>
      <c r="B58" s="40" t="s">
        <v>178</v>
      </c>
      <c r="C58" s="40" t="s">
        <v>117</v>
      </c>
      <c r="D58" s="41" t="n">
        <v>2395000</v>
      </c>
      <c r="E58" s="42" t="n">
        <v>7955</v>
      </c>
      <c r="F58" s="42" t="n">
        <v>1796</v>
      </c>
      <c r="G58" s="42"/>
      <c r="H58" s="43" t="s">
        <v>71</v>
      </c>
      <c r="I58" s="43" t="s">
        <v>80</v>
      </c>
      <c r="J58" s="43" t="s">
        <v>71</v>
      </c>
      <c r="K58" s="44"/>
      <c r="L58" s="45" t="n">
        <f aca="false">IF(AO58&gt;AN58,AM58,AL58)</f>
        <v>3182</v>
      </c>
      <c r="M58" s="40" t="str">
        <f aca="false">IF(AO58&gt;AN58,"Zoning estimate",IF(H58="Yes","Approved plans",IF(G58&gt;0,"Listing claim","110% old house")))</f>
        <v>Zoning estimate</v>
      </c>
      <c r="N58" s="45" t="n">
        <f aca="false">IF(AO58&gt;AN58,IF(AM58&gt;AL58,Assumptions!$B$22,Assumptions!$B$21),Assumptions!$B$21)</f>
        <v>3</v>
      </c>
      <c r="O58" s="46" t="n">
        <f aca="false">(INDEX(Assumptions!$B$36:$B$48,MATCH(AK58,Assumptions!$A$36:$A$48,0))+IF(I58="Yes",Assumptions!$B$23,0)+IF(J58="Yes",Assumptions!$B$24,0))*(1+IF(UPPER(Assumptions!$B$31)="WORST",Assumptions!$B$28,IF(UPPER(Assumptions!$B$31)="BEST",Assumptions!$B$30,Assumptions!$B$29)))</f>
        <v>1650</v>
      </c>
      <c r="P58" s="47" t="n">
        <f aca="false">L58*O58</f>
        <v>5250300</v>
      </c>
      <c r="Q58" s="47" t="n">
        <f aca="false">D58</f>
        <v>2395000</v>
      </c>
      <c r="R58" s="47" t="n">
        <f aca="false">L58*Assumptions!$B$4</f>
        <v>2227400</v>
      </c>
      <c r="S58" s="47" t="n">
        <f aca="false">IF(H58="Yes",Assumptions!$B$6*(D58),(L58)*Assumptions!$B$5)</f>
        <v>238650</v>
      </c>
      <c r="T58" s="47" t="n">
        <f aca="false">AP58*(Assumptions!$B$8*N58*Assumptions!$B$9+Assumptions!$B$10)</f>
        <v>616138.0875</v>
      </c>
      <c r="U58" s="47" t="n">
        <f aca="false">Q58*Assumptions!$B$11*N58</f>
        <v>86220</v>
      </c>
      <c r="V58" s="47" t="n">
        <f aca="false">P58*(Assumptions!$B$12+Assumptions!$B$13)</f>
        <v>213162.18</v>
      </c>
      <c r="W58" s="47" t="n">
        <f aca="false">P58*IF(P58&gt;=Assumptions!$B$16,Assumptions!$B$17,IF(P58&gt;=Assumptions!$B$14,Assumptions!$B$15,0))</f>
        <v>0</v>
      </c>
      <c r="X58" s="48" t="n">
        <f aca="false">SUM(Q58:W58)</f>
        <v>5776570.2675</v>
      </c>
      <c r="Y58" s="48" t="n">
        <f aca="false">P58-X58</f>
        <v>-526270.267499999</v>
      </c>
      <c r="Z58" s="49" t="n">
        <f aca="false">IF(X58=0,0,Y58/X58)</f>
        <v>-0.0911042786860723</v>
      </c>
      <c r="AA58" s="47" t="n">
        <f aca="false">MAX(0,(P58/(1+Assumptions!$B$27)-(L58*(Assumptions!$B$4+IF(H58="Yes",0,Assumptions!$B$5)))*(1+(Assumptions!$B$7*(Assumptions!$B$8*N58*Assumptions!$B$9+Assumptions!$B$10)))-P58*(Assumptions!$B$12+Assumptions!$B$13+IF(P58&gt;=Assumptions!$B$16,Assumptions!$B$17,IF(P58&gt;=Assumptions!$B$14,Assumptions!$B$15,0))))/((1+IF(H58="Yes",Assumptions!$B$6,0))*(1+(Assumptions!$B$7*(Assumptions!$B$8*N58*Assumptions!$B$9+Assumptions!$B$10)))+Assumptions!$B$11*N58))</f>
        <v>1353424.4191525</v>
      </c>
      <c r="AB58" s="50" t="n">
        <f aca="false">IF(AA58&lt;=0,"no price works",D58/AA58)</f>
        <v>1.76958533192399</v>
      </c>
      <c r="AC58" s="46" t="n">
        <f aca="false">(INDEX(Assumptions!$B$36:$B$48,MATCH(AK58,Assumptions!$A$36:$A$48,0))+IF(I58="Yes",Assumptions!$B$23,0)+IF(J58="Yes",Assumptions!$B$24,0))*(1+Assumptions!$B$28)</f>
        <v>1500</v>
      </c>
      <c r="AD58" s="47" t="n">
        <f aca="false">(L58)*AC58-(((D58)+(L58)*Assumptions!$B$4+IF(H58="Yes",Assumptions!$B$6*(D58),(L58)*Assumptions!$B$5))*(1+Assumptions!$B$7*(Assumptions!$B$8*(N58)*Assumptions!$B$9+Assumptions!$B$10))+(D58)*Assumptions!$B$11*(N58)+(L58)*AC58*(Assumptions!$B$12+Assumptions!$B$13+IF((L58)*AC58&gt;=Assumptions!$B$16,Assumptions!$B$17,IF((L58)*AC58&gt;=Assumptions!$B$14,Assumptions!$B$15,0))))</f>
        <v>-984191.887499999</v>
      </c>
      <c r="AE58" s="46" t="n">
        <f aca="false">(INDEX(Assumptions!$B$36:$B$48,MATCH(AK58,Assumptions!$A$36:$A$48,0))+IF(I58="Yes",Assumptions!$B$23,0)+IF(J58="Yes",Assumptions!$B$24,0))*(1+Assumptions!$B$29)</f>
        <v>1650</v>
      </c>
      <c r="AF58" s="47" t="n">
        <f aca="false">(L58)*AE58-(((D58)+(L58)*Assumptions!$B$4+IF(H58="Yes",Assumptions!$B$6*(D58),(L58)*Assumptions!$B$5))*(1+Assumptions!$B$7*(Assumptions!$B$8*(N58)*Assumptions!$B$9+Assumptions!$B$10))+(D58)*Assumptions!$B$11*(N58)+(L58)*AE58*(Assumptions!$B$12+Assumptions!$B$13+IF((L58)*AE58&gt;=Assumptions!$B$16,Assumptions!$B$17,IF((L58)*AE58&gt;=Assumptions!$B$14,Assumptions!$B$15,0))))</f>
        <v>-526270.267499998</v>
      </c>
      <c r="AG58" s="46" t="n">
        <f aca="false">(INDEX(Assumptions!$B$36:$B$48,MATCH(AK58,Assumptions!$A$36:$A$48,0))+IF(I58="Yes",Assumptions!$B$23,0)+IF(J58="Yes",Assumptions!$B$24,0))*(1+Assumptions!$B$30)</f>
        <v>1800</v>
      </c>
      <c r="AH58" s="47" t="n">
        <f aca="false">(L58)*AG58-(((D58)+(L58)*Assumptions!$B$4+IF(H58="Yes",Assumptions!$B$6*(D58),(L58)*Assumptions!$B$5))*(1+Assumptions!$B$7*(Assumptions!$B$8*(N58)*Assumptions!$B$9+Assumptions!$B$10))+(D58)*Assumptions!$B$11*(N58)+(L58)*AG58*(Assumptions!$B$12+Assumptions!$B$13+IF((L58)*AG58&gt;=Assumptions!$B$16,Assumptions!$B$17,IF((L58)*AG58&gt;=Assumptions!$B$14,Assumptions!$B$15,0))))</f>
        <v>-297452.647499999</v>
      </c>
      <c r="AI58" s="47" t="n">
        <f aca="false">(L58)*AE58-(((D58)+(L58)*Assumptions!$B$25+IF(H58="Yes",Assumptions!$B$6*(D58),(L58)*Assumptions!$B$5))*(1+Assumptions!$B$7*(Assumptions!$B$8*(N58)*Assumptions!$B$9+Assumptions!$B$10))+(D58)*Assumptions!$B$11*(N58)+(L58)*AE58*(Assumptions!$B$12+Assumptions!$B$13+IF((L58)*AE58&gt;=Assumptions!$B$16,Assumptions!$B$17,IF((L58)*AE58&gt;=Assumptions!$B$14,Assumptions!$B$15,0))))</f>
        <v>-347004.342499998</v>
      </c>
      <c r="AJ58" s="47" t="n">
        <f aca="false">(L58)*AE58-(((D58)+(L58)*Assumptions!$B$26+IF(H58="Yes",Assumptions!$B$6*(D58),(L58)*Assumptions!$B$5))*(1+Assumptions!$B$7*(Assumptions!$B$8*(N58)*Assumptions!$B$9+Assumptions!$B$10))+(D58)*Assumptions!$B$11*(N58)+(L58)*AE58*(Assumptions!$B$12+Assumptions!$B$13+IF((L58)*AE58&gt;=Assumptions!$B$16,Assumptions!$B$17,IF((L58)*AE58&gt;=Assumptions!$B$14,Assumptions!$B$15,0))))</f>
        <v>-167738.417499999</v>
      </c>
      <c r="AK58" s="40" t="s">
        <v>119</v>
      </c>
      <c r="AL58" s="45" t="n">
        <f aca="false">IF(G58&gt;0,G58,ROUND(F58*Assumptions!$B$18,0))</f>
        <v>1976</v>
      </c>
      <c r="AM58" s="45" t="n">
        <f aca="false">IF(H58="Yes",AL58,MAX(AL58,MIN(Assumptions!$B$20,ROUND(E58*Assumptions!$B$19,0))))</f>
        <v>3182</v>
      </c>
      <c r="AN58" s="47" t="n">
        <f aca="false">(AL58)*AE58-(((D58)+(AL58)*Assumptions!$B$4+IF(H58="Yes",Assumptions!$B$6*(D58),(AL58)*Assumptions!$B$5))*(1+Assumptions!$B$7*(Assumptions!$B$8*(Assumptions!$B$21)*Assumptions!$B$9+Assumptions!$B$10))+(D58)*Assumptions!$B$11*(Assumptions!$B$21)+(AL58)*AE58*(Assumptions!$B$12+Assumptions!$B$13+IF((AL58)*AE58&gt;=Assumptions!$B$16,Assumptions!$B$17,IF((AL58)*AE58&gt;=Assumptions!$B$14,Assumptions!$B$15,0))))</f>
        <v>-1200393.84</v>
      </c>
      <c r="AO58" s="47" t="n">
        <f aca="false">(AM58)*AE58-(((D58)+(AM58)*Assumptions!$B$4+IF(H58="Yes",Assumptions!$B$6*(D58),(AM58)*Assumptions!$B$5))*(1+Assumptions!$B$7*(Assumptions!$B$8*(IF(AM58&gt;AL58,Assumptions!$B$22,Assumptions!$B$21))*Assumptions!$B$9+Assumptions!$B$10))+(D58)*Assumptions!$B$11*(IF(AM58&gt;AL58,Assumptions!$B$22,Assumptions!$B$21))+(AM58)*AE58*(Assumptions!$B$12+Assumptions!$B$13+IF((AM58)*AE58&gt;=Assumptions!$B$16,Assumptions!$B$17,IF((AM58)*AE58&gt;=Assumptions!$B$14,Assumptions!$B$15,0))))</f>
        <v>-526270.267499998</v>
      </c>
      <c r="AP58" s="47" t="n">
        <f aca="false">Assumptions!$B$7*(Q58+R58+S58)</f>
        <v>3159682.5</v>
      </c>
    </row>
    <row r="59" customFormat="false" ht="15" hidden="false" customHeight="false" outlineLevel="0" collapsed="false">
      <c r="A59" s="40" t="n">
        <v>57</v>
      </c>
      <c r="B59" s="40" t="s">
        <v>179</v>
      </c>
      <c r="C59" s="40" t="s">
        <v>109</v>
      </c>
      <c r="D59" s="41" t="n">
        <v>2700000</v>
      </c>
      <c r="E59" s="42" t="n">
        <v>28532</v>
      </c>
      <c r="F59" s="42" t="n">
        <v>3568</v>
      </c>
      <c r="G59" s="42"/>
      <c r="H59" s="43" t="s">
        <v>71</v>
      </c>
      <c r="I59" s="43" t="s">
        <v>80</v>
      </c>
      <c r="J59" s="43" t="s">
        <v>71</v>
      </c>
      <c r="K59" s="44"/>
      <c r="L59" s="45" t="n">
        <f aca="false">IF(AO59&gt;AN59,AM59,AL59)</f>
        <v>8000</v>
      </c>
      <c r="M59" s="40" t="str">
        <f aca="false">IF(AO59&gt;AN59,"Zoning estimate",IF(H59="Yes","Approved plans",IF(G59&gt;0,"Listing claim","110% old house")))</f>
        <v>Zoning estimate</v>
      </c>
      <c r="N59" s="45" t="n">
        <f aca="false">IF(AO59&gt;AN59,IF(AM59&gt;AL59,Assumptions!$B$22,Assumptions!$B$21),Assumptions!$B$21)</f>
        <v>3</v>
      </c>
      <c r="O59" s="46" t="n">
        <f aca="false">(INDEX(Assumptions!$B$36:$B$48,MATCH(AK59,Assumptions!$A$36:$A$48,0))+IF(I59="Yes",Assumptions!$B$23,0)+IF(J59="Yes",Assumptions!$B$24,0))*(1+IF(UPPER(Assumptions!$B$31)="WORST",Assumptions!$B$28,IF(UPPER(Assumptions!$B$31)="BEST",Assumptions!$B$30,Assumptions!$B$29)))</f>
        <v>1485</v>
      </c>
      <c r="P59" s="47" t="n">
        <f aca="false">L59*O59</f>
        <v>11880000</v>
      </c>
      <c r="Q59" s="47" t="n">
        <f aca="false">D59</f>
        <v>2700000</v>
      </c>
      <c r="R59" s="47" t="n">
        <f aca="false">L59*Assumptions!$B$4</f>
        <v>5600000</v>
      </c>
      <c r="S59" s="47" t="n">
        <f aca="false">IF(H59="Yes",Assumptions!$B$6*(D59),(L59)*Assumptions!$B$5)</f>
        <v>600000</v>
      </c>
      <c r="T59" s="47" t="n">
        <f aca="false">AP59*(Assumptions!$B$8*N59*Assumptions!$B$9+Assumptions!$B$10)</f>
        <v>1128075</v>
      </c>
      <c r="U59" s="47" t="n">
        <f aca="false">Q59*Assumptions!$B$11*N59</f>
        <v>97200</v>
      </c>
      <c r="V59" s="47" t="n">
        <f aca="false">P59*(Assumptions!$B$12+Assumptions!$B$13)</f>
        <v>482328</v>
      </c>
      <c r="W59" s="47" t="n">
        <f aca="false">P59*IF(P59&gt;=Assumptions!$B$16,Assumptions!$B$17,IF(P59&gt;=Assumptions!$B$14,Assumptions!$B$15,0))</f>
        <v>653400</v>
      </c>
      <c r="X59" s="48" t="n">
        <f aca="false">SUM(Q59:W59)</f>
        <v>11261003</v>
      </c>
      <c r="Y59" s="48" t="n">
        <f aca="false">P59-X59</f>
        <v>618997.000000002</v>
      </c>
      <c r="Z59" s="49" t="n">
        <f aca="false">IF(X59=0,0,Y59/X59)</f>
        <v>0.0549681942185791</v>
      </c>
      <c r="AA59" s="47" t="n">
        <f aca="false">MAX(0,(P59/(1+Assumptions!$B$27)-(L59*(Assumptions!$B$4+IF(H59="Yes",0,Assumptions!$B$5)))*(1+(Assumptions!$B$7*(Assumptions!$B$8*N59*Assumptions!$B$9+Assumptions!$B$10)))-P59*(Assumptions!$B$12+Assumptions!$B$13+IF(P59&gt;=Assumptions!$B$16,Assumptions!$B$17,IF(P59&gt;=Assumptions!$B$14,Assumptions!$B$15,0))))/((1+IF(H59="Yes",Assumptions!$B$6,0))*(1+(Assumptions!$B$7*(Assumptions!$B$8*N59*Assumptions!$B$9+Assumptions!$B$10)))+Assumptions!$B$11*N59))</f>
        <v>1899683.32195975</v>
      </c>
      <c r="AB59" s="50" t="n">
        <f aca="false">IF(AA59&lt;=0,"no price works",D59/AA59)</f>
        <v>1.42128952167387</v>
      </c>
      <c r="AC59" s="46" t="n">
        <f aca="false">(INDEX(Assumptions!$B$36:$B$48,MATCH(AK59,Assumptions!$A$36:$A$48,0))+IF(I59="Yes",Assumptions!$B$23,0)+IF(J59="Yes",Assumptions!$B$24,0))*(1+Assumptions!$B$28)</f>
        <v>1350</v>
      </c>
      <c r="AD59" s="47" t="n">
        <f aca="false">(L59)*AC59-(((D59)+(L59)*Assumptions!$B$4+IF(H59="Yes",Assumptions!$B$6*(D59),(L59)*Assumptions!$B$5))*(1+Assumptions!$B$7*(Assumptions!$B$8*(N59)*Assumptions!$B$9+Assumptions!$B$10))+(D59)*Assumptions!$B$11*(N59)+(L59)*AC59*(Assumptions!$B$12+Assumptions!$B$13+IF((L59)*AC59&gt;=Assumptions!$B$16,Assumptions!$B$17,IF((L59)*AC59&gt;=Assumptions!$B$14,Assumptions!$B$15,0))))</f>
        <v>-195755</v>
      </c>
      <c r="AE59" s="46" t="n">
        <f aca="false">(INDEX(Assumptions!$B$36:$B$48,MATCH(AK59,Assumptions!$A$36:$A$48,0))+IF(I59="Yes",Assumptions!$B$23,0)+IF(J59="Yes",Assumptions!$B$24,0))*(1+Assumptions!$B$29)</f>
        <v>1485</v>
      </c>
      <c r="AF59" s="47" t="n">
        <f aca="false">(L59)*AE59-(((D59)+(L59)*Assumptions!$B$4+IF(H59="Yes",Assumptions!$B$6*(D59),(L59)*Assumptions!$B$5))*(1+Assumptions!$B$7*(Assumptions!$B$8*(N59)*Assumptions!$B$9+Assumptions!$B$10))+(D59)*Assumptions!$B$11*(N59)+(L59)*AE59*(Assumptions!$B$12+Assumptions!$B$13+IF((L59)*AE59&gt;=Assumptions!$B$16,Assumptions!$B$17,IF((L59)*AE59&gt;=Assumptions!$B$14,Assumptions!$B$15,0))))</f>
        <v>618997.000000002</v>
      </c>
      <c r="AG59" s="46" t="n">
        <f aca="false">(INDEX(Assumptions!$B$36:$B$48,MATCH(AK59,Assumptions!$A$36:$A$48,0))+IF(I59="Yes",Assumptions!$B$23,0)+IF(J59="Yes",Assumptions!$B$24,0))*(1+Assumptions!$B$30)</f>
        <v>1620</v>
      </c>
      <c r="AH59" s="47" t="n">
        <f aca="false">(L59)*AG59-(((D59)+(L59)*Assumptions!$B$4+IF(H59="Yes",Assumptions!$B$6*(D59),(L59)*Assumptions!$B$5))*(1+Assumptions!$B$7*(Assumptions!$B$8*(N59)*Assumptions!$B$9+Assumptions!$B$10))+(D59)*Assumptions!$B$11*(N59)+(L59)*AG59*(Assumptions!$B$12+Assumptions!$B$13+IF((L59)*AG59&gt;=Assumptions!$B$16,Assumptions!$B$17,IF((L59)*AG59&gt;=Assumptions!$B$14,Assumptions!$B$15,0))))</f>
        <v>1595749</v>
      </c>
      <c r="AI59" s="47" t="n">
        <f aca="false">(L59)*AE59-(((D59)+(L59)*Assumptions!$B$25+IF(H59="Yes",Assumptions!$B$6*(D59),(L59)*Assumptions!$B$5))*(1+Assumptions!$B$7*(Assumptions!$B$8*(N59)*Assumptions!$B$9+Assumptions!$B$10))+(D59)*Assumptions!$B$11*(N59)+(L59)*AE59*(Assumptions!$B$12+Assumptions!$B$13+IF((L59)*AE59&gt;=Assumptions!$B$16,Assumptions!$B$17,IF((L59)*AE59&gt;=Assumptions!$B$14,Assumptions!$B$15,0))))</f>
        <v>1069697</v>
      </c>
      <c r="AJ59" s="47" t="n">
        <f aca="false">(L59)*AE59-(((D59)+(L59)*Assumptions!$B$26+IF(H59="Yes",Assumptions!$B$6*(D59),(L59)*Assumptions!$B$5))*(1+Assumptions!$B$7*(Assumptions!$B$8*(N59)*Assumptions!$B$9+Assumptions!$B$10))+(D59)*Assumptions!$B$11*(N59)+(L59)*AE59*(Assumptions!$B$12+Assumptions!$B$13+IF((L59)*AE59&gt;=Assumptions!$B$16,Assumptions!$B$17,IF((L59)*AE59&gt;=Assumptions!$B$14,Assumptions!$B$15,0))))</f>
        <v>1520397</v>
      </c>
      <c r="AK59" s="40" t="s">
        <v>111</v>
      </c>
      <c r="AL59" s="45" t="n">
        <f aca="false">IF(G59&gt;0,G59,ROUND(F59*Assumptions!$B$18,0))</f>
        <v>3925</v>
      </c>
      <c r="AM59" s="45" t="n">
        <f aca="false">IF(H59="Yes",AL59,MAX(AL59,MIN(Assumptions!$B$20,ROUND(E59*Assumptions!$B$19,0))))</f>
        <v>8000</v>
      </c>
      <c r="AN59" s="47" t="n">
        <f aca="false">(AL59)*AE59-(((D59)+(AL59)*Assumptions!$B$4+IF(H59="Yes",Assumptions!$B$6*(D59),(AL59)*Assumptions!$B$5))*(1+Assumptions!$B$7*(Assumptions!$B$8*(Assumptions!$B$21)*Assumptions!$B$9+Assumptions!$B$10))+(D59)*Assumptions!$B$11*(Assumptions!$B$21)+(AL59)*AE59*(Assumptions!$B$12+Assumptions!$B$13+IF((AL59)*AE59&gt;=Assumptions!$B$16,Assumptions!$B$17,IF((AL59)*AE59&gt;=Assumptions!$B$14,Assumptions!$B$15,0))))</f>
        <v>-951686.706249999</v>
      </c>
      <c r="AO59" s="47" t="n">
        <f aca="false">(AM59)*AE59-(((D59)+(AM59)*Assumptions!$B$4+IF(H59="Yes",Assumptions!$B$6*(D59),(AM59)*Assumptions!$B$5))*(1+Assumptions!$B$7*(Assumptions!$B$8*(IF(AM59&gt;AL59,Assumptions!$B$22,Assumptions!$B$21))*Assumptions!$B$9+Assumptions!$B$10))+(D59)*Assumptions!$B$11*(IF(AM59&gt;AL59,Assumptions!$B$22,Assumptions!$B$21))+(AM59)*AE59*(Assumptions!$B$12+Assumptions!$B$13+IF((AM59)*AE59&gt;=Assumptions!$B$16,Assumptions!$B$17,IF((AM59)*AE59&gt;=Assumptions!$B$14,Assumptions!$B$15,0))))</f>
        <v>618997.000000002</v>
      </c>
      <c r="AP59" s="47" t="n">
        <f aca="false">Assumptions!$B$7*(Q59+R59+S59)</f>
        <v>5785000</v>
      </c>
    </row>
    <row r="60" customFormat="false" ht="15" hidden="false" customHeight="false" outlineLevel="0" collapsed="false">
      <c r="A60" s="40" t="n">
        <v>58</v>
      </c>
      <c r="B60" s="40" t="s">
        <v>180</v>
      </c>
      <c r="C60" s="40" t="s">
        <v>109</v>
      </c>
      <c r="D60" s="41" t="n">
        <v>1995000</v>
      </c>
      <c r="E60" s="42" t="n">
        <v>13146</v>
      </c>
      <c r="F60" s="42" t="n">
        <v>1683</v>
      </c>
      <c r="G60" s="42"/>
      <c r="H60" s="43" t="s">
        <v>71</v>
      </c>
      <c r="I60" s="43" t="s">
        <v>80</v>
      </c>
      <c r="J60" s="43" t="s">
        <v>71</v>
      </c>
      <c r="K60" s="44"/>
      <c r="L60" s="45" t="n">
        <f aca="false">IF(AO60&gt;AN60,AM60,AL60)</f>
        <v>5258</v>
      </c>
      <c r="M60" s="40" t="str">
        <f aca="false">IF(AO60&gt;AN60,"Zoning estimate",IF(H60="Yes","Approved plans",IF(G60&gt;0,"Listing claim","110% old house")))</f>
        <v>Zoning estimate</v>
      </c>
      <c r="N60" s="45" t="n">
        <f aca="false">IF(AO60&gt;AN60,IF(AM60&gt;AL60,Assumptions!$B$22,Assumptions!$B$21),Assumptions!$B$21)</f>
        <v>3</v>
      </c>
      <c r="O60" s="46" t="n">
        <f aca="false">(INDEX(Assumptions!$B$36:$B$48,MATCH(AK60,Assumptions!$A$36:$A$48,0))+IF(I60="Yes",Assumptions!$B$23,0)+IF(J60="Yes",Assumptions!$B$24,0))*(1+IF(UPPER(Assumptions!$B$31)="WORST",Assumptions!$B$28,IF(UPPER(Assumptions!$B$31)="BEST",Assumptions!$B$30,Assumptions!$B$29)))</f>
        <v>1485</v>
      </c>
      <c r="P60" s="47" t="n">
        <f aca="false">L60*O60</f>
        <v>7808130</v>
      </c>
      <c r="Q60" s="47" t="n">
        <f aca="false">D60</f>
        <v>1995000</v>
      </c>
      <c r="R60" s="47" t="n">
        <f aca="false">L60*Assumptions!$B$4</f>
        <v>3680600</v>
      </c>
      <c r="S60" s="47" t="n">
        <f aca="false">IF(H60="Yes",Assumptions!$B$6*(D60),(L60)*Assumptions!$B$5)</f>
        <v>394350</v>
      </c>
      <c r="T60" s="47" t="n">
        <f aca="false">AP60*(Assumptions!$B$8*N60*Assumptions!$B$9+Assumptions!$B$10)</f>
        <v>769366.1625</v>
      </c>
      <c r="U60" s="47" t="n">
        <f aca="false">Q60*Assumptions!$B$11*N60</f>
        <v>71820</v>
      </c>
      <c r="V60" s="47" t="n">
        <f aca="false">P60*(Assumptions!$B$12+Assumptions!$B$13)</f>
        <v>317010.078</v>
      </c>
      <c r="W60" s="47" t="n">
        <f aca="false">P60*IF(P60&gt;=Assumptions!$B$16,Assumptions!$B$17,IF(P60&gt;=Assumptions!$B$14,Assumptions!$B$15,0))</f>
        <v>312325.2</v>
      </c>
      <c r="X60" s="48" t="n">
        <f aca="false">SUM(Q60:W60)</f>
        <v>7540471.4405</v>
      </c>
      <c r="Y60" s="48" t="n">
        <f aca="false">P60-X60</f>
        <v>267658.5595</v>
      </c>
      <c r="Z60" s="49" t="n">
        <f aca="false">IF(X60=0,0,Y60/X60)</f>
        <v>0.0354962632790308</v>
      </c>
      <c r="AA60" s="47" t="n">
        <f aca="false">MAX(0,(P60/(1+Assumptions!$B$27)-(L60*(Assumptions!$B$4+IF(H60="Yes",0,Assumptions!$B$5)))*(1+(Assumptions!$B$7*(Assumptions!$B$8*N60*Assumptions!$B$9+Assumptions!$B$10)))-P60*(Assumptions!$B$12+Assumptions!$B$13+IF(P60&gt;=Assumptions!$B$16,Assumptions!$B$17,IF(P60&gt;=Assumptions!$B$14,Assumptions!$B$15,0))))/((1+IF(H60="Yes",Assumptions!$B$6,0))*(1+(Assumptions!$B$7*(Assumptions!$B$8*N60*Assumptions!$B$9+Assumptions!$B$10)))+Assumptions!$B$11*N60))</f>
        <v>1349295.26585213</v>
      </c>
      <c r="AB60" s="50" t="n">
        <f aca="false">IF(AA60&lt;=0,"no price works",D60/AA60)</f>
        <v>1.47854961807791</v>
      </c>
      <c r="AC60" s="46" t="n">
        <f aca="false">(INDEX(Assumptions!$B$36:$B$48,MATCH(AK60,Assumptions!$A$36:$A$48,0))+IF(I60="Yes",Assumptions!$B$23,0)+IF(J60="Yes",Assumptions!$B$24,0))*(1+Assumptions!$B$28)</f>
        <v>1350</v>
      </c>
      <c r="AD60" s="47" t="n">
        <f aca="false">(L60)*AC60-(((D60)+(L60)*Assumptions!$B$4+IF(H60="Yes",Assumptions!$B$6*(D60),(L60)*Assumptions!$B$5))*(1+Assumptions!$B$7*(Assumptions!$B$8*(N60)*Assumptions!$B$9+Assumptions!$B$10))+(D60)*Assumptions!$B$11*(N60)+(L60)*AC60*(Assumptions!$B$12+Assumptions!$B$13+IF((L60)*AC60&gt;=Assumptions!$B$16,Assumptions!$B$17,IF((L60)*AC60&gt;=Assumptions!$B$14,Assumptions!$B$15,0))))</f>
        <v>-384959.1425</v>
      </c>
      <c r="AE60" s="46" t="n">
        <f aca="false">(INDEX(Assumptions!$B$36:$B$48,MATCH(AK60,Assumptions!$A$36:$A$48,0))+IF(I60="Yes",Assumptions!$B$23,0)+IF(J60="Yes",Assumptions!$B$24,0))*(1+Assumptions!$B$29)</f>
        <v>1485</v>
      </c>
      <c r="AF60" s="47" t="n">
        <f aca="false">(L60)*AE60-(((D60)+(L60)*Assumptions!$B$4+IF(H60="Yes",Assumptions!$B$6*(D60),(L60)*Assumptions!$B$5))*(1+Assumptions!$B$7*(Assumptions!$B$8*(N60)*Assumptions!$B$9+Assumptions!$B$10))+(D60)*Assumptions!$B$11*(N60)+(L60)*AE60*(Assumptions!$B$12+Assumptions!$B$13+IF((L60)*AE60&gt;=Assumptions!$B$16,Assumptions!$B$17,IF((L60)*AE60&gt;=Assumptions!$B$14,Assumptions!$B$15,0))))</f>
        <v>267658.559500001</v>
      </c>
      <c r="AG60" s="46" t="n">
        <f aca="false">(INDEX(Assumptions!$B$36:$B$48,MATCH(AK60,Assumptions!$A$36:$A$48,0))+IF(I60="Yes",Assumptions!$B$23,0)+IF(J60="Yes",Assumptions!$B$24,0))*(1+Assumptions!$B$30)</f>
        <v>1620</v>
      </c>
      <c r="AH60" s="47" t="n">
        <f aca="false">(L60)*AG60-(((D60)+(L60)*Assumptions!$B$4+IF(H60="Yes",Assumptions!$B$6*(D60),(L60)*Assumptions!$B$5))*(1+Assumptions!$B$7*(Assumptions!$B$8*(N60)*Assumptions!$B$9+Assumptions!$B$10))+(D60)*Assumptions!$B$11*(N60)+(L60)*AG60*(Assumptions!$B$12+Assumptions!$B$13+IF((L60)*AG60&gt;=Assumptions!$B$16,Assumptions!$B$17,IF((L60)*AG60&gt;=Assumptions!$B$14,Assumptions!$B$15,0))))</f>
        <v>920276.2615</v>
      </c>
      <c r="AI60" s="47" t="n">
        <f aca="false">(L60)*AE60-(((D60)+(L60)*Assumptions!$B$25+IF(H60="Yes",Assumptions!$B$6*(D60),(L60)*Assumptions!$B$5))*(1+Assumptions!$B$7*(Assumptions!$B$8*(N60)*Assumptions!$B$9+Assumptions!$B$10))+(D60)*Assumptions!$B$11*(N60)+(L60)*AE60*(Assumptions!$B$12+Assumptions!$B$13+IF((L60)*AE60&gt;=Assumptions!$B$16,Assumptions!$B$17,IF((L60)*AE60&gt;=Assumptions!$B$14,Assumptions!$B$15,0))))</f>
        <v>563881.134500002</v>
      </c>
      <c r="AJ60" s="47" t="n">
        <f aca="false">(L60)*AE60-(((D60)+(L60)*Assumptions!$B$26+IF(H60="Yes",Assumptions!$B$6*(D60),(L60)*Assumptions!$B$5))*(1+Assumptions!$B$7*(Assumptions!$B$8*(N60)*Assumptions!$B$9+Assumptions!$B$10))+(D60)*Assumptions!$B$11*(N60)+(L60)*AE60*(Assumptions!$B$12+Assumptions!$B$13+IF((L60)*AE60&gt;=Assumptions!$B$16,Assumptions!$B$17,IF((L60)*AE60&gt;=Assumptions!$B$14,Assumptions!$B$15,0))))</f>
        <v>860103.709500002</v>
      </c>
      <c r="AK60" s="40" t="s">
        <v>111</v>
      </c>
      <c r="AL60" s="45" t="n">
        <f aca="false">IF(G60&gt;0,G60,ROUND(F60*Assumptions!$B$18,0))</f>
        <v>1851</v>
      </c>
      <c r="AM60" s="45" t="n">
        <f aca="false">IF(H60="Yes",AL60,MAX(AL60,MIN(Assumptions!$B$20,ROUND(E60*Assumptions!$B$19,0))))</f>
        <v>5258</v>
      </c>
      <c r="AN60" s="47" t="n">
        <f aca="false">(AL60)*AE60-(((D60)+(AL60)*Assumptions!$B$4+IF(H60="Yes",Assumptions!$B$6*(D60),(AL60)*Assumptions!$B$5))*(1+Assumptions!$B$7*(Assumptions!$B$8*(Assumptions!$B$21)*Assumptions!$B$9+Assumptions!$B$10))+(D60)*Assumptions!$B$11*(Assumptions!$B$21)+(AL60)*AE60*(Assumptions!$B$12+Assumptions!$B$13+IF((AL60)*AE60&gt;=Assumptions!$B$16,Assumptions!$B$17,IF((AL60)*AE60&gt;=Assumptions!$B$14,Assumptions!$B$15,0))))</f>
        <v>-1141209.45975</v>
      </c>
      <c r="AO60" s="47" t="n">
        <f aca="false">(AM60)*AE60-(((D60)+(AM60)*Assumptions!$B$4+IF(H60="Yes",Assumptions!$B$6*(D60),(AM60)*Assumptions!$B$5))*(1+Assumptions!$B$7*(Assumptions!$B$8*(IF(AM60&gt;AL60,Assumptions!$B$22,Assumptions!$B$21))*Assumptions!$B$9+Assumptions!$B$10))+(D60)*Assumptions!$B$11*(IF(AM60&gt;AL60,Assumptions!$B$22,Assumptions!$B$21))+(AM60)*AE60*(Assumptions!$B$12+Assumptions!$B$13+IF((AM60)*AE60&gt;=Assumptions!$B$16,Assumptions!$B$17,IF((AM60)*AE60&gt;=Assumptions!$B$14,Assumptions!$B$15,0))))</f>
        <v>267658.559500001</v>
      </c>
      <c r="AP60" s="47" t="n">
        <f aca="false">Assumptions!$B$7*(Q60+R60+S60)</f>
        <v>3945467.5</v>
      </c>
    </row>
    <row r="61" customFormat="false" ht="15" hidden="false" customHeight="false" outlineLevel="0" collapsed="false">
      <c r="A61" s="40" t="n">
        <v>59</v>
      </c>
      <c r="B61" s="40" t="s">
        <v>181</v>
      </c>
      <c r="C61" s="40" t="s">
        <v>102</v>
      </c>
      <c r="D61" s="41" t="n">
        <v>2750000</v>
      </c>
      <c r="E61" s="42" t="n">
        <v>41181</v>
      </c>
      <c r="F61" s="42" t="n">
        <v>1950</v>
      </c>
      <c r="G61" s="42"/>
      <c r="H61" s="43" t="s">
        <v>71</v>
      </c>
      <c r="I61" s="43" t="s">
        <v>80</v>
      </c>
      <c r="J61" s="43" t="s">
        <v>71</v>
      </c>
      <c r="K61" s="44" t="s">
        <v>182</v>
      </c>
      <c r="L61" s="45" t="n">
        <f aca="false">IF(AO61&gt;AN61,AM61,AL61)</f>
        <v>8000</v>
      </c>
      <c r="M61" s="40" t="str">
        <f aca="false">IF(AO61&gt;AN61,"Zoning estimate",IF(H61="Yes","Approved plans",IF(G61&gt;0,"Listing claim","110% old house")))</f>
        <v>Zoning estimate</v>
      </c>
      <c r="N61" s="45" t="n">
        <f aca="false">IF(AO61&gt;AN61,IF(AM61&gt;AL61,Assumptions!$B$22,Assumptions!$B$21),Assumptions!$B$21)</f>
        <v>3</v>
      </c>
      <c r="O61" s="46" t="n">
        <f aca="false">(INDEX(Assumptions!$B$36:$B$48,MATCH(AK61,Assumptions!$A$36:$A$48,0))+IF(I61="Yes",Assumptions!$B$23,0)+IF(J61="Yes",Assumptions!$B$24,0))*(1+IF(UPPER(Assumptions!$B$31)="WORST",Assumptions!$B$28,IF(UPPER(Assumptions!$B$31)="BEST",Assumptions!$B$30,Assumptions!$B$29)))</f>
        <v>1485</v>
      </c>
      <c r="P61" s="47" t="n">
        <f aca="false">L61*O61</f>
        <v>11880000</v>
      </c>
      <c r="Q61" s="47" t="n">
        <f aca="false">D61</f>
        <v>2750000</v>
      </c>
      <c r="R61" s="47" t="n">
        <f aca="false">L61*Assumptions!$B$4</f>
        <v>5600000</v>
      </c>
      <c r="S61" s="47" t="n">
        <f aca="false">IF(H61="Yes",Assumptions!$B$6*(D61),(L61)*Assumptions!$B$5)</f>
        <v>600000</v>
      </c>
      <c r="T61" s="47" t="n">
        <f aca="false">AP61*(Assumptions!$B$8*N61*Assumptions!$B$9+Assumptions!$B$10)</f>
        <v>1134412.5</v>
      </c>
      <c r="U61" s="47" t="n">
        <f aca="false">Q61*Assumptions!$B$11*N61</f>
        <v>99000</v>
      </c>
      <c r="V61" s="47" t="n">
        <f aca="false">P61*(Assumptions!$B$12+Assumptions!$B$13)</f>
        <v>482328</v>
      </c>
      <c r="W61" s="47" t="n">
        <f aca="false">P61*IF(P61&gt;=Assumptions!$B$16,Assumptions!$B$17,IF(P61&gt;=Assumptions!$B$14,Assumptions!$B$15,0))</f>
        <v>653400</v>
      </c>
      <c r="X61" s="48" t="n">
        <f aca="false">SUM(Q61:W61)</f>
        <v>11319140.5</v>
      </c>
      <c r="Y61" s="48" t="n">
        <f aca="false">P61-X61</f>
        <v>560859.500000002</v>
      </c>
      <c r="Z61" s="49" t="n">
        <f aca="false">IF(X61=0,0,Y61/X61)</f>
        <v>0.0495496544105979</v>
      </c>
      <c r="AA61" s="47" t="n">
        <f aca="false">MAX(0,(P61/(1+Assumptions!$B$27)-(L61*(Assumptions!$B$4+IF(H61="Yes",0,Assumptions!$B$5)))*(1+(Assumptions!$B$7*(Assumptions!$B$8*N61*Assumptions!$B$9+Assumptions!$B$10)))-P61*(Assumptions!$B$12+Assumptions!$B$13+IF(P61&gt;=Assumptions!$B$16,Assumptions!$B$17,IF(P61&gt;=Assumptions!$B$14,Assumptions!$B$15,0))))/((1+IF(H61="Yes",Assumptions!$B$6,0))*(1+(Assumptions!$B$7*(Assumptions!$B$8*N61*Assumptions!$B$9+Assumptions!$B$10)))+Assumptions!$B$11*N61))</f>
        <v>1899683.32195975</v>
      </c>
      <c r="AB61" s="50" t="n">
        <f aca="false">IF(AA61&lt;=0,"no price works",D61/AA61)</f>
        <v>1.44760969800116</v>
      </c>
      <c r="AC61" s="46" t="n">
        <f aca="false">(INDEX(Assumptions!$B$36:$B$48,MATCH(AK61,Assumptions!$A$36:$A$48,0))+IF(I61="Yes",Assumptions!$B$23,0)+IF(J61="Yes",Assumptions!$B$24,0))*(1+Assumptions!$B$28)</f>
        <v>1350</v>
      </c>
      <c r="AD61" s="47" t="n">
        <f aca="false">(L61)*AC61-(((D61)+(L61)*Assumptions!$B$4+IF(H61="Yes",Assumptions!$B$6*(D61),(L61)*Assumptions!$B$5))*(1+Assumptions!$B$7*(Assumptions!$B$8*(N61)*Assumptions!$B$9+Assumptions!$B$10))+(D61)*Assumptions!$B$11*(N61)+(L61)*AC61*(Assumptions!$B$12+Assumptions!$B$13+IF((L61)*AC61&gt;=Assumptions!$B$16,Assumptions!$B$17,IF((L61)*AC61&gt;=Assumptions!$B$14,Assumptions!$B$15,0))))</f>
        <v>-253892.5</v>
      </c>
      <c r="AE61" s="46" t="n">
        <f aca="false">(INDEX(Assumptions!$B$36:$B$48,MATCH(AK61,Assumptions!$A$36:$A$48,0))+IF(I61="Yes",Assumptions!$B$23,0)+IF(J61="Yes",Assumptions!$B$24,0))*(1+Assumptions!$B$29)</f>
        <v>1485</v>
      </c>
      <c r="AF61" s="47" t="n">
        <f aca="false">(L61)*AE61-(((D61)+(L61)*Assumptions!$B$4+IF(H61="Yes",Assumptions!$B$6*(D61),(L61)*Assumptions!$B$5))*(1+Assumptions!$B$7*(Assumptions!$B$8*(N61)*Assumptions!$B$9+Assumptions!$B$10))+(D61)*Assumptions!$B$11*(N61)+(L61)*AE61*(Assumptions!$B$12+Assumptions!$B$13+IF((L61)*AE61&gt;=Assumptions!$B$16,Assumptions!$B$17,IF((L61)*AE61&gt;=Assumptions!$B$14,Assumptions!$B$15,0))))</f>
        <v>560859.500000002</v>
      </c>
      <c r="AG61" s="46" t="n">
        <f aca="false">(INDEX(Assumptions!$B$36:$B$48,MATCH(AK61,Assumptions!$A$36:$A$48,0))+IF(I61="Yes",Assumptions!$B$23,0)+IF(J61="Yes",Assumptions!$B$24,0))*(1+Assumptions!$B$30)</f>
        <v>1620</v>
      </c>
      <c r="AH61" s="47" t="n">
        <f aca="false">(L61)*AG61-(((D61)+(L61)*Assumptions!$B$4+IF(H61="Yes",Assumptions!$B$6*(D61),(L61)*Assumptions!$B$5))*(1+Assumptions!$B$7*(Assumptions!$B$8*(N61)*Assumptions!$B$9+Assumptions!$B$10))+(D61)*Assumptions!$B$11*(N61)+(L61)*AG61*(Assumptions!$B$12+Assumptions!$B$13+IF((L61)*AG61&gt;=Assumptions!$B$16,Assumptions!$B$17,IF((L61)*AG61&gt;=Assumptions!$B$14,Assumptions!$B$15,0))))</f>
        <v>1537611.5</v>
      </c>
      <c r="AI61" s="47" t="n">
        <f aca="false">(L61)*AE61-(((D61)+(L61)*Assumptions!$B$25+IF(H61="Yes",Assumptions!$B$6*(D61),(L61)*Assumptions!$B$5))*(1+Assumptions!$B$7*(Assumptions!$B$8*(N61)*Assumptions!$B$9+Assumptions!$B$10))+(D61)*Assumptions!$B$11*(N61)+(L61)*AE61*(Assumptions!$B$12+Assumptions!$B$13+IF((L61)*AE61&gt;=Assumptions!$B$16,Assumptions!$B$17,IF((L61)*AE61&gt;=Assumptions!$B$14,Assumptions!$B$15,0))))</f>
        <v>1011559.5</v>
      </c>
      <c r="AJ61" s="47" t="n">
        <f aca="false">(L61)*AE61-(((D61)+(L61)*Assumptions!$B$26+IF(H61="Yes",Assumptions!$B$6*(D61),(L61)*Assumptions!$B$5))*(1+Assumptions!$B$7*(Assumptions!$B$8*(N61)*Assumptions!$B$9+Assumptions!$B$10))+(D61)*Assumptions!$B$11*(N61)+(L61)*AE61*(Assumptions!$B$12+Assumptions!$B$13+IF((L61)*AE61&gt;=Assumptions!$B$16,Assumptions!$B$17,IF((L61)*AE61&gt;=Assumptions!$B$14,Assumptions!$B$15,0))))</f>
        <v>1462259.5</v>
      </c>
      <c r="AK61" s="40" t="s">
        <v>104</v>
      </c>
      <c r="AL61" s="45" t="n">
        <f aca="false">IF(G61&gt;0,G61,ROUND(F61*Assumptions!$B$18,0))</f>
        <v>2145</v>
      </c>
      <c r="AM61" s="45" t="n">
        <f aca="false">IF(H61="Yes",AL61,MAX(AL61,MIN(Assumptions!$B$20,ROUND(E61*Assumptions!$B$19,0))))</f>
        <v>8000</v>
      </c>
      <c r="AN61" s="47" t="n">
        <f aca="false">(AL61)*AE61-(((D61)+(AL61)*Assumptions!$B$4+IF(H61="Yes",Assumptions!$B$6*(D61),(AL61)*Assumptions!$B$5))*(1+Assumptions!$B$7*(Assumptions!$B$8*(Assumptions!$B$21)*Assumptions!$B$9+Assumptions!$B$10))+(D61)*Assumptions!$B$11*(Assumptions!$B$21)+(AL61)*AE61*(Assumptions!$B$12+Assumptions!$B$13+IF((AL61)*AE61&gt;=Assumptions!$B$16,Assumptions!$B$17,IF((AL61)*AE61&gt;=Assumptions!$B$14,Assumptions!$B$15,0))))</f>
        <v>-1809560.10125</v>
      </c>
      <c r="AO61" s="47" t="n">
        <f aca="false">(AM61)*AE61-(((D61)+(AM61)*Assumptions!$B$4+IF(H61="Yes",Assumptions!$B$6*(D61),(AM61)*Assumptions!$B$5))*(1+Assumptions!$B$7*(Assumptions!$B$8*(IF(AM61&gt;AL61,Assumptions!$B$22,Assumptions!$B$21))*Assumptions!$B$9+Assumptions!$B$10))+(D61)*Assumptions!$B$11*(IF(AM61&gt;AL61,Assumptions!$B$22,Assumptions!$B$21))+(AM61)*AE61*(Assumptions!$B$12+Assumptions!$B$13+IF((AM61)*AE61&gt;=Assumptions!$B$16,Assumptions!$B$17,IF((AM61)*AE61&gt;=Assumptions!$B$14,Assumptions!$B$15,0))))</f>
        <v>560859.500000002</v>
      </c>
      <c r="AP61" s="47" t="n">
        <f aca="false">Assumptions!$B$7*(Q61+R61+S61)</f>
        <v>5817500</v>
      </c>
    </row>
    <row r="62" customFormat="false" ht="15" hidden="false" customHeight="false" outlineLevel="0" collapsed="false">
      <c r="A62" s="40" t="n">
        <v>60</v>
      </c>
      <c r="B62" s="40" t="s">
        <v>183</v>
      </c>
      <c r="C62" s="40" t="s">
        <v>75</v>
      </c>
      <c r="D62" s="41" t="n">
        <v>1699000</v>
      </c>
      <c r="E62" s="42" t="n">
        <v>5381</v>
      </c>
      <c r="F62" s="42" t="n">
        <v>1397</v>
      </c>
      <c r="G62" s="42"/>
      <c r="H62" s="43" t="s">
        <v>71</v>
      </c>
      <c r="I62" s="43" t="s">
        <v>71</v>
      </c>
      <c r="J62" s="43" t="s">
        <v>71</v>
      </c>
      <c r="K62" s="44"/>
      <c r="L62" s="45" t="n">
        <f aca="false">IF(AO62&gt;AN62,AM62,AL62)</f>
        <v>2152</v>
      </c>
      <c r="M62" s="40" t="str">
        <f aca="false">IF(AO62&gt;AN62,"Zoning estimate",IF(H62="Yes","Approved plans",IF(G62&gt;0,"Listing claim","110% old house")))</f>
        <v>Zoning estimate</v>
      </c>
      <c r="N62" s="45" t="n">
        <f aca="false">IF(AO62&gt;AN62,IF(AM62&gt;AL62,Assumptions!$B$22,Assumptions!$B$21),Assumptions!$B$21)</f>
        <v>3</v>
      </c>
      <c r="O62" s="46" t="n">
        <f aca="false">(INDEX(Assumptions!$B$36:$B$48,MATCH(AK62,Assumptions!$A$36:$A$48,0))+IF(I62="Yes",Assumptions!$B$23,0)+IF(J62="Yes",Assumptions!$B$24,0))*(1+IF(UPPER(Assumptions!$B$31)="WORST",Assumptions!$B$28,IF(UPPER(Assumptions!$B$31)="BEST",Assumptions!$B$30,Assumptions!$B$29)))</f>
        <v>1540</v>
      </c>
      <c r="P62" s="47" t="n">
        <f aca="false">L62*O62</f>
        <v>3314080</v>
      </c>
      <c r="Q62" s="47" t="n">
        <f aca="false">D62</f>
        <v>1699000</v>
      </c>
      <c r="R62" s="47" t="n">
        <f aca="false">L62*Assumptions!$B$4</f>
        <v>1506400</v>
      </c>
      <c r="S62" s="47" t="n">
        <f aca="false">IF(H62="Yes",Assumptions!$B$6*(D62),(L62)*Assumptions!$B$5)</f>
        <v>161400</v>
      </c>
      <c r="T62" s="47" t="n">
        <f aca="false">AP62*(Assumptions!$B$8*N62*Assumptions!$B$9+Assumptions!$B$10)</f>
        <v>426741.9</v>
      </c>
      <c r="U62" s="47" t="n">
        <f aca="false">Q62*Assumptions!$B$11*N62</f>
        <v>61164</v>
      </c>
      <c r="V62" s="47" t="n">
        <f aca="false">P62*(Assumptions!$B$12+Assumptions!$B$13)</f>
        <v>134551.648</v>
      </c>
      <c r="W62" s="47" t="n">
        <f aca="false">P62*IF(P62&gt;=Assumptions!$B$16,Assumptions!$B$17,IF(P62&gt;=Assumptions!$B$14,Assumptions!$B$15,0))</f>
        <v>0</v>
      </c>
      <c r="X62" s="48" t="n">
        <f aca="false">SUM(Q62:W62)</f>
        <v>3989257.548</v>
      </c>
      <c r="Y62" s="48" t="n">
        <f aca="false">P62-X62</f>
        <v>-675177.548</v>
      </c>
      <c r="Z62" s="49" t="n">
        <f aca="false">IF(X62=0,0,Y62/X62)</f>
        <v>-0.169248924110828</v>
      </c>
      <c r="AA62" s="47" t="n">
        <f aca="false">MAX(0,(P62/(1+Assumptions!$B$27)-(L62*(Assumptions!$B$4+IF(H62="Yes",0,Assumptions!$B$5)))*(1+(Assumptions!$B$7*(Assumptions!$B$8*N62*Assumptions!$B$9+Assumptions!$B$10)))-P62*(Assumptions!$B$12+Assumptions!$B$13+IF(P62&gt;=Assumptions!$B$16,Assumptions!$B$17,IF(P62&gt;=Assumptions!$B$14,Assumptions!$B$15,0))))/((1+IF(H62="Yes",Assumptions!$B$6,0))*(1+(Assumptions!$B$7*(Assumptions!$B$8*N62*Assumptions!$B$9+Assumptions!$B$10)))+Assumptions!$B$11*N62))</f>
        <v>746560.651603677</v>
      </c>
      <c r="AB62" s="50" t="n">
        <f aca="false">IF(AA62&lt;=0,"no price works",D62/AA62)</f>
        <v>2.27576955248097</v>
      </c>
      <c r="AC62" s="46" t="n">
        <f aca="false">(INDEX(Assumptions!$B$36:$B$48,MATCH(AK62,Assumptions!$A$36:$A$48,0))+IF(I62="Yes",Assumptions!$B$23,0)+IF(J62="Yes",Assumptions!$B$24,0))*(1+Assumptions!$B$28)</f>
        <v>1400</v>
      </c>
      <c r="AD62" s="47" t="n">
        <f aca="false">(L62)*AC62-(((D62)+(L62)*Assumptions!$B$4+IF(H62="Yes",Assumptions!$B$6*(D62),(L62)*Assumptions!$B$5))*(1+Assumptions!$B$7*(Assumptions!$B$8*(N62)*Assumptions!$B$9+Assumptions!$B$10))+(D62)*Assumptions!$B$11*(N62)+(L62)*AC62*(Assumptions!$B$12+Assumptions!$B$13+IF((L62)*AC62&gt;=Assumptions!$B$16,Assumptions!$B$17,IF((L62)*AC62&gt;=Assumptions!$B$14,Assumptions!$B$15,0))))</f>
        <v>-964225.58</v>
      </c>
      <c r="AE62" s="46" t="n">
        <f aca="false">(INDEX(Assumptions!$B$36:$B$48,MATCH(AK62,Assumptions!$A$36:$A$48,0))+IF(I62="Yes",Assumptions!$B$23,0)+IF(J62="Yes",Assumptions!$B$24,0))*(1+Assumptions!$B$29)</f>
        <v>1540</v>
      </c>
      <c r="AF62" s="47" t="n">
        <f aca="false">(L62)*AE62-(((D62)+(L62)*Assumptions!$B$4+IF(H62="Yes",Assumptions!$B$6*(D62),(L62)*Assumptions!$B$5))*(1+Assumptions!$B$7*(Assumptions!$B$8*(N62)*Assumptions!$B$9+Assumptions!$B$10))+(D62)*Assumptions!$B$11*(N62)+(L62)*AE62*(Assumptions!$B$12+Assumptions!$B$13+IF((L62)*AE62&gt;=Assumptions!$B$16,Assumptions!$B$17,IF((L62)*AE62&gt;=Assumptions!$B$14,Assumptions!$B$15,0))))</f>
        <v>-675177.548</v>
      </c>
      <c r="AG62" s="46" t="n">
        <f aca="false">(INDEX(Assumptions!$B$36:$B$48,MATCH(AK62,Assumptions!$A$36:$A$48,0))+IF(I62="Yes",Assumptions!$B$23,0)+IF(J62="Yes",Assumptions!$B$24,0))*(1+Assumptions!$B$30)</f>
        <v>1680</v>
      </c>
      <c r="AH62" s="47" t="n">
        <f aca="false">(L62)*AG62-(((D62)+(L62)*Assumptions!$B$4+IF(H62="Yes",Assumptions!$B$6*(D62),(L62)*Assumptions!$B$5))*(1+Assumptions!$B$7*(Assumptions!$B$8*(N62)*Assumptions!$B$9+Assumptions!$B$10))+(D62)*Assumptions!$B$11*(N62)+(L62)*AG62*(Assumptions!$B$12+Assumptions!$B$13+IF((L62)*AG62&gt;=Assumptions!$B$16,Assumptions!$B$17,IF((L62)*AG62&gt;=Assumptions!$B$14,Assumptions!$B$15,0))))</f>
        <v>-386129.516</v>
      </c>
      <c r="AI62" s="47" t="n">
        <f aca="false">(L62)*AE62-(((D62)+(L62)*Assumptions!$B$25+IF(H62="Yes",Assumptions!$B$6*(D62),(L62)*Assumptions!$B$5))*(1+Assumptions!$B$7*(Assumptions!$B$8*(N62)*Assumptions!$B$9+Assumptions!$B$10))+(D62)*Assumptions!$B$11*(N62)+(L62)*AE62*(Assumptions!$B$12+Assumptions!$B$13+IF((L62)*AE62&gt;=Assumptions!$B$16,Assumptions!$B$17,IF((L62)*AE62&gt;=Assumptions!$B$14,Assumptions!$B$15,0))))</f>
        <v>-553939.247999999</v>
      </c>
      <c r="AJ62" s="47" t="n">
        <f aca="false">(L62)*AE62-(((D62)+(L62)*Assumptions!$B$26+IF(H62="Yes",Assumptions!$B$6*(D62),(L62)*Assumptions!$B$5))*(1+Assumptions!$B$7*(Assumptions!$B$8*(N62)*Assumptions!$B$9+Assumptions!$B$10))+(D62)*Assumptions!$B$11*(N62)+(L62)*AE62*(Assumptions!$B$12+Assumptions!$B$13+IF((L62)*AE62&gt;=Assumptions!$B$16,Assumptions!$B$17,IF((L62)*AE62&gt;=Assumptions!$B$14,Assumptions!$B$15,0))))</f>
        <v>-432700.947999999</v>
      </c>
      <c r="AK62" s="40" t="s">
        <v>77</v>
      </c>
      <c r="AL62" s="45" t="n">
        <f aca="false">IF(G62&gt;0,G62,ROUND(F62*Assumptions!$B$18,0))</f>
        <v>1537</v>
      </c>
      <c r="AM62" s="45" t="n">
        <f aca="false">IF(H62="Yes",AL62,MAX(AL62,MIN(Assumptions!$B$20,ROUND(E62*Assumptions!$B$19,0))))</f>
        <v>2152</v>
      </c>
      <c r="AN62" s="47" t="n">
        <f aca="false">(AL62)*AE62-(((D62)+(AL62)*Assumptions!$B$4+IF(H62="Yes",Assumptions!$B$6*(D62),(AL62)*Assumptions!$B$5))*(1+Assumptions!$B$7*(Assumptions!$B$8*(Assumptions!$B$21)*Assumptions!$B$9+Assumptions!$B$10))+(D62)*Assumptions!$B$11*(Assumptions!$B$21)+(AL62)*AE62*(Assumptions!$B$12+Assumptions!$B$13+IF((AL62)*AE62&gt;=Assumptions!$B$16,Assumptions!$B$17,IF((AL62)*AE62&gt;=Assumptions!$B$14,Assumptions!$B$15,0))))</f>
        <v>-913683.24425</v>
      </c>
      <c r="AO62" s="47" t="n">
        <f aca="false">(AM62)*AE62-(((D62)+(AM62)*Assumptions!$B$4+IF(H62="Yes",Assumptions!$B$6*(D62),(AM62)*Assumptions!$B$5))*(1+Assumptions!$B$7*(Assumptions!$B$8*(IF(AM62&gt;AL62,Assumptions!$B$22,Assumptions!$B$21))*Assumptions!$B$9+Assumptions!$B$10))+(D62)*Assumptions!$B$11*(IF(AM62&gt;AL62,Assumptions!$B$22,Assumptions!$B$21))+(AM62)*AE62*(Assumptions!$B$12+Assumptions!$B$13+IF((AM62)*AE62&gt;=Assumptions!$B$16,Assumptions!$B$17,IF((AM62)*AE62&gt;=Assumptions!$B$14,Assumptions!$B$15,0))))</f>
        <v>-675177.548</v>
      </c>
      <c r="AP62" s="47" t="n">
        <f aca="false">Assumptions!$B$7*(Q62+R62+S62)</f>
        <v>2188420</v>
      </c>
    </row>
    <row r="63" customFormat="false" ht="15" hidden="false" customHeight="false" outlineLevel="0" collapsed="false">
      <c r="A63" s="40" t="n">
        <v>61</v>
      </c>
      <c r="B63" s="40" t="s">
        <v>184</v>
      </c>
      <c r="C63" s="40" t="s">
        <v>75</v>
      </c>
      <c r="D63" s="41" t="n">
        <v>1575000</v>
      </c>
      <c r="E63" s="42" t="n">
        <v>4984</v>
      </c>
      <c r="F63" s="42" t="n">
        <v>1409</v>
      </c>
      <c r="G63" s="42"/>
      <c r="H63" s="43" t="s">
        <v>71</v>
      </c>
      <c r="I63" s="43" t="s">
        <v>71</v>
      </c>
      <c r="J63" s="43" t="s">
        <v>71</v>
      </c>
      <c r="K63" s="44" t="s">
        <v>92</v>
      </c>
      <c r="L63" s="45" t="n">
        <f aca="false">IF(AO63&gt;AN63,AM63,AL63)</f>
        <v>1994</v>
      </c>
      <c r="M63" s="40" t="str">
        <f aca="false">IF(AO63&gt;AN63,"Zoning estimate",IF(H63="Yes","Approved plans",IF(G63&gt;0,"Listing claim","110% old house")))</f>
        <v>Zoning estimate</v>
      </c>
      <c r="N63" s="45" t="n">
        <f aca="false">IF(AO63&gt;AN63,IF(AM63&gt;AL63,Assumptions!$B$22,Assumptions!$B$21),Assumptions!$B$21)</f>
        <v>3</v>
      </c>
      <c r="O63" s="46" t="n">
        <f aca="false">(INDEX(Assumptions!$B$36:$B$48,MATCH(AK63,Assumptions!$A$36:$A$48,0))+IF(I63="Yes",Assumptions!$B$23,0)+IF(J63="Yes",Assumptions!$B$24,0))*(1+IF(UPPER(Assumptions!$B$31)="WORST",Assumptions!$B$28,IF(UPPER(Assumptions!$B$31)="BEST",Assumptions!$B$30,Assumptions!$B$29)))</f>
        <v>1540</v>
      </c>
      <c r="P63" s="47" t="n">
        <f aca="false">L63*O63</f>
        <v>3070760</v>
      </c>
      <c r="Q63" s="47" t="n">
        <f aca="false">D63</f>
        <v>1575000</v>
      </c>
      <c r="R63" s="47" t="n">
        <f aca="false">L63*Assumptions!$B$4</f>
        <v>1395800</v>
      </c>
      <c r="S63" s="47" t="n">
        <f aca="false">IF(H63="Yes",Assumptions!$B$6*(D63),(L63)*Assumptions!$B$5)</f>
        <v>149550</v>
      </c>
      <c r="T63" s="47" t="n">
        <f aca="false">AP63*(Assumptions!$B$8*N63*Assumptions!$B$9+Assumptions!$B$10)</f>
        <v>395504.3625</v>
      </c>
      <c r="U63" s="47" t="n">
        <f aca="false">Q63*Assumptions!$B$11*N63</f>
        <v>56700</v>
      </c>
      <c r="V63" s="47" t="n">
        <f aca="false">P63*(Assumptions!$B$12+Assumptions!$B$13)</f>
        <v>124672.856</v>
      </c>
      <c r="W63" s="47" t="n">
        <f aca="false">P63*IF(P63&gt;=Assumptions!$B$16,Assumptions!$B$17,IF(P63&gt;=Assumptions!$B$14,Assumptions!$B$15,0))</f>
        <v>0</v>
      </c>
      <c r="X63" s="48" t="n">
        <f aca="false">SUM(Q63:W63)</f>
        <v>3697227.2185</v>
      </c>
      <c r="Y63" s="48" t="n">
        <f aca="false">P63-X63</f>
        <v>-626467.2185</v>
      </c>
      <c r="Z63" s="49" t="n">
        <f aca="false">IF(X63=0,0,Y63/X63)</f>
        <v>-0.169442444696208</v>
      </c>
      <c r="AA63" s="47" t="n">
        <f aca="false">MAX(0,(P63/(1+Assumptions!$B$27)-(L63*(Assumptions!$B$4+IF(H63="Yes",0,Assumptions!$B$5)))*(1+(Assumptions!$B$7*(Assumptions!$B$8*N63*Assumptions!$B$9+Assumptions!$B$10)))-P63*(Assumptions!$B$12+Assumptions!$B$13+IF(P63&gt;=Assumptions!$B$16,Assumptions!$B$17,IF(P63&gt;=Assumptions!$B$14,Assumptions!$B$15,0))))/((1+IF(H63="Yes",Assumptions!$B$6,0))*(1+(Assumptions!$B$7*(Assumptions!$B$8*N63*Assumptions!$B$9+Assumptions!$B$10)))+Assumptions!$B$11*N63))</f>
        <v>691748.113056566</v>
      </c>
      <c r="AB63" s="50" t="n">
        <f aca="false">IF(AA63&lt;=0,"no price works",D63/AA63)</f>
        <v>2.27684032709636</v>
      </c>
      <c r="AC63" s="46" t="n">
        <f aca="false">(INDEX(Assumptions!$B$36:$B$48,MATCH(AK63,Assumptions!$A$36:$A$48,0))+IF(I63="Yes",Assumptions!$B$23,0)+IF(J63="Yes",Assumptions!$B$24,0))*(1+Assumptions!$B$28)</f>
        <v>1400</v>
      </c>
      <c r="AD63" s="47" t="n">
        <f aca="false">(L63)*AC63-(((D63)+(L63)*Assumptions!$B$4+IF(H63="Yes",Assumptions!$B$6*(D63),(L63)*Assumptions!$B$5))*(1+Assumptions!$B$7*(Assumptions!$B$8*(N63)*Assumptions!$B$9+Assumptions!$B$10))+(D63)*Assumptions!$B$11*(N63)+(L63)*AC63*(Assumptions!$B$12+Assumptions!$B$13+IF((L63)*AC63&gt;=Assumptions!$B$16,Assumptions!$B$17,IF((L63)*AC63&gt;=Assumptions!$B$14,Assumptions!$B$15,0))))</f>
        <v>-894293.3225</v>
      </c>
      <c r="AE63" s="46" t="n">
        <f aca="false">(INDEX(Assumptions!$B$36:$B$48,MATCH(AK63,Assumptions!$A$36:$A$48,0))+IF(I63="Yes",Assumptions!$B$23,0)+IF(J63="Yes",Assumptions!$B$24,0))*(1+Assumptions!$B$29)</f>
        <v>1540</v>
      </c>
      <c r="AF63" s="47" t="n">
        <f aca="false">(L63)*AE63-(((D63)+(L63)*Assumptions!$B$4+IF(H63="Yes",Assumptions!$B$6*(D63),(L63)*Assumptions!$B$5))*(1+Assumptions!$B$7*(Assumptions!$B$8*(N63)*Assumptions!$B$9+Assumptions!$B$10))+(D63)*Assumptions!$B$11*(N63)+(L63)*AE63*(Assumptions!$B$12+Assumptions!$B$13+IF((L63)*AE63&gt;=Assumptions!$B$16,Assumptions!$B$17,IF((L63)*AE63&gt;=Assumptions!$B$14,Assumptions!$B$15,0))))</f>
        <v>-626467.2185</v>
      </c>
      <c r="AG63" s="46" t="n">
        <f aca="false">(INDEX(Assumptions!$B$36:$B$48,MATCH(AK63,Assumptions!$A$36:$A$48,0))+IF(I63="Yes",Assumptions!$B$23,0)+IF(J63="Yes",Assumptions!$B$24,0))*(1+Assumptions!$B$30)</f>
        <v>1680</v>
      </c>
      <c r="AH63" s="47" t="n">
        <f aca="false">(L63)*AG63-(((D63)+(L63)*Assumptions!$B$4+IF(H63="Yes",Assumptions!$B$6*(D63),(L63)*Assumptions!$B$5))*(1+Assumptions!$B$7*(Assumptions!$B$8*(N63)*Assumptions!$B$9+Assumptions!$B$10))+(D63)*Assumptions!$B$11*(N63)+(L63)*AG63*(Assumptions!$B$12+Assumptions!$B$13+IF((L63)*AG63&gt;=Assumptions!$B$16,Assumptions!$B$17,IF((L63)*AG63&gt;=Assumptions!$B$14,Assumptions!$B$15,0))))</f>
        <v>-358641.1145</v>
      </c>
      <c r="AI63" s="47" t="n">
        <f aca="false">(L63)*AE63-(((D63)+(L63)*Assumptions!$B$25+IF(H63="Yes",Assumptions!$B$6*(D63),(L63)*Assumptions!$B$5))*(1+Assumptions!$B$7*(Assumptions!$B$8*(N63)*Assumptions!$B$9+Assumptions!$B$10))+(D63)*Assumptions!$B$11*(N63)+(L63)*AE63*(Assumptions!$B$12+Assumptions!$B$13+IF((L63)*AE63&gt;=Assumptions!$B$16,Assumptions!$B$17,IF((L63)*AE63&gt;=Assumptions!$B$14,Assumptions!$B$15,0))))</f>
        <v>-514130.243499999</v>
      </c>
      <c r="AJ63" s="47" t="n">
        <f aca="false">(L63)*AE63-(((D63)+(L63)*Assumptions!$B$26+IF(H63="Yes",Assumptions!$B$6*(D63),(L63)*Assumptions!$B$5))*(1+Assumptions!$B$7*(Assumptions!$B$8*(N63)*Assumptions!$B$9+Assumptions!$B$10))+(D63)*Assumptions!$B$11*(N63)+(L63)*AE63*(Assumptions!$B$12+Assumptions!$B$13+IF((L63)*AE63&gt;=Assumptions!$B$16,Assumptions!$B$17,IF((L63)*AE63&gt;=Assumptions!$B$14,Assumptions!$B$15,0))))</f>
        <v>-401793.268499999</v>
      </c>
      <c r="AK63" s="40" t="s">
        <v>77</v>
      </c>
      <c r="AL63" s="45" t="n">
        <f aca="false">IF(G63&gt;0,G63,ROUND(F63*Assumptions!$B$18,0))</f>
        <v>1550</v>
      </c>
      <c r="AM63" s="45" t="n">
        <f aca="false">IF(H63="Yes",AL63,MAX(AL63,MIN(Assumptions!$B$20,ROUND(E63*Assumptions!$B$19,0))))</f>
        <v>1994</v>
      </c>
      <c r="AN63" s="47" t="n">
        <f aca="false">(AL63)*AE63-(((D63)+(AL63)*Assumptions!$B$4+IF(H63="Yes",Assumptions!$B$6*(D63),(AL63)*Assumptions!$B$5))*(1+Assumptions!$B$7*(Assumptions!$B$8*(Assumptions!$B$21)*Assumptions!$B$9+Assumptions!$B$10))+(D63)*Assumptions!$B$11*(Assumptions!$B$21)+(AL63)*AE63*(Assumptions!$B$12+Assumptions!$B$13+IF((AL63)*AE63&gt;=Assumptions!$B$16,Assumptions!$B$17,IF((AL63)*AE63&gt;=Assumptions!$B$14,Assumptions!$B$15,0))))</f>
        <v>-767578.1375</v>
      </c>
      <c r="AO63" s="47" t="n">
        <f aca="false">(AM63)*AE63-(((D63)+(AM63)*Assumptions!$B$4+IF(H63="Yes",Assumptions!$B$6*(D63),(AM63)*Assumptions!$B$5))*(1+Assumptions!$B$7*(Assumptions!$B$8*(IF(AM63&gt;AL63,Assumptions!$B$22,Assumptions!$B$21))*Assumptions!$B$9+Assumptions!$B$10))+(D63)*Assumptions!$B$11*(IF(AM63&gt;AL63,Assumptions!$B$22,Assumptions!$B$21))+(AM63)*AE63*(Assumptions!$B$12+Assumptions!$B$13+IF((AM63)*AE63&gt;=Assumptions!$B$16,Assumptions!$B$17,IF((AM63)*AE63&gt;=Assumptions!$B$14,Assumptions!$B$15,0))))</f>
        <v>-626467.2185</v>
      </c>
      <c r="AP63" s="47" t="n">
        <f aca="false">Assumptions!$B$7*(Q63+R63+S63)</f>
        <v>2028227.5</v>
      </c>
    </row>
    <row r="64" customFormat="false" ht="15" hidden="false" customHeight="false" outlineLevel="0" collapsed="false">
      <c r="A64" s="40" t="n">
        <v>62</v>
      </c>
      <c r="B64" s="40" t="s">
        <v>185</v>
      </c>
      <c r="C64" s="40" t="s">
        <v>102</v>
      </c>
      <c r="D64" s="41" t="n">
        <v>1250000</v>
      </c>
      <c r="E64" s="42" t="n">
        <v>6019</v>
      </c>
      <c r="F64" s="42" t="n">
        <v>1456</v>
      </c>
      <c r="G64" s="42"/>
      <c r="H64" s="43" t="s">
        <v>71</v>
      </c>
      <c r="I64" s="43" t="s">
        <v>71</v>
      </c>
      <c r="J64" s="43" t="s">
        <v>71</v>
      </c>
      <c r="K64" s="44"/>
      <c r="L64" s="45" t="n">
        <f aca="false">IF(AO64&gt;AN64,AM64,AL64)</f>
        <v>2408</v>
      </c>
      <c r="M64" s="40" t="str">
        <f aca="false">IF(AO64&gt;AN64,"Zoning estimate",IF(H64="Yes","Approved plans",IF(G64&gt;0,"Listing claim","110% old house")))</f>
        <v>Zoning estimate</v>
      </c>
      <c r="N64" s="45" t="n">
        <f aca="false">IF(AO64&gt;AN64,IF(AM64&gt;AL64,Assumptions!$B$22,Assumptions!$B$21),Assumptions!$B$21)</f>
        <v>3</v>
      </c>
      <c r="O64" s="46" t="n">
        <f aca="false">(INDEX(Assumptions!$B$36:$B$48,MATCH(AK64,Assumptions!$A$36:$A$48,0))+IF(I64="Yes",Assumptions!$B$23,0)+IF(J64="Yes",Assumptions!$B$24,0))*(1+IF(UPPER(Assumptions!$B$31)="WORST",Assumptions!$B$28,IF(UPPER(Assumptions!$B$31)="BEST",Assumptions!$B$30,Assumptions!$B$29)))</f>
        <v>1375</v>
      </c>
      <c r="P64" s="47" t="n">
        <f aca="false">L64*O64</f>
        <v>3311000</v>
      </c>
      <c r="Q64" s="47" t="n">
        <f aca="false">D64</f>
        <v>1250000</v>
      </c>
      <c r="R64" s="47" t="n">
        <f aca="false">L64*Assumptions!$B$4</f>
        <v>1685600</v>
      </c>
      <c r="S64" s="47" t="n">
        <f aca="false">IF(H64="Yes",Assumptions!$B$6*(D64),(L64)*Assumptions!$B$5)</f>
        <v>180600</v>
      </c>
      <c r="T64" s="47" t="n">
        <f aca="false">AP64*(Assumptions!$B$8*N64*Assumptions!$B$9+Assumptions!$B$10)</f>
        <v>394978.35</v>
      </c>
      <c r="U64" s="47" t="n">
        <f aca="false">Q64*Assumptions!$B$11*N64</f>
        <v>45000</v>
      </c>
      <c r="V64" s="47" t="n">
        <f aca="false">P64*(Assumptions!$B$12+Assumptions!$B$13)</f>
        <v>134426.6</v>
      </c>
      <c r="W64" s="47" t="n">
        <f aca="false">P64*IF(P64&gt;=Assumptions!$B$16,Assumptions!$B$17,IF(P64&gt;=Assumptions!$B$14,Assumptions!$B$15,0))</f>
        <v>0</v>
      </c>
      <c r="X64" s="48" t="n">
        <f aca="false">SUM(Q64:W64)</f>
        <v>3690604.95</v>
      </c>
      <c r="Y64" s="48" t="n">
        <f aca="false">P64-X64</f>
        <v>-379604.95</v>
      </c>
      <c r="Z64" s="49" t="n">
        <f aca="false">IF(X64=0,0,Y64/X64)</f>
        <v>-0.102857107477732</v>
      </c>
      <c r="AA64" s="47" t="n">
        <f aca="false">MAX(0,(P64/(1+Assumptions!$B$27)-(L64*(Assumptions!$B$4+IF(H64="Yes",0,Assumptions!$B$5)))*(1+(Assumptions!$B$7*(Assumptions!$B$8*N64*Assumptions!$B$9+Assumptions!$B$10)))-P64*(Assumptions!$B$12+Assumptions!$B$13+IF(P64&gt;=Assumptions!$B$16,Assumptions!$B$17,IF(P64&gt;=Assumptions!$B$14,Assumptions!$B$15,0))))/((1+IF(H64="Yes",Assumptions!$B$6,0))*(1+(Assumptions!$B$7*(Assumptions!$B$8*N64*Assumptions!$B$9+Assumptions!$B$10)))+Assumptions!$B$11*N64))</f>
        <v>552107.490675218</v>
      </c>
      <c r="AB64" s="50" t="n">
        <f aca="false">IF(AA64&lt;=0,"no price works",D64/AA64)</f>
        <v>2.26405187596943</v>
      </c>
      <c r="AC64" s="46" t="n">
        <f aca="false">(INDEX(Assumptions!$B$36:$B$48,MATCH(AK64,Assumptions!$A$36:$A$48,0))+IF(I64="Yes",Assumptions!$B$23,0)+IF(J64="Yes",Assumptions!$B$24,0))*(1+Assumptions!$B$28)</f>
        <v>1250</v>
      </c>
      <c r="AD64" s="47" t="n">
        <f aca="false">(L64)*AC64-(((D64)+(L64)*Assumptions!$B$4+IF(H64="Yes",Assumptions!$B$6*(D64),(L64)*Assumptions!$B$5))*(1+Assumptions!$B$7*(Assumptions!$B$8*(N64)*Assumptions!$B$9+Assumptions!$B$10))+(D64)*Assumptions!$B$11*(N64)+(L64)*AC64*(Assumptions!$B$12+Assumptions!$B$13+IF((L64)*AC64&gt;=Assumptions!$B$16,Assumptions!$B$17,IF((L64)*AC64&gt;=Assumptions!$B$14,Assumptions!$B$15,0))))</f>
        <v>-668384.35</v>
      </c>
      <c r="AE64" s="46" t="n">
        <f aca="false">(INDEX(Assumptions!$B$36:$B$48,MATCH(AK64,Assumptions!$A$36:$A$48,0))+IF(I64="Yes",Assumptions!$B$23,0)+IF(J64="Yes",Assumptions!$B$24,0))*(1+Assumptions!$B$29)</f>
        <v>1375</v>
      </c>
      <c r="AF64" s="47" t="n">
        <f aca="false">(L64)*AE64-(((D64)+(L64)*Assumptions!$B$4+IF(H64="Yes",Assumptions!$B$6*(D64),(L64)*Assumptions!$B$5))*(1+Assumptions!$B$7*(Assumptions!$B$8*(N64)*Assumptions!$B$9+Assumptions!$B$10))+(D64)*Assumptions!$B$11*(N64)+(L64)*AE64*(Assumptions!$B$12+Assumptions!$B$13+IF((L64)*AE64&gt;=Assumptions!$B$16,Assumptions!$B$17,IF((L64)*AE64&gt;=Assumptions!$B$14,Assumptions!$B$15,0))))</f>
        <v>-379604.95</v>
      </c>
      <c r="AG64" s="46" t="n">
        <f aca="false">(INDEX(Assumptions!$B$36:$B$48,MATCH(AK64,Assumptions!$A$36:$A$48,0))+IF(I64="Yes",Assumptions!$B$23,0)+IF(J64="Yes",Assumptions!$B$24,0))*(1+Assumptions!$B$30)</f>
        <v>1500</v>
      </c>
      <c r="AH64" s="47" t="n">
        <f aca="false">(L64)*AG64-(((D64)+(L64)*Assumptions!$B$4+IF(H64="Yes",Assumptions!$B$6*(D64),(L64)*Assumptions!$B$5))*(1+Assumptions!$B$7*(Assumptions!$B$8*(N64)*Assumptions!$B$9+Assumptions!$B$10))+(D64)*Assumptions!$B$11*(N64)+(L64)*AG64*(Assumptions!$B$12+Assumptions!$B$13+IF((L64)*AG64&gt;=Assumptions!$B$16,Assumptions!$B$17,IF((L64)*AG64&gt;=Assumptions!$B$14,Assumptions!$B$15,0))))</f>
        <v>-90825.5499999998</v>
      </c>
      <c r="AI64" s="47" t="n">
        <f aca="false">(L64)*AE64-(((D64)+(L64)*Assumptions!$B$25+IF(H64="Yes",Assumptions!$B$6*(D64),(L64)*Assumptions!$B$5))*(1+Assumptions!$B$7*(Assumptions!$B$8*(N64)*Assumptions!$B$9+Assumptions!$B$10))+(D64)*Assumptions!$B$11*(N64)+(L64)*AE64*(Assumptions!$B$12+Assumptions!$B$13+IF((L64)*AE64&gt;=Assumptions!$B$16,Assumptions!$B$17,IF((L64)*AE64&gt;=Assumptions!$B$14,Assumptions!$B$15,0))))</f>
        <v>-243944.25</v>
      </c>
      <c r="AJ64" s="47" t="n">
        <f aca="false">(L64)*AE64-(((D64)+(L64)*Assumptions!$B$26+IF(H64="Yes",Assumptions!$B$6*(D64),(L64)*Assumptions!$B$5))*(1+Assumptions!$B$7*(Assumptions!$B$8*(N64)*Assumptions!$B$9+Assumptions!$B$10))+(D64)*Assumptions!$B$11*(N64)+(L64)*AE64*(Assumptions!$B$12+Assumptions!$B$13+IF((L64)*AE64&gt;=Assumptions!$B$16,Assumptions!$B$17,IF((L64)*AE64&gt;=Assumptions!$B$14,Assumptions!$B$15,0))))</f>
        <v>-108283.55</v>
      </c>
      <c r="AK64" s="40" t="s">
        <v>104</v>
      </c>
      <c r="AL64" s="45" t="n">
        <f aca="false">IF(G64&gt;0,G64,ROUND(F64*Assumptions!$B$18,0))</f>
        <v>1602</v>
      </c>
      <c r="AM64" s="45" t="n">
        <f aca="false">IF(H64="Yes",AL64,MAX(AL64,MIN(Assumptions!$B$20,ROUND(E64*Assumptions!$B$19,0))))</f>
        <v>2408</v>
      </c>
      <c r="AN64" s="47" t="n">
        <f aca="false">(AL64)*AE64-(((D64)+(AL64)*Assumptions!$B$4+IF(H64="Yes",Assumptions!$B$6*(D64),(AL64)*Assumptions!$B$5))*(1+Assumptions!$B$7*(Assumptions!$B$8*(Assumptions!$B$21)*Assumptions!$B$9+Assumptions!$B$10))+(D64)*Assumptions!$B$11*(Assumptions!$B$21)+(AL64)*AE64*(Assumptions!$B$12+Assumptions!$B$13+IF((AL64)*AE64&gt;=Assumptions!$B$16,Assumptions!$B$17,IF((AL64)*AE64&gt;=Assumptions!$B$14,Assumptions!$B$15,0))))</f>
        <v>-626865.1625</v>
      </c>
      <c r="AO64" s="47" t="n">
        <f aca="false">(AM64)*AE64-(((D64)+(AM64)*Assumptions!$B$4+IF(H64="Yes",Assumptions!$B$6*(D64),(AM64)*Assumptions!$B$5))*(1+Assumptions!$B$7*(Assumptions!$B$8*(IF(AM64&gt;AL64,Assumptions!$B$22,Assumptions!$B$21))*Assumptions!$B$9+Assumptions!$B$10))+(D64)*Assumptions!$B$11*(IF(AM64&gt;AL64,Assumptions!$B$22,Assumptions!$B$21))+(AM64)*AE64*(Assumptions!$B$12+Assumptions!$B$13+IF((AM64)*AE64&gt;=Assumptions!$B$16,Assumptions!$B$17,IF((AM64)*AE64&gt;=Assumptions!$B$14,Assumptions!$B$15,0))))</f>
        <v>-379604.95</v>
      </c>
      <c r="AP64" s="47" t="n">
        <f aca="false">Assumptions!$B$7*(Q64+R64+S64)</f>
        <v>2025530</v>
      </c>
    </row>
    <row r="65" customFormat="false" ht="15" hidden="false" customHeight="false" outlineLevel="0" collapsed="false">
      <c r="A65" s="40" t="n">
        <v>63</v>
      </c>
      <c r="B65" s="40" t="s">
        <v>186</v>
      </c>
      <c r="C65" s="40" t="s">
        <v>132</v>
      </c>
      <c r="D65" s="41" t="n">
        <v>3490000</v>
      </c>
      <c r="E65" s="42" t="n">
        <v>43994</v>
      </c>
      <c r="F65" s="42" t="n">
        <v>6437</v>
      </c>
      <c r="G65" s="42"/>
      <c r="H65" s="43" t="s">
        <v>71</v>
      </c>
      <c r="I65" s="43" t="s">
        <v>71</v>
      </c>
      <c r="J65" s="43" t="s">
        <v>80</v>
      </c>
      <c r="K65" s="44"/>
      <c r="L65" s="45" t="n">
        <f aca="false">IF(AO65&gt;AN65,AM65,AL65)</f>
        <v>7081</v>
      </c>
      <c r="M65" s="40" t="str">
        <f aca="false">IF(AO65&gt;AN65,"Zoning estimate",IF(H65="Yes","Approved plans",IF(G65&gt;0,"Listing claim","110% old house")))</f>
        <v>110% old house</v>
      </c>
      <c r="N65" s="45" t="n">
        <f aca="false">IF(AO65&gt;AN65,IF(AM65&gt;AL65,Assumptions!$B$22,Assumptions!$B$21),Assumptions!$B$21)</f>
        <v>2</v>
      </c>
      <c r="O65" s="46" t="n">
        <f aca="false">(INDEX(Assumptions!$B$36:$B$48,MATCH(AK65,Assumptions!$A$36:$A$48,0))+IF(I65="Yes",Assumptions!$B$23,0)+IF(J65="Yes",Assumptions!$B$24,0))*(1+IF(UPPER(Assumptions!$B$31)="WORST",Assumptions!$B$28,IF(UPPER(Assumptions!$B$31)="BEST",Assumptions!$B$30,Assumptions!$B$29)))</f>
        <v>1375</v>
      </c>
      <c r="P65" s="47" t="n">
        <f aca="false">L65*O65</f>
        <v>9736375</v>
      </c>
      <c r="Q65" s="47" t="n">
        <f aca="false">D65</f>
        <v>3490000</v>
      </c>
      <c r="R65" s="47" t="n">
        <f aca="false">L65*Assumptions!$B$4</f>
        <v>4956700</v>
      </c>
      <c r="S65" s="47" t="n">
        <f aca="false">IF(H65="Yes",Assumptions!$B$6*(D65),(L65)*Assumptions!$B$5)</f>
        <v>531075</v>
      </c>
      <c r="T65" s="47" t="n">
        <f aca="false">AP65*(Assumptions!$B$8*N65*Assumptions!$B$9+Assumptions!$B$10)</f>
        <v>787799.75625</v>
      </c>
      <c r="U65" s="47" t="n">
        <f aca="false">Q65*Assumptions!$B$11*N65</f>
        <v>83760</v>
      </c>
      <c r="V65" s="47" t="n">
        <f aca="false">P65*(Assumptions!$B$12+Assumptions!$B$13)</f>
        <v>395296.825</v>
      </c>
      <c r="W65" s="47" t="n">
        <f aca="false">P65*IF(P65&gt;=Assumptions!$B$16,Assumptions!$B$17,IF(P65&gt;=Assumptions!$B$14,Assumptions!$B$15,0))</f>
        <v>389455</v>
      </c>
      <c r="X65" s="48" t="n">
        <f aca="false">SUM(Q65:W65)</f>
        <v>10634086.58125</v>
      </c>
      <c r="Y65" s="48" t="n">
        <f aca="false">P65-X65</f>
        <v>-897711.581250001</v>
      </c>
      <c r="Z65" s="49" t="n">
        <f aca="false">IF(X65=0,0,Y65/X65)</f>
        <v>-0.0844183065833641</v>
      </c>
      <c r="AA65" s="47" t="n">
        <f aca="false">MAX(0,(P65/(1+Assumptions!$B$27)-(L65*(Assumptions!$B$4+IF(H65="Yes",0,Assumptions!$B$5)))*(1+(Assumptions!$B$7*(Assumptions!$B$8*N65*Assumptions!$B$9+Assumptions!$B$10)))-P65*(Assumptions!$B$12+Assumptions!$B$13+IF(P65&gt;=Assumptions!$B$16,Assumptions!$B$17,IF(P65&gt;=Assumptions!$B$14,Assumptions!$B$15,0))))/((1+IF(H65="Yes",Assumptions!$B$6,0))*(1+(Assumptions!$B$7*(Assumptions!$B$8*N65*Assumptions!$B$9+Assumptions!$B$10)))+Assumptions!$B$11*N65))</f>
        <v>1540214.94241355</v>
      </c>
      <c r="AB65" s="50" t="n">
        <f aca="false">IF(AA65&lt;=0,"no price works",D65/AA65)</f>
        <v>2.26591750533929</v>
      </c>
      <c r="AC65" s="46" t="n">
        <f aca="false">(INDEX(Assumptions!$B$36:$B$48,MATCH(AK65,Assumptions!$A$36:$A$48,0))+IF(I65="Yes",Assumptions!$B$23,0)+IF(J65="Yes",Assumptions!$B$24,0))*(1+Assumptions!$B$28)</f>
        <v>1250</v>
      </c>
      <c r="AD65" s="47" t="n">
        <f aca="false">(L65)*AC65-(((D65)+(L65)*Assumptions!$B$4+IF(H65="Yes",Assumptions!$B$6*(D65),(L65)*Assumptions!$B$5))*(1+Assumptions!$B$7*(Assumptions!$B$8*(N65)*Assumptions!$B$9+Assumptions!$B$10))+(D65)*Assumptions!$B$11*(N65)+(L65)*AC65*(Assumptions!$B$12+Assumptions!$B$13+IF((L65)*AC65&gt;=Assumptions!$B$16,Assumptions!$B$17,IF((L65)*AC65&gt;=Assumptions!$B$14,Assumptions!$B$15,0))))</f>
        <v>-1711495.50625</v>
      </c>
      <c r="AE65" s="46" t="n">
        <f aca="false">(INDEX(Assumptions!$B$36:$B$48,MATCH(AK65,Assumptions!$A$36:$A$48,0))+IF(I65="Yes",Assumptions!$B$23,0)+IF(J65="Yes",Assumptions!$B$24,0))*(1+Assumptions!$B$29)</f>
        <v>1375</v>
      </c>
      <c r="AF65" s="47" t="n">
        <f aca="false">(L65)*AE65-(((D65)+(L65)*Assumptions!$B$4+IF(H65="Yes",Assumptions!$B$6*(D65),(L65)*Assumptions!$B$5))*(1+Assumptions!$B$7*(Assumptions!$B$8*(N65)*Assumptions!$B$9+Assumptions!$B$10))+(D65)*Assumptions!$B$11*(N65)+(L65)*AE65*(Assumptions!$B$12+Assumptions!$B$13+IF((L65)*AE65&gt;=Assumptions!$B$16,Assumptions!$B$17,IF((L65)*AE65&gt;=Assumptions!$B$14,Assumptions!$B$15,0))))</f>
        <v>-897711.581249999</v>
      </c>
      <c r="AG65" s="46" t="n">
        <f aca="false">(INDEX(Assumptions!$B$36:$B$48,MATCH(AK65,Assumptions!$A$36:$A$48,0))+IF(I65="Yes",Assumptions!$B$23,0)+IF(J65="Yes",Assumptions!$B$24,0))*(1+Assumptions!$B$30)</f>
        <v>1500</v>
      </c>
      <c r="AH65" s="47" t="n">
        <f aca="false">(L65)*AG65-(((D65)+(L65)*Assumptions!$B$4+IF(H65="Yes",Assumptions!$B$6*(D65),(L65)*Assumptions!$B$5))*(1+Assumptions!$B$7*(Assumptions!$B$8*(N65)*Assumptions!$B$9+Assumptions!$B$10))+(D65)*Assumptions!$B$11*(N65)+(L65)*AG65*(Assumptions!$B$12+Assumptions!$B$13+IF((L65)*AG65&gt;=Assumptions!$B$16,Assumptions!$B$17,IF((L65)*AG65&gt;=Assumptions!$B$14,Assumptions!$B$15,0))))</f>
        <v>-83927.65625</v>
      </c>
      <c r="AI65" s="47" t="n">
        <f aca="false">(L65)*AE65-(((D65)+(L65)*Assumptions!$B$25+IF(H65="Yes",Assumptions!$B$6*(D65),(L65)*Assumptions!$B$5))*(1+Assumptions!$B$7*(Assumptions!$B$8*(N65)*Assumptions!$B$9+Assumptions!$B$10))+(D65)*Assumptions!$B$11*(N65)+(L65)*AE65*(Assumptions!$B$12+Assumptions!$B$13+IF((L65)*AE65&gt;=Assumptions!$B$16,Assumptions!$B$17,IF((L65)*AE65&gt;=Assumptions!$B$14,Assumptions!$B$15,0))))</f>
        <v>-512593.69375</v>
      </c>
      <c r="AJ65" s="47" t="n">
        <f aca="false">(L65)*AE65-(((D65)+(L65)*Assumptions!$B$26+IF(H65="Yes",Assumptions!$B$6*(D65),(L65)*Assumptions!$B$5))*(1+Assumptions!$B$7*(Assumptions!$B$8*(N65)*Assumptions!$B$9+Assumptions!$B$10))+(D65)*Assumptions!$B$11*(N65)+(L65)*AE65*(Assumptions!$B$12+Assumptions!$B$13+IF((L65)*AE65&gt;=Assumptions!$B$16,Assumptions!$B$17,IF((L65)*AE65&gt;=Assumptions!$B$14,Assumptions!$B$15,0))))</f>
        <v>-127475.806249999</v>
      </c>
      <c r="AK65" s="40" t="s">
        <v>134</v>
      </c>
      <c r="AL65" s="45" t="n">
        <f aca="false">IF(G65&gt;0,G65,ROUND(F65*Assumptions!$B$18,0))</f>
        <v>7081</v>
      </c>
      <c r="AM65" s="45" t="n">
        <f aca="false">IF(H65="Yes",AL65,MAX(AL65,MIN(Assumptions!$B$20,ROUND(E65*Assumptions!$B$19,0))))</f>
        <v>8000</v>
      </c>
      <c r="AN65" s="47" t="n">
        <f aca="false">(AL65)*AE65-(((D65)+(AL65)*Assumptions!$B$4+IF(H65="Yes",Assumptions!$B$6*(D65),(AL65)*Assumptions!$B$5))*(1+Assumptions!$B$7*(Assumptions!$B$8*(Assumptions!$B$21)*Assumptions!$B$9+Assumptions!$B$10))+(D65)*Assumptions!$B$11*(Assumptions!$B$21)+(AL65)*AE65*(Assumptions!$B$12+Assumptions!$B$13+IF((AL65)*AE65&gt;=Assumptions!$B$16,Assumptions!$B$17,IF((AL65)*AE65&gt;=Assumptions!$B$14,Assumptions!$B$15,0))))</f>
        <v>-897711.581249999</v>
      </c>
      <c r="AO65" s="47" t="n">
        <f aca="false">(AM65)*AE65-(((D65)+(AM65)*Assumptions!$B$4+IF(H65="Yes",Assumptions!$B$6*(D65),(AM65)*Assumptions!$B$5))*(1+Assumptions!$B$7*(Assumptions!$B$8*(IF(AM65&gt;AL65,Assumptions!$B$22,Assumptions!$B$21))*Assumptions!$B$9+Assumptions!$B$10))+(D65)*Assumptions!$B$11*(IF(AM65&gt;AL65,Assumptions!$B$22,Assumptions!$B$21))+(AM65)*AE65*(Assumptions!$B$12+Assumptions!$B$13+IF((AM65)*AE65&gt;=Assumptions!$B$16,Assumptions!$B$17,IF((AM65)*AE65&gt;=Assumptions!$B$14,Assumptions!$B$15,0))))</f>
        <v>-1095447.5</v>
      </c>
      <c r="AP65" s="47" t="n">
        <f aca="false">Assumptions!$B$7*(Q65+R65+S65)</f>
        <v>5835553.75</v>
      </c>
    </row>
    <row r="66" customFormat="false" ht="15" hidden="false" customHeight="false" outlineLevel="0" collapsed="false">
      <c r="A66" s="40" t="n">
        <v>64</v>
      </c>
      <c r="B66" s="40" t="s">
        <v>187</v>
      </c>
      <c r="C66" s="40" t="s">
        <v>117</v>
      </c>
      <c r="D66" s="41" t="n">
        <v>2995000</v>
      </c>
      <c r="E66" s="42" t="n">
        <v>10990</v>
      </c>
      <c r="F66" s="42" t="n">
        <v>3472</v>
      </c>
      <c r="G66" s="42"/>
      <c r="H66" s="43" t="s">
        <v>71</v>
      </c>
      <c r="I66" s="43" t="s">
        <v>71</v>
      </c>
      <c r="J66" s="43" t="s">
        <v>80</v>
      </c>
      <c r="K66" s="44" t="s">
        <v>188</v>
      </c>
      <c r="L66" s="45" t="n">
        <f aca="false">IF(AO66&gt;AN66,AM66,AL66)</f>
        <v>4396</v>
      </c>
      <c r="M66" s="40" t="str">
        <f aca="false">IF(AO66&gt;AN66,"Zoning estimate",IF(H66="Yes","Approved plans",IF(G66&gt;0,"Listing claim","110% old house")))</f>
        <v>Zoning estimate</v>
      </c>
      <c r="N66" s="45" t="n">
        <f aca="false">IF(AO66&gt;AN66,IF(AM66&gt;AL66,Assumptions!$B$22,Assumptions!$B$21),Assumptions!$B$21)</f>
        <v>3</v>
      </c>
      <c r="O66" s="46" t="n">
        <f aca="false">(INDEX(Assumptions!$B$36:$B$48,MATCH(AK66,Assumptions!$A$36:$A$48,0))+IF(I66="Yes",Assumptions!$B$23,0)+IF(J66="Yes",Assumptions!$B$24,0))*(1+IF(UPPER(Assumptions!$B$31)="WORST",Assumptions!$B$28,IF(UPPER(Assumptions!$B$31)="BEST",Assumptions!$B$30,Assumptions!$B$29)))</f>
        <v>1540</v>
      </c>
      <c r="P66" s="47" t="n">
        <f aca="false">L66*O66</f>
        <v>6769840</v>
      </c>
      <c r="Q66" s="47" t="n">
        <f aca="false">D66</f>
        <v>2995000</v>
      </c>
      <c r="R66" s="47" t="n">
        <f aca="false">L66*Assumptions!$B$4</f>
        <v>3077200</v>
      </c>
      <c r="S66" s="47" t="n">
        <f aca="false">IF(H66="Yes",Assumptions!$B$6*(D66),(L66)*Assumptions!$B$5)</f>
        <v>329700</v>
      </c>
      <c r="T66" s="47" t="n">
        <f aca="false">AP66*(Assumptions!$B$8*N66*Assumptions!$B$9+Assumptions!$B$10)</f>
        <v>811440.825</v>
      </c>
      <c r="U66" s="47" t="n">
        <f aca="false">Q66*Assumptions!$B$11*N66</f>
        <v>107820</v>
      </c>
      <c r="V66" s="47" t="n">
        <f aca="false">P66*(Assumptions!$B$12+Assumptions!$B$13)</f>
        <v>274855.504</v>
      </c>
      <c r="W66" s="47" t="n">
        <f aca="false">P66*IF(P66&gt;=Assumptions!$B$16,Assumptions!$B$17,IF(P66&gt;=Assumptions!$B$14,Assumptions!$B$15,0))</f>
        <v>270793.6</v>
      </c>
      <c r="X66" s="48" t="n">
        <f aca="false">SUM(Q66:W66)</f>
        <v>7866809.929</v>
      </c>
      <c r="Y66" s="48" t="n">
        <f aca="false">P66-X66</f>
        <v>-1096969.929</v>
      </c>
      <c r="Z66" s="49" t="n">
        <f aca="false">IF(X66=0,0,Y66/X66)</f>
        <v>-0.139442790521245</v>
      </c>
      <c r="AA66" s="47" t="n">
        <f aca="false">MAX(0,(P66/(1+Assumptions!$B$27)-(L66*(Assumptions!$B$4+IF(H66="Yes",0,Assumptions!$B$5)))*(1+(Assumptions!$B$7*(Assumptions!$B$8*N66*Assumptions!$B$9+Assumptions!$B$10)))-P66*(Assumptions!$B$12+Assumptions!$B$13+IF(P66&gt;=Assumptions!$B$16,Assumptions!$B$17,IF(P66&gt;=Assumptions!$B$14,Assumptions!$B$15,0))))/((1+IF(H66="Yes",Assumptions!$B$6,0))*(1+(Assumptions!$B$7*(Assumptions!$B$8*N66*Assumptions!$B$9+Assumptions!$B$10)))+Assumptions!$B$11*N66))</f>
        <v>1292146.81772036</v>
      </c>
      <c r="AB66" s="50" t="n">
        <f aca="false">IF(AA66&lt;=0,"no price works",D66/AA66)</f>
        <v>2.31784806411075</v>
      </c>
      <c r="AC66" s="46" t="n">
        <f aca="false">(INDEX(Assumptions!$B$36:$B$48,MATCH(AK66,Assumptions!$A$36:$A$48,0))+IF(I66="Yes",Assumptions!$B$23,0)+IF(J66="Yes",Assumptions!$B$24,0))*(1+Assumptions!$B$28)</f>
        <v>1400</v>
      </c>
      <c r="AD66" s="47" t="n">
        <f aca="false">(L66)*AC66-(((D66)+(L66)*Assumptions!$B$4+IF(H66="Yes",Assumptions!$B$6*(D66),(L66)*Assumptions!$B$5))*(1+Assumptions!$B$7*(Assumptions!$B$8*(N66)*Assumptions!$B$9+Assumptions!$B$10))+(D66)*Assumptions!$B$11*(N66)+(L66)*AC66*(Assumptions!$B$12+Assumptions!$B$13+IF((L66)*AC66&gt;=Assumptions!$B$16,Assumptions!$B$17,IF((L66)*AC66&gt;=Assumptions!$B$14,Assumptions!$B$15,0))))</f>
        <v>-1662805.465</v>
      </c>
      <c r="AE66" s="46" t="n">
        <f aca="false">(INDEX(Assumptions!$B$36:$B$48,MATCH(AK66,Assumptions!$A$36:$A$48,0))+IF(I66="Yes",Assumptions!$B$23,0)+IF(J66="Yes",Assumptions!$B$24,0))*(1+Assumptions!$B$29)</f>
        <v>1540</v>
      </c>
      <c r="AF66" s="47" t="n">
        <f aca="false">(L66)*AE66-(((D66)+(L66)*Assumptions!$B$4+IF(H66="Yes",Assumptions!$B$6*(D66),(L66)*Assumptions!$B$5))*(1+Assumptions!$B$7*(Assumptions!$B$8*(N66)*Assumptions!$B$9+Assumptions!$B$10))+(D66)*Assumptions!$B$11*(N66)+(L66)*AE66*(Assumptions!$B$12+Assumptions!$B$13+IF((L66)*AE66&gt;=Assumptions!$B$16,Assumptions!$B$17,IF((L66)*AE66&gt;=Assumptions!$B$14,Assumptions!$B$15,0))))</f>
        <v>-1096969.929</v>
      </c>
      <c r="AG66" s="46" t="n">
        <f aca="false">(INDEX(Assumptions!$B$36:$B$48,MATCH(AK66,Assumptions!$A$36:$A$48,0))+IF(I66="Yes",Assumptions!$B$23,0)+IF(J66="Yes",Assumptions!$B$24,0))*(1+Assumptions!$B$30)</f>
        <v>1680</v>
      </c>
      <c r="AH66" s="47" t="n">
        <f aca="false">(L66)*AG66-(((D66)+(L66)*Assumptions!$B$4+IF(H66="Yes",Assumptions!$B$6*(D66),(L66)*Assumptions!$B$5))*(1+Assumptions!$B$7*(Assumptions!$B$8*(N66)*Assumptions!$B$9+Assumptions!$B$10))+(D66)*Assumptions!$B$11*(N66)+(L66)*AG66*(Assumptions!$B$12+Assumptions!$B$13+IF((L66)*AG66&gt;=Assumptions!$B$16,Assumptions!$B$17,IF((L66)*AG66&gt;=Assumptions!$B$14,Assumptions!$B$15,0))))</f>
        <v>-531134.392999999</v>
      </c>
      <c r="AI66" s="47" t="n">
        <f aca="false">(L66)*AE66-(((D66)+(L66)*Assumptions!$B$25+IF(H66="Yes",Assumptions!$B$6*(D66),(L66)*Assumptions!$B$5))*(1+Assumptions!$B$7*(Assumptions!$B$8*(N66)*Assumptions!$B$9+Assumptions!$B$10))+(D66)*Assumptions!$B$11*(N66)+(L66)*AE66*(Assumptions!$B$12+Assumptions!$B$13+IF((L66)*AE66&gt;=Assumptions!$B$16,Assumptions!$B$17,IF((L66)*AE66&gt;=Assumptions!$B$14,Assumptions!$B$15,0))))</f>
        <v>-849310.278999999</v>
      </c>
      <c r="AJ66" s="47" t="n">
        <f aca="false">(L66)*AE66-(((D66)+(L66)*Assumptions!$B$26+IF(H66="Yes",Assumptions!$B$6*(D66),(L66)*Assumptions!$B$5))*(1+Assumptions!$B$7*(Assumptions!$B$8*(N66)*Assumptions!$B$9+Assumptions!$B$10))+(D66)*Assumptions!$B$11*(N66)+(L66)*AE66*(Assumptions!$B$12+Assumptions!$B$13+IF((L66)*AE66&gt;=Assumptions!$B$16,Assumptions!$B$17,IF((L66)*AE66&gt;=Assumptions!$B$14,Assumptions!$B$15,0))))</f>
        <v>-601650.628999999</v>
      </c>
      <c r="AK66" s="40" t="s">
        <v>119</v>
      </c>
      <c r="AL66" s="45" t="n">
        <f aca="false">IF(G66&gt;0,G66,ROUND(F66*Assumptions!$B$18,0))</f>
        <v>3819</v>
      </c>
      <c r="AM66" s="45" t="n">
        <f aca="false">IF(H66="Yes",AL66,MAX(AL66,MIN(Assumptions!$B$20,ROUND(E66*Assumptions!$B$19,0))))</f>
        <v>4396</v>
      </c>
      <c r="AN66" s="47" t="n">
        <f aca="false">(AL66)*AE66-(((D66)+(AL66)*Assumptions!$B$4+IF(H66="Yes",Assumptions!$B$6*(D66),(AL66)*Assumptions!$B$5))*(1+Assumptions!$B$7*(Assumptions!$B$8*(Assumptions!$B$21)*Assumptions!$B$9+Assumptions!$B$10))+(D66)*Assumptions!$B$11*(Assumptions!$B$21)+(AL66)*AE66*(Assumptions!$B$12+Assumptions!$B$13+IF((AL66)*AE66&gt;=Assumptions!$B$16,Assumptions!$B$17,IF((AL66)*AE66&gt;=Assumptions!$B$14,Assumptions!$B$15,0))))</f>
        <v>-1141901.67475</v>
      </c>
      <c r="AO66" s="47" t="n">
        <f aca="false">(AM66)*AE66-(((D66)+(AM66)*Assumptions!$B$4+IF(H66="Yes",Assumptions!$B$6*(D66),(AM66)*Assumptions!$B$5))*(1+Assumptions!$B$7*(Assumptions!$B$8*(IF(AM66&gt;AL66,Assumptions!$B$22,Assumptions!$B$21))*Assumptions!$B$9+Assumptions!$B$10))+(D66)*Assumptions!$B$11*(IF(AM66&gt;AL66,Assumptions!$B$22,Assumptions!$B$21))+(AM66)*AE66*(Assumptions!$B$12+Assumptions!$B$13+IF((AM66)*AE66&gt;=Assumptions!$B$16,Assumptions!$B$17,IF((AM66)*AE66&gt;=Assumptions!$B$14,Assumptions!$B$15,0))))</f>
        <v>-1096969.929</v>
      </c>
      <c r="AP66" s="47" t="n">
        <f aca="false">Assumptions!$B$7*(Q66+R66+S66)</f>
        <v>4161235</v>
      </c>
    </row>
    <row r="67" customFormat="false" ht="15" hidden="false" customHeight="false" outlineLevel="0" collapsed="false">
      <c r="A67" s="40" t="n">
        <v>65</v>
      </c>
      <c r="B67" s="40" t="s">
        <v>189</v>
      </c>
      <c r="C67" s="40" t="s">
        <v>102</v>
      </c>
      <c r="D67" s="41" t="n">
        <v>2300000</v>
      </c>
      <c r="E67" s="42" t="n">
        <v>7744</v>
      </c>
      <c r="F67" s="42" t="n">
        <v>2600</v>
      </c>
      <c r="G67" s="42" t="n">
        <v>3008</v>
      </c>
      <c r="H67" s="43" t="s">
        <v>80</v>
      </c>
      <c r="I67" s="43" t="s">
        <v>71</v>
      </c>
      <c r="J67" s="43" t="s">
        <v>71</v>
      </c>
      <c r="K67" s="44" t="s">
        <v>190</v>
      </c>
      <c r="L67" s="45" t="n">
        <f aca="false">IF(AO67&gt;AN67,AM67,AL67)</f>
        <v>3008</v>
      </c>
      <c r="M67" s="40" t="str">
        <f aca="false">IF(AO67&gt;AN67,"Zoning estimate",IF(H67="Yes","Approved plans",IF(G67&gt;0,"Listing claim","110% old house")))</f>
        <v>Approved plans</v>
      </c>
      <c r="N67" s="45" t="n">
        <f aca="false">IF(AO67&gt;AN67,IF(AM67&gt;AL67,Assumptions!$B$22,Assumptions!$B$21),Assumptions!$B$21)</f>
        <v>2</v>
      </c>
      <c r="O67" s="46" t="n">
        <f aca="false">(INDEX(Assumptions!$B$36:$B$48,MATCH(AK67,Assumptions!$A$36:$A$48,0))+IF(I67="Yes",Assumptions!$B$23,0)+IF(J67="Yes",Assumptions!$B$24,0))*(1+IF(UPPER(Assumptions!$B$31)="WORST",Assumptions!$B$28,IF(UPPER(Assumptions!$B$31)="BEST",Assumptions!$B$30,Assumptions!$B$29)))</f>
        <v>1375</v>
      </c>
      <c r="P67" s="47" t="n">
        <f aca="false">L67*O67</f>
        <v>4136000</v>
      </c>
      <c r="Q67" s="47" t="n">
        <f aca="false">D67</f>
        <v>2300000</v>
      </c>
      <c r="R67" s="47" t="n">
        <f aca="false">L67*Assumptions!$B$4</f>
        <v>2105600</v>
      </c>
      <c r="S67" s="47" t="n">
        <f aca="false">IF(H67="Yes",Assumptions!$B$6*(D67),(L67)*Assumptions!$B$5)</f>
        <v>115000</v>
      </c>
      <c r="T67" s="47" t="n">
        <f aca="false">AP67*(Assumptions!$B$8*N67*Assumptions!$B$9+Assumptions!$B$10)</f>
        <v>396682.65</v>
      </c>
      <c r="U67" s="47" t="n">
        <f aca="false">Q67*Assumptions!$B$11*N67</f>
        <v>55200</v>
      </c>
      <c r="V67" s="47" t="n">
        <f aca="false">P67*(Assumptions!$B$12+Assumptions!$B$13)</f>
        <v>167921.6</v>
      </c>
      <c r="W67" s="47" t="n">
        <f aca="false">P67*IF(P67&gt;=Assumptions!$B$16,Assumptions!$B$17,IF(P67&gt;=Assumptions!$B$14,Assumptions!$B$15,0))</f>
        <v>0</v>
      </c>
      <c r="X67" s="48" t="n">
        <f aca="false">SUM(Q67:W67)</f>
        <v>5140404.25</v>
      </c>
      <c r="Y67" s="48" t="n">
        <f aca="false">P67-X67</f>
        <v>-1004404.25</v>
      </c>
      <c r="Z67" s="49" t="n">
        <f aca="false">IF(X67=0,0,Y67/X67)</f>
        <v>-0.195394019838031</v>
      </c>
      <c r="AA67" s="47" t="n">
        <f aca="false">MAX(0,(P67/(1+Assumptions!$B$27)-(L67*(Assumptions!$B$4+IF(H67="Yes",0,Assumptions!$B$5)))*(1+(Assumptions!$B$7*(Assumptions!$B$8*N67*Assumptions!$B$9+Assumptions!$B$10)))-P67*(Assumptions!$B$12+Assumptions!$B$13+IF(P67&gt;=Assumptions!$B$16,Assumptions!$B$17,IF(P67&gt;=Assumptions!$B$14,Assumptions!$B$15,0))))/((1+IF(H67="Yes",Assumptions!$B$6,0))*(1+(Assumptions!$B$7*(Assumptions!$B$8*N67*Assumptions!$B$9+Assumptions!$B$10)))+Assumptions!$B$11*N67))</f>
        <v>976071.63746165</v>
      </c>
      <c r="AB67" s="50" t="n">
        <f aca="false">IF(AA67&lt;=0,"no price works",D67/AA67)</f>
        <v>2.35638442069819</v>
      </c>
      <c r="AC67" s="46" t="n">
        <f aca="false">(INDEX(Assumptions!$B$36:$B$48,MATCH(AK67,Assumptions!$A$36:$A$48,0))+IF(I67="Yes",Assumptions!$B$23,0)+IF(J67="Yes",Assumptions!$B$24,0))*(1+Assumptions!$B$28)</f>
        <v>1250</v>
      </c>
      <c r="AD67" s="47" t="n">
        <f aca="false">(L67)*AC67-(((D67)+(L67)*Assumptions!$B$4+IF(H67="Yes",Assumptions!$B$6*(D67),(L67)*Assumptions!$B$5))*(1+Assumptions!$B$7*(Assumptions!$B$8*(N67)*Assumptions!$B$9+Assumptions!$B$10))+(D67)*Assumptions!$B$11*(N67)+(L67)*AC67*(Assumptions!$B$12+Assumptions!$B$13+IF((L67)*AC67&gt;=Assumptions!$B$16,Assumptions!$B$17,IF((L67)*AC67&gt;=Assumptions!$B$14,Assumptions!$B$15,0))))</f>
        <v>-1365138.65</v>
      </c>
      <c r="AE67" s="46" t="n">
        <f aca="false">(INDEX(Assumptions!$B$36:$B$48,MATCH(AK67,Assumptions!$A$36:$A$48,0))+IF(I67="Yes",Assumptions!$B$23,0)+IF(J67="Yes",Assumptions!$B$24,0))*(1+Assumptions!$B$29)</f>
        <v>1375</v>
      </c>
      <c r="AF67" s="47" t="n">
        <f aca="false">(L67)*AE67-(((D67)+(L67)*Assumptions!$B$4+IF(H67="Yes",Assumptions!$B$6*(D67),(L67)*Assumptions!$B$5))*(1+Assumptions!$B$7*(Assumptions!$B$8*(N67)*Assumptions!$B$9+Assumptions!$B$10))+(D67)*Assumptions!$B$11*(N67)+(L67)*AE67*(Assumptions!$B$12+Assumptions!$B$13+IF((L67)*AE67&gt;=Assumptions!$B$16,Assumptions!$B$17,IF((L67)*AE67&gt;=Assumptions!$B$14,Assumptions!$B$15,0))))</f>
        <v>-1004404.25</v>
      </c>
      <c r="AG67" s="46" t="n">
        <f aca="false">(INDEX(Assumptions!$B$36:$B$48,MATCH(AK67,Assumptions!$A$36:$A$48,0))+IF(I67="Yes",Assumptions!$B$23,0)+IF(J67="Yes",Assumptions!$B$24,0))*(1+Assumptions!$B$30)</f>
        <v>1500</v>
      </c>
      <c r="AH67" s="47" t="n">
        <f aca="false">(L67)*AG67-(((D67)+(L67)*Assumptions!$B$4+IF(H67="Yes",Assumptions!$B$6*(D67),(L67)*Assumptions!$B$5))*(1+Assumptions!$B$7*(Assumptions!$B$8*(N67)*Assumptions!$B$9+Assumptions!$B$10))+(D67)*Assumptions!$B$11*(N67)+(L67)*AG67*(Assumptions!$B$12+Assumptions!$B$13+IF((L67)*AG67&gt;=Assumptions!$B$16,Assumptions!$B$17,IF((L67)*AG67&gt;=Assumptions!$B$14,Assumptions!$B$15,0))))</f>
        <v>-643669.850000001</v>
      </c>
      <c r="AI67" s="47" t="n">
        <f aca="false">(L67)*AE67-(((D67)+(L67)*Assumptions!$B$25+IF(H67="Yes",Assumptions!$B$6*(D67),(L67)*Assumptions!$B$5))*(1+Assumptions!$B$7*(Assumptions!$B$8*(N67)*Assumptions!$B$9+Assumptions!$B$10))+(D67)*Assumptions!$B$11*(N67)+(L67)*AE67*(Assumptions!$B$12+Assumptions!$B$13+IF((L67)*AE67&gt;=Assumptions!$B$16,Assumptions!$B$17,IF((L67)*AE67&gt;=Assumptions!$B$14,Assumptions!$B$15,0))))</f>
        <v>-840806.649999999</v>
      </c>
      <c r="AJ67" s="47" t="n">
        <f aca="false">(L67)*AE67-(((D67)+(L67)*Assumptions!$B$26+IF(H67="Yes",Assumptions!$B$6*(D67),(L67)*Assumptions!$B$5))*(1+Assumptions!$B$7*(Assumptions!$B$8*(N67)*Assumptions!$B$9+Assumptions!$B$10))+(D67)*Assumptions!$B$11*(N67)+(L67)*AE67*(Assumptions!$B$12+Assumptions!$B$13+IF((L67)*AE67&gt;=Assumptions!$B$16,Assumptions!$B$17,IF((L67)*AE67&gt;=Assumptions!$B$14,Assumptions!$B$15,0))))</f>
        <v>-677209.05</v>
      </c>
      <c r="AK67" s="40" t="s">
        <v>104</v>
      </c>
      <c r="AL67" s="45" t="n">
        <f aca="false">IF(G67&gt;0,G67,ROUND(F67*Assumptions!$B$18,0))</f>
        <v>3008</v>
      </c>
      <c r="AM67" s="45" t="n">
        <f aca="false">IF(H67="Yes",AL67,MAX(AL67,MIN(Assumptions!$B$20,ROUND(E67*Assumptions!$B$19,0))))</f>
        <v>3008</v>
      </c>
      <c r="AN67" s="47" t="n">
        <f aca="false">(AL67)*AE67-(((D67)+(AL67)*Assumptions!$B$4+IF(H67="Yes",Assumptions!$B$6*(D67),(AL67)*Assumptions!$B$5))*(1+Assumptions!$B$7*(Assumptions!$B$8*(Assumptions!$B$21)*Assumptions!$B$9+Assumptions!$B$10))+(D67)*Assumptions!$B$11*(Assumptions!$B$21)+(AL67)*AE67*(Assumptions!$B$12+Assumptions!$B$13+IF((AL67)*AE67&gt;=Assumptions!$B$16,Assumptions!$B$17,IF((AL67)*AE67&gt;=Assumptions!$B$14,Assumptions!$B$15,0))))</f>
        <v>-1004404.25</v>
      </c>
      <c r="AO67" s="47" t="n">
        <f aca="false">(AM67)*AE67-(((D67)+(AM67)*Assumptions!$B$4+IF(H67="Yes",Assumptions!$B$6*(D67),(AM67)*Assumptions!$B$5))*(1+Assumptions!$B$7*(Assumptions!$B$8*(IF(AM67&gt;AL67,Assumptions!$B$22,Assumptions!$B$21))*Assumptions!$B$9+Assumptions!$B$10))+(D67)*Assumptions!$B$11*(IF(AM67&gt;AL67,Assumptions!$B$22,Assumptions!$B$21))+(AM67)*AE67*(Assumptions!$B$12+Assumptions!$B$13+IF((AM67)*AE67&gt;=Assumptions!$B$16,Assumptions!$B$17,IF((AM67)*AE67&gt;=Assumptions!$B$14,Assumptions!$B$15,0))))</f>
        <v>-1004404.25</v>
      </c>
      <c r="AP67" s="47" t="n">
        <f aca="false">Assumptions!$B$7*(Q67+R67+S67)</f>
        <v>2938390</v>
      </c>
    </row>
    <row r="68" customFormat="false" ht="15" hidden="false" customHeight="false" outlineLevel="0" collapsed="false">
      <c r="A68" s="40" t="n">
        <v>66</v>
      </c>
      <c r="B68" s="40" t="s">
        <v>191</v>
      </c>
      <c r="C68" s="40" t="s">
        <v>109</v>
      </c>
      <c r="D68" s="41" t="n">
        <v>2300000</v>
      </c>
      <c r="E68" s="42" t="n">
        <v>13939</v>
      </c>
      <c r="F68" s="42" t="n">
        <v>2128</v>
      </c>
      <c r="G68" s="42"/>
      <c r="H68" s="43" t="s">
        <v>71</v>
      </c>
      <c r="I68" s="43" t="s">
        <v>71</v>
      </c>
      <c r="J68" s="43" t="s">
        <v>71</v>
      </c>
      <c r="K68" s="44"/>
      <c r="L68" s="45" t="n">
        <f aca="false">IF(AO68&gt;AN68,AM68,AL68)</f>
        <v>5576</v>
      </c>
      <c r="M68" s="40" t="str">
        <f aca="false">IF(AO68&gt;AN68,"Zoning estimate",IF(H68="Yes","Approved plans",IF(G68&gt;0,"Listing claim","110% old house")))</f>
        <v>Zoning estimate</v>
      </c>
      <c r="N68" s="45" t="n">
        <f aca="false">IF(AO68&gt;AN68,IF(AM68&gt;AL68,Assumptions!$B$22,Assumptions!$B$21),Assumptions!$B$21)</f>
        <v>3</v>
      </c>
      <c r="O68" s="46" t="n">
        <f aca="false">(INDEX(Assumptions!$B$36:$B$48,MATCH(AK68,Assumptions!$A$36:$A$48,0))+IF(I68="Yes",Assumptions!$B$23,0)+IF(J68="Yes",Assumptions!$B$24,0))*(1+IF(UPPER(Assumptions!$B$31)="WORST",Assumptions!$B$28,IF(UPPER(Assumptions!$B$31)="BEST",Assumptions!$B$30,Assumptions!$B$29)))</f>
        <v>1375</v>
      </c>
      <c r="P68" s="47" t="n">
        <f aca="false">L68*O68</f>
        <v>7667000</v>
      </c>
      <c r="Q68" s="47" t="n">
        <f aca="false">D68</f>
        <v>2300000</v>
      </c>
      <c r="R68" s="47" t="n">
        <f aca="false">L68*Assumptions!$B$4</f>
        <v>3903200</v>
      </c>
      <c r="S68" s="47" t="n">
        <f aca="false">IF(H68="Yes",Assumptions!$B$6*(D68),(L68)*Assumptions!$B$5)</f>
        <v>418200</v>
      </c>
      <c r="T68" s="47" t="n">
        <f aca="false">AP68*(Assumptions!$B$8*N68*Assumptions!$B$9+Assumptions!$B$10)</f>
        <v>839262.45</v>
      </c>
      <c r="U68" s="47" t="n">
        <f aca="false">Q68*Assumptions!$B$11*N68</f>
        <v>82800</v>
      </c>
      <c r="V68" s="47" t="n">
        <f aca="false">P68*(Assumptions!$B$12+Assumptions!$B$13)</f>
        <v>311280.2</v>
      </c>
      <c r="W68" s="47" t="n">
        <f aca="false">P68*IF(P68&gt;=Assumptions!$B$16,Assumptions!$B$17,IF(P68&gt;=Assumptions!$B$14,Assumptions!$B$15,0))</f>
        <v>306680</v>
      </c>
      <c r="X68" s="48" t="n">
        <f aca="false">SUM(Q68:W68)</f>
        <v>8161422.65</v>
      </c>
      <c r="Y68" s="48" t="n">
        <f aca="false">P68-X68</f>
        <v>-494422.65</v>
      </c>
      <c r="Z68" s="49" t="n">
        <f aca="false">IF(X68=0,0,Y68/X68)</f>
        <v>-0.0605804491696065</v>
      </c>
      <c r="AA68" s="47" t="n">
        <f aca="false">MAX(0,(P68/(1+Assumptions!$B$27)-(L68*(Assumptions!$B$4+IF(H68="Yes",0,Assumptions!$B$5)))*(1+(Assumptions!$B$7*(Assumptions!$B$8*N68*Assumptions!$B$9+Assumptions!$B$10)))-P68*(Assumptions!$B$12+Assumptions!$B$13+IF(P68&gt;=Assumptions!$B$16,Assumptions!$B$17,IF(P68&gt;=Assumptions!$B$14,Assumptions!$B$15,0))))/((1+IF(H68="Yes",Assumptions!$B$6,0))*(1+(Assumptions!$B$7*(Assumptions!$B$8*N68*Assumptions!$B$9+Assumptions!$B$10)))+Assumptions!$B$11*N68))</f>
        <v>1014714.14469072</v>
      </c>
      <c r="AB68" s="50" t="n">
        <f aca="false">IF(AA68&lt;=0,"no price works",D68/AA68)</f>
        <v>2.26664821027112</v>
      </c>
      <c r="AC68" s="46" t="n">
        <f aca="false">(INDEX(Assumptions!$B$36:$B$48,MATCH(AK68,Assumptions!$A$36:$A$48,0))+IF(I68="Yes",Assumptions!$B$23,0)+IF(J68="Yes",Assumptions!$B$24,0))*(1+Assumptions!$B$28)</f>
        <v>1250</v>
      </c>
      <c r="AD68" s="47" t="n">
        <f aca="false">(L68)*AC68-(((D68)+(L68)*Assumptions!$B$4+IF(H68="Yes",Assumptions!$B$6*(D68),(L68)*Assumptions!$B$5))*(1+Assumptions!$B$7*(Assumptions!$B$8*(N68)*Assumptions!$B$9+Assumptions!$B$10))+(D68)*Assumptions!$B$11*(N68)+(L68)*AC68*(Assumptions!$B$12+Assumptions!$B$13+IF((L68)*AC68&gt;=Assumptions!$B$16,Assumptions!$B$17,IF((L68)*AC68&gt;=Assumptions!$B$14,Assumptions!$B$15,0))))</f>
        <v>-1135244.45</v>
      </c>
      <c r="AE68" s="46" t="n">
        <f aca="false">(INDEX(Assumptions!$B$36:$B$48,MATCH(AK68,Assumptions!$A$36:$A$48,0))+IF(I68="Yes",Assumptions!$B$23,0)+IF(J68="Yes",Assumptions!$B$24,0))*(1+Assumptions!$B$29)</f>
        <v>1375</v>
      </c>
      <c r="AF68" s="47" t="n">
        <f aca="false">(L68)*AE68-(((D68)+(L68)*Assumptions!$B$4+IF(H68="Yes",Assumptions!$B$6*(D68),(L68)*Assumptions!$B$5))*(1+Assumptions!$B$7*(Assumptions!$B$8*(N68)*Assumptions!$B$9+Assumptions!$B$10))+(D68)*Assumptions!$B$11*(N68)+(L68)*AE68*(Assumptions!$B$12+Assumptions!$B$13+IF((L68)*AE68&gt;=Assumptions!$B$16,Assumptions!$B$17,IF((L68)*AE68&gt;=Assumptions!$B$14,Assumptions!$B$15,0))))</f>
        <v>-494422.649999999</v>
      </c>
      <c r="AG68" s="46" t="n">
        <f aca="false">(INDEX(Assumptions!$B$36:$B$48,MATCH(AK68,Assumptions!$A$36:$A$48,0))+IF(I68="Yes",Assumptions!$B$23,0)+IF(J68="Yes",Assumptions!$B$24,0))*(1+Assumptions!$B$30)</f>
        <v>1500</v>
      </c>
      <c r="AH68" s="47" t="n">
        <f aca="false">(L68)*AG68-(((D68)+(L68)*Assumptions!$B$4+IF(H68="Yes",Assumptions!$B$6*(D68),(L68)*Assumptions!$B$5))*(1+Assumptions!$B$7*(Assumptions!$B$8*(N68)*Assumptions!$B$9+Assumptions!$B$10))+(D68)*Assumptions!$B$11*(N68)+(L68)*AG68*(Assumptions!$B$12+Assumptions!$B$13+IF((L68)*AG68&gt;=Assumptions!$B$16,Assumptions!$B$17,IF((L68)*AG68&gt;=Assumptions!$B$14,Assumptions!$B$15,0))))</f>
        <v>146399.15</v>
      </c>
      <c r="AI68" s="47" t="n">
        <f aca="false">(L68)*AE68-(((D68)+(L68)*Assumptions!$B$25+IF(H68="Yes",Assumptions!$B$6*(D68),(L68)*Assumptions!$B$5))*(1+Assumptions!$B$7*(Assumptions!$B$8*(N68)*Assumptions!$B$9+Assumptions!$B$10))+(D68)*Assumptions!$B$11*(N68)+(L68)*AE68*(Assumptions!$B$12+Assumptions!$B$13+IF((L68)*AE68&gt;=Assumptions!$B$16,Assumptions!$B$17,IF((L68)*AE68&gt;=Assumptions!$B$14,Assumptions!$B$15,0))))</f>
        <v>-180284.75</v>
      </c>
      <c r="AJ68" s="47" t="n">
        <f aca="false">(L68)*AE68-(((D68)+(L68)*Assumptions!$B$26+IF(H68="Yes",Assumptions!$B$6*(D68),(L68)*Assumptions!$B$5))*(1+Assumptions!$B$7*(Assumptions!$B$8*(N68)*Assumptions!$B$9+Assumptions!$B$10))+(D68)*Assumptions!$B$11*(N68)+(L68)*AE68*(Assumptions!$B$12+Assumptions!$B$13+IF((L68)*AE68&gt;=Assumptions!$B$16,Assumptions!$B$17,IF((L68)*AE68&gt;=Assumptions!$B$14,Assumptions!$B$15,0))))</f>
        <v>133853.15</v>
      </c>
      <c r="AK68" s="40" t="s">
        <v>111</v>
      </c>
      <c r="AL68" s="45" t="n">
        <f aca="false">IF(G68&gt;0,G68,ROUND(F68*Assumptions!$B$18,0))</f>
        <v>2341</v>
      </c>
      <c r="AM68" s="45" t="n">
        <f aca="false">IF(H68="Yes",AL68,MAX(AL68,MIN(Assumptions!$B$20,ROUND(E68*Assumptions!$B$19,0))))</f>
        <v>5576</v>
      </c>
      <c r="AN68" s="47" t="n">
        <f aca="false">(AL68)*AE68-(((D68)+(AL68)*Assumptions!$B$4+IF(H68="Yes",Assumptions!$B$6*(D68),(AL68)*Assumptions!$B$5))*(1+Assumptions!$B$7*(Assumptions!$B$8*(Assumptions!$B$21)*Assumptions!$B$9+Assumptions!$B$10))+(D68)*Assumptions!$B$11*(Assumptions!$B$21)+(AL68)*AE68*(Assumptions!$B$12+Assumptions!$B$13+IF((AL68)*AE68&gt;=Assumptions!$B$16,Assumptions!$B$17,IF((AL68)*AE68&gt;=Assumptions!$B$14,Assumptions!$B$15,0))))</f>
        <v>-1442313.95625</v>
      </c>
      <c r="AO68" s="47" t="n">
        <f aca="false">(AM68)*AE68-(((D68)+(AM68)*Assumptions!$B$4+IF(H68="Yes",Assumptions!$B$6*(D68),(AM68)*Assumptions!$B$5))*(1+Assumptions!$B$7*(Assumptions!$B$8*(IF(AM68&gt;AL68,Assumptions!$B$22,Assumptions!$B$21))*Assumptions!$B$9+Assumptions!$B$10))+(D68)*Assumptions!$B$11*(IF(AM68&gt;AL68,Assumptions!$B$22,Assumptions!$B$21))+(AM68)*AE68*(Assumptions!$B$12+Assumptions!$B$13+IF((AM68)*AE68&gt;=Assumptions!$B$16,Assumptions!$B$17,IF((AM68)*AE68&gt;=Assumptions!$B$14,Assumptions!$B$15,0))))</f>
        <v>-494422.649999999</v>
      </c>
      <c r="AP68" s="47" t="n">
        <f aca="false">Assumptions!$B$7*(Q68+R68+S68)</f>
        <v>4303910</v>
      </c>
    </row>
    <row r="69" customFormat="false" ht="15" hidden="false" customHeight="false" outlineLevel="0" collapsed="false">
      <c r="A69" s="40" t="n">
        <v>67</v>
      </c>
      <c r="B69" s="40" t="s">
        <v>192</v>
      </c>
      <c r="C69" s="40" t="s">
        <v>126</v>
      </c>
      <c r="D69" s="41" t="n">
        <v>4500000</v>
      </c>
      <c r="E69" s="42" t="n">
        <v>9410</v>
      </c>
      <c r="F69" s="42" t="n">
        <v>6785</v>
      </c>
      <c r="G69" s="42" t="n">
        <v>7500</v>
      </c>
      <c r="H69" s="43" t="s">
        <v>71</v>
      </c>
      <c r="I69" s="43" t="s">
        <v>80</v>
      </c>
      <c r="J69" s="43" t="s">
        <v>71</v>
      </c>
      <c r="K69" s="44" t="s">
        <v>193</v>
      </c>
      <c r="L69" s="45" t="n">
        <f aca="false">IF(AO69&gt;AN69,AM69,AL69)</f>
        <v>7500</v>
      </c>
      <c r="M69" s="40" t="str">
        <f aca="false">IF(AO69&gt;AN69,"Zoning estimate",IF(H69="Yes","Approved plans",IF(G69&gt;0,"Listing claim","110% old house")))</f>
        <v>Listing claim</v>
      </c>
      <c r="N69" s="45" t="n">
        <f aca="false">IF(AO69&gt;AN69,IF(AM69&gt;AL69,Assumptions!$B$22,Assumptions!$B$21),Assumptions!$B$21)</f>
        <v>2</v>
      </c>
      <c r="O69" s="46" t="n">
        <f aca="false">(INDEX(Assumptions!$B$36:$B$48,MATCH(AK69,Assumptions!$A$36:$A$48,0))+IF(I69="Yes",Assumptions!$B$23,0)+IF(J69="Yes",Assumptions!$B$24,0))*(1+IF(UPPER(Assumptions!$B$31)="WORST",Assumptions!$B$28,IF(UPPER(Assumptions!$B$31)="BEST",Assumptions!$B$30,Assumptions!$B$29)))</f>
        <v>1540</v>
      </c>
      <c r="P69" s="47" t="n">
        <f aca="false">L69*O69</f>
        <v>11550000</v>
      </c>
      <c r="Q69" s="47" t="n">
        <f aca="false">D69</f>
        <v>4500000</v>
      </c>
      <c r="R69" s="47" t="n">
        <f aca="false">L69*Assumptions!$B$4</f>
        <v>5250000</v>
      </c>
      <c r="S69" s="47" t="n">
        <f aca="false">IF(H69="Yes",Assumptions!$B$6*(D69),(L69)*Assumptions!$B$5)</f>
        <v>562500</v>
      </c>
      <c r="T69" s="47" t="n">
        <f aca="false">AP69*(Assumptions!$B$8*N69*Assumptions!$B$9+Assumptions!$B$10)</f>
        <v>904921.875</v>
      </c>
      <c r="U69" s="47" t="n">
        <f aca="false">Q69*Assumptions!$B$11*N69</f>
        <v>108000</v>
      </c>
      <c r="V69" s="47" t="n">
        <f aca="false">P69*(Assumptions!$B$12+Assumptions!$B$13)</f>
        <v>468930</v>
      </c>
      <c r="W69" s="47" t="n">
        <f aca="false">P69*IF(P69&gt;=Assumptions!$B$16,Assumptions!$B$17,IF(P69&gt;=Assumptions!$B$14,Assumptions!$B$15,0))</f>
        <v>635250</v>
      </c>
      <c r="X69" s="48" t="n">
        <f aca="false">SUM(Q69:W69)</f>
        <v>12429601.875</v>
      </c>
      <c r="Y69" s="48" t="n">
        <f aca="false">P69-X69</f>
        <v>-879601.874999998</v>
      </c>
      <c r="Z69" s="49" t="n">
        <f aca="false">IF(X69=0,0,Y69/X69)</f>
        <v>-0.0707666974248922</v>
      </c>
      <c r="AA69" s="47" t="n">
        <f aca="false">MAX(0,(P69/(1+Assumptions!$B$27)-(L69*(Assumptions!$B$4+IF(H69="Yes",0,Assumptions!$B$5)))*(1+(Assumptions!$B$7*(Assumptions!$B$8*N69*Assumptions!$B$9+Assumptions!$B$10)))-P69*(Assumptions!$B$12+Assumptions!$B$13+IF(P69&gt;=Assumptions!$B$16,Assumptions!$B$17,IF(P69&gt;=Assumptions!$B$14,Assumptions!$B$15,0))))/((1+IF(H69="Yes",Assumptions!$B$6,0))*(1+(Assumptions!$B$7*(Assumptions!$B$8*N69*Assumptions!$B$9+Assumptions!$B$10)))+Assumptions!$B$11*N69))</f>
        <v>2353722.85664004</v>
      </c>
      <c r="AB69" s="50" t="n">
        <f aca="false">IF(AA69&lt;=0,"no price works",D69/AA69)</f>
        <v>1.9118648515925</v>
      </c>
      <c r="AC69" s="46" t="n">
        <f aca="false">(INDEX(Assumptions!$B$36:$B$48,MATCH(AK69,Assumptions!$A$36:$A$48,0))+IF(I69="Yes",Assumptions!$B$23,0)+IF(J69="Yes",Assumptions!$B$24,0))*(1+Assumptions!$B$28)</f>
        <v>1400</v>
      </c>
      <c r="AD69" s="47" t="n">
        <f aca="false">(L69)*AC69-(((D69)+(L69)*Assumptions!$B$4+IF(H69="Yes",Assumptions!$B$6*(D69),(L69)*Assumptions!$B$5))*(1+Assumptions!$B$7*(Assumptions!$B$8*(N69)*Assumptions!$B$9+Assumptions!$B$10))+(D69)*Assumptions!$B$11*(N69)+(L69)*AC69*(Assumptions!$B$12+Assumptions!$B$13+IF((L69)*AC69&gt;=Assumptions!$B$16,Assumptions!$B$17,IF((L69)*AC69&gt;=Assumptions!$B$14,Assumptions!$B$15,0))))</f>
        <v>-1671721.875</v>
      </c>
      <c r="AE69" s="46" t="n">
        <f aca="false">(INDEX(Assumptions!$B$36:$B$48,MATCH(AK69,Assumptions!$A$36:$A$48,0))+IF(I69="Yes",Assumptions!$B$23,0)+IF(J69="Yes",Assumptions!$B$24,0))*(1+Assumptions!$B$29)</f>
        <v>1540</v>
      </c>
      <c r="AF69" s="47" t="n">
        <f aca="false">(L69)*AE69-(((D69)+(L69)*Assumptions!$B$4+IF(H69="Yes",Assumptions!$B$6*(D69),(L69)*Assumptions!$B$5))*(1+Assumptions!$B$7*(Assumptions!$B$8*(N69)*Assumptions!$B$9+Assumptions!$B$10))+(D69)*Assumptions!$B$11*(N69)+(L69)*AE69*(Assumptions!$B$12+Assumptions!$B$13+IF((L69)*AE69&gt;=Assumptions!$B$16,Assumptions!$B$17,IF((L69)*AE69&gt;=Assumptions!$B$14,Assumptions!$B$15,0))))</f>
        <v>-879601.874999998</v>
      </c>
      <c r="AG69" s="46" t="n">
        <f aca="false">(INDEX(Assumptions!$B$36:$B$48,MATCH(AK69,Assumptions!$A$36:$A$48,0))+IF(I69="Yes",Assumptions!$B$23,0)+IF(J69="Yes",Assumptions!$B$24,0))*(1+Assumptions!$B$30)</f>
        <v>1680</v>
      </c>
      <c r="AH69" s="47" t="n">
        <f aca="false">(L69)*AG69-(((D69)+(L69)*Assumptions!$B$4+IF(H69="Yes",Assumptions!$B$6*(D69),(L69)*Assumptions!$B$5))*(1+Assumptions!$B$7*(Assumptions!$B$8*(N69)*Assumptions!$B$9+Assumptions!$B$10))+(D69)*Assumptions!$B$11*(N69)+(L69)*AG69*(Assumptions!$B$12+Assumptions!$B$13+IF((L69)*AG69&gt;=Assumptions!$B$16,Assumptions!$B$17,IF((L69)*AG69&gt;=Assumptions!$B$14,Assumptions!$B$15,0))))</f>
        <v>70018.125</v>
      </c>
      <c r="AI69" s="47" t="n">
        <f aca="false">(L69)*AE69-(((D69)+(L69)*Assumptions!$B$25+IF(H69="Yes",Assumptions!$B$6*(D69),(L69)*Assumptions!$B$5))*(1+Assumptions!$B$7*(Assumptions!$B$8*(N69)*Assumptions!$B$9+Assumptions!$B$10))+(D69)*Assumptions!$B$11*(N69)+(L69)*AE69*(Assumptions!$B$12+Assumptions!$B$13+IF((L69)*AE69&gt;=Assumptions!$B$16,Assumptions!$B$17,IF((L69)*AE69&gt;=Assumptions!$B$14,Assumptions!$B$15,0))))</f>
        <v>-471695.624999998</v>
      </c>
      <c r="AJ69" s="47" t="n">
        <f aca="false">(L69)*AE69-(((D69)+(L69)*Assumptions!$B$26+IF(H69="Yes",Assumptions!$B$6*(D69),(L69)*Assumptions!$B$5))*(1+Assumptions!$B$7*(Assumptions!$B$8*(N69)*Assumptions!$B$9+Assumptions!$B$10))+(D69)*Assumptions!$B$11*(N69)+(L69)*AE69*(Assumptions!$B$12+Assumptions!$B$13+IF((L69)*AE69&gt;=Assumptions!$B$16,Assumptions!$B$17,IF((L69)*AE69&gt;=Assumptions!$B$14,Assumptions!$B$15,0))))</f>
        <v>-63789.3749999981</v>
      </c>
      <c r="AK69" s="40" t="s">
        <v>128</v>
      </c>
      <c r="AL69" s="45" t="n">
        <f aca="false">IF(G69&gt;0,G69,ROUND(F69*Assumptions!$B$18,0))</f>
        <v>7500</v>
      </c>
      <c r="AM69" s="45" t="n">
        <f aca="false">IF(H69="Yes",AL69,MAX(AL69,MIN(Assumptions!$B$20,ROUND(E69*Assumptions!$B$19,0))))</f>
        <v>7500</v>
      </c>
      <c r="AN69" s="47" t="n">
        <f aca="false">(AL69)*AE69-(((D69)+(AL69)*Assumptions!$B$4+IF(H69="Yes",Assumptions!$B$6*(D69),(AL69)*Assumptions!$B$5))*(1+Assumptions!$B$7*(Assumptions!$B$8*(Assumptions!$B$21)*Assumptions!$B$9+Assumptions!$B$10))+(D69)*Assumptions!$B$11*(Assumptions!$B$21)+(AL69)*AE69*(Assumptions!$B$12+Assumptions!$B$13+IF((AL69)*AE69&gt;=Assumptions!$B$16,Assumptions!$B$17,IF((AL69)*AE69&gt;=Assumptions!$B$14,Assumptions!$B$15,0))))</f>
        <v>-879601.874999998</v>
      </c>
      <c r="AO69" s="47" t="n">
        <f aca="false">(AM69)*AE69-(((D69)+(AM69)*Assumptions!$B$4+IF(H69="Yes",Assumptions!$B$6*(D69),(AM69)*Assumptions!$B$5))*(1+Assumptions!$B$7*(Assumptions!$B$8*(IF(AM69&gt;AL69,Assumptions!$B$22,Assumptions!$B$21))*Assumptions!$B$9+Assumptions!$B$10))+(D69)*Assumptions!$B$11*(IF(AM69&gt;AL69,Assumptions!$B$22,Assumptions!$B$21))+(AM69)*AE69*(Assumptions!$B$12+Assumptions!$B$13+IF((AM69)*AE69&gt;=Assumptions!$B$16,Assumptions!$B$17,IF((AM69)*AE69&gt;=Assumptions!$B$14,Assumptions!$B$15,0))))</f>
        <v>-879601.874999998</v>
      </c>
      <c r="AP69" s="47" t="n">
        <f aca="false">Assumptions!$B$7*(Q69+R69+S69)</f>
        <v>6703125</v>
      </c>
    </row>
    <row r="70" customFormat="false" ht="15" hidden="false" customHeight="false" outlineLevel="0" collapsed="false">
      <c r="A70" s="40" t="n">
        <v>68</v>
      </c>
      <c r="B70" s="40" t="s">
        <v>194</v>
      </c>
      <c r="C70" s="40" t="s">
        <v>126</v>
      </c>
      <c r="D70" s="41" t="n">
        <v>2399000</v>
      </c>
      <c r="E70" s="42" t="n">
        <v>7251</v>
      </c>
      <c r="F70" s="42" t="n">
        <v>2986</v>
      </c>
      <c r="G70" s="42"/>
      <c r="H70" s="43" t="s">
        <v>71</v>
      </c>
      <c r="I70" s="43" t="s">
        <v>71</v>
      </c>
      <c r="J70" s="43" t="s">
        <v>71</v>
      </c>
      <c r="K70" s="44" t="s">
        <v>195</v>
      </c>
      <c r="L70" s="45" t="n">
        <f aca="false">IF(AO70&gt;AN70,AM70,AL70)</f>
        <v>3285</v>
      </c>
      <c r="M70" s="40" t="str">
        <f aca="false">IF(AO70&gt;AN70,"Zoning estimate",IF(H70="Yes","Approved plans",IF(G70&gt;0,"Listing claim","110% old house")))</f>
        <v>110% old house</v>
      </c>
      <c r="N70" s="45" t="n">
        <f aca="false">IF(AO70&gt;AN70,IF(AM70&gt;AL70,Assumptions!$B$22,Assumptions!$B$21),Assumptions!$B$21)</f>
        <v>2</v>
      </c>
      <c r="O70" s="46" t="n">
        <f aca="false">(INDEX(Assumptions!$B$36:$B$48,MATCH(AK70,Assumptions!$A$36:$A$48,0))+IF(I70="Yes",Assumptions!$B$23,0)+IF(J70="Yes",Assumptions!$B$24,0))*(1+IF(UPPER(Assumptions!$B$31)="WORST",Assumptions!$B$28,IF(UPPER(Assumptions!$B$31)="BEST",Assumptions!$B$30,Assumptions!$B$29)))</f>
        <v>1430</v>
      </c>
      <c r="P70" s="47" t="n">
        <f aca="false">L70*O70</f>
        <v>4697550</v>
      </c>
      <c r="Q70" s="47" t="n">
        <f aca="false">D70</f>
        <v>2399000</v>
      </c>
      <c r="R70" s="47" t="n">
        <f aca="false">L70*Assumptions!$B$4</f>
        <v>2299500</v>
      </c>
      <c r="S70" s="47" t="n">
        <f aca="false">IF(H70="Yes",Assumptions!$B$6*(D70),(L70)*Assumptions!$B$5)</f>
        <v>246375</v>
      </c>
      <c r="T70" s="47" t="n">
        <f aca="false">AP70*(Assumptions!$B$8*N70*Assumptions!$B$9+Assumptions!$B$10)</f>
        <v>433912.78125</v>
      </c>
      <c r="U70" s="47" t="n">
        <f aca="false">Q70*Assumptions!$B$11*N70</f>
        <v>57576</v>
      </c>
      <c r="V70" s="47" t="n">
        <f aca="false">P70*(Assumptions!$B$12+Assumptions!$B$13)</f>
        <v>190720.53</v>
      </c>
      <c r="W70" s="47" t="n">
        <f aca="false">P70*IF(P70&gt;=Assumptions!$B$16,Assumptions!$B$17,IF(P70&gt;=Assumptions!$B$14,Assumptions!$B$15,0))</f>
        <v>0</v>
      </c>
      <c r="X70" s="48" t="n">
        <f aca="false">SUM(Q70:W70)</f>
        <v>5627084.31125</v>
      </c>
      <c r="Y70" s="48" t="n">
        <f aca="false">P70-X70</f>
        <v>-929534.311249999</v>
      </c>
      <c r="Z70" s="49" t="n">
        <f aca="false">IF(X70=0,0,Y70/X70)</f>
        <v>-0.165189334268836</v>
      </c>
      <c r="AA70" s="47" t="n">
        <f aca="false">MAX(0,(P70/(1+Assumptions!$B$27)-(L70*(Assumptions!$B$4+IF(H70="Yes",0,Assumptions!$B$5)))*(1+(Assumptions!$B$7*(Assumptions!$B$8*N70*Assumptions!$B$9+Assumptions!$B$10)))-P70*(Assumptions!$B$12+Assumptions!$B$13+IF(P70&gt;=Assumptions!$B$16,Assumptions!$B$17,IF(P70&gt;=Assumptions!$B$14,Assumptions!$B$15,0))))/((1+IF(H70="Yes",Assumptions!$B$6,0))*(1+(Assumptions!$B$7*(Assumptions!$B$8*N70*Assumptions!$B$9+Assumptions!$B$10)))+Assumptions!$B$11*N70))</f>
        <v>1011765.25811246</v>
      </c>
      <c r="AB70" s="50" t="n">
        <f aca="false">IF(AA70&lt;=0,"no price works",D70/AA70)</f>
        <v>2.37110335699366</v>
      </c>
      <c r="AC70" s="46" t="n">
        <f aca="false">(INDEX(Assumptions!$B$36:$B$48,MATCH(AK70,Assumptions!$A$36:$A$48,0))+IF(I70="Yes",Assumptions!$B$23,0)+IF(J70="Yes",Assumptions!$B$24,0))*(1+Assumptions!$B$28)</f>
        <v>1300</v>
      </c>
      <c r="AD70" s="47" t="n">
        <f aca="false">(L70)*AC70-(((D70)+(L70)*Assumptions!$B$4+IF(H70="Yes",Assumptions!$B$6*(D70),(L70)*Assumptions!$B$5))*(1+Assumptions!$B$7*(Assumptions!$B$8*(N70)*Assumptions!$B$9+Assumptions!$B$10))+(D70)*Assumptions!$B$11*(N70)+(L70)*AC70*(Assumptions!$B$12+Assumptions!$B$13+IF((L70)*AC70&gt;=Assumptions!$B$16,Assumptions!$B$17,IF((L70)*AC70&gt;=Assumptions!$B$14,Assumptions!$B$15,0))))</f>
        <v>-1339246.08125</v>
      </c>
      <c r="AE70" s="46" t="n">
        <f aca="false">(INDEX(Assumptions!$B$36:$B$48,MATCH(AK70,Assumptions!$A$36:$A$48,0))+IF(I70="Yes",Assumptions!$B$23,0)+IF(J70="Yes",Assumptions!$B$24,0))*(1+Assumptions!$B$29)</f>
        <v>1430</v>
      </c>
      <c r="AF70" s="47" t="n">
        <f aca="false">(L70)*AE70-(((D70)+(L70)*Assumptions!$B$4+IF(H70="Yes",Assumptions!$B$6*(D70),(L70)*Assumptions!$B$5))*(1+Assumptions!$B$7*(Assumptions!$B$8*(N70)*Assumptions!$B$9+Assumptions!$B$10))+(D70)*Assumptions!$B$11*(N70)+(L70)*AE70*(Assumptions!$B$12+Assumptions!$B$13+IF((L70)*AE70&gt;=Assumptions!$B$16,Assumptions!$B$17,IF((L70)*AE70&gt;=Assumptions!$B$14,Assumptions!$B$15,0))))</f>
        <v>-929534.311249999</v>
      </c>
      <c r="AG70" s="46" t="n">
        <f aca="false">(INDEX(Assumptions!$B$36:$B$48,MATCH(AK70,Assumptions!$A$36:$A$48,0))+IF(I70="Yes",Assumptions!$B$23,0)+IF(J70="Yes",Assumptions!$B$24,0))*(1+Assumptions!$B$30)</f>
        <v>1560</v>
      </c>
      <c r="AH70" s="47" t="n">
        <f aca="false">(L70)*AG70-(((D70)+(L70)*Assumptions!$B$4+IF(H70="Yes",Assumptions!$B$6*(D70),(L70)*Assumptions!$B$5))*(1+Assumptions!$B$7*(Assumptions!$B$8*(N70)*Assumptions!$B$9+Assumptions!$B$10))+(D70)*Assumptions!$B$11*(N70)+(L70)*AG70*(Assumptions!$B$12+Assumptions!$B$13+IF((L70)*AG70&gt;=Assumptions!$B$16,Assumptions!$B$17,IF((L70)*AG70&gt;=Assumptions!$B$14,Assumptions!$B$15,0))))</f>
        <v>-519822.54125</v>
      </c>
      <c r="AI70" s="47" t="n">
        <f aca="false">(L70)*AE70-(((D70)+(L70)*Assumptions!$B$25+IF(H70="Yes",Assumptions!$B$6*(D70),(L70)*Assumptions!$B$5))*(1+Assumptions!$B$7*(Assumptions!$B$8*(N70)*Assumptions!$B$9+Assumptions!$B$10))+(D70)*Assumptions!$B$11*(N70)+(L70)*AE70*(Assumptions!$B$12+Assumptions!$B$13+IF((L70)*AE70&gt;=Assumptions!$B$16,Assumptions!$B$17,IF((L70)*AE70&gt;=Assumptions!$B$14,Assumptions!$B$15,0))))</f>
        <v>-750871.373749999</v>
      </c>
      <c r="AJ70" s="47" t="n">
        <f aca="false">(L70)*AE70-(((D70)+(L70)*Assumptions!$B$26+IF(H70="Yes",Assumptions!$B$6*(D70),(L70)*Assumptions!$B$5))*(1+Assumptions!$B$7*(Assumptions!$B$8*(N70)*Assumptions!$B$9+Assumptions!$B$10))+(D70)*Assumptions!$B$11*(N70)+(L70)*AE70*(Assumptions!$B$12+Assumptions!$B$13+IF((L70)*AE70&gt;=Assumptions!$B$16,Assumptions!$B$17,IF((L70)*AE70&gt;=Assumptions!$B$14,Assumptions!$B$15,0))))</f>
        <v>-572208.436249999</v>
      </c>
      <c r="AK70" s="40" t="s">
        <v>128</v>
      </c>
      <c r="AL70" s="45" t="n">
        <f aca="false">IF(G70&gt;0,G70,ROUND(F70*Assumptions!$B$18,0))</f>
        <v>3285</v>
      </c>
      <c r="AM70" s="45" t="n">
        <f aca="false">IF(H70="Yes",AL70,MAX(AL70,MIN(Assumptions!$B$20,ROUND(E70*Assumptions!$B$19,0))))</f>
        <v>3285</v>
      </c>
      <c r="AN70" s="47" t="n">
        <f aca="false">(AL70)*AE70-(((D70)+(AL70)*Assumptions!$B$4+IF(H70="Yes",Assumptions!$B$6*(D70),(AL70)*Assumptions!$B$5))*(1+Assumptions!$B$7*(Assumptions!$B$8*(Assumptions!$B$21)*Assumptions!$B$9+Assumptions!$B$10))+(D70)*Assumptions!$B$11*(Assumptions!$B$21)+(AL70)*AE70*(Assumptions!$B$12+Assumptions!$B$13+IF((AL70)*AE70&gt;=Assumptions!$B$16,Assumptions!$B$17,IF((AL70)*AE70&gt;=Assumptions!$B$14,Assumptions!$B$15,0))))</f>
        <v>-929534.311249999</v>
      </c>
      <c r="AO70" s="47" t="n">
        <f aca="false">(AM70)*AE70-(((D70)+(AM70)*Assumptions!$B$4+IF(H70="Yes",Assumptions!$B$6*(D70),(AM70)*Assumptions!$B$5))*(1+Assumptions!$B$7*(Assumptions!$B$8*(IF(AM70&gt;AL70,Assumptions!$B$22,Assumptions!$B$21))*Assumptions!$B$9+Assumptions!$B$10))+(D70)*Assumptions!$B$11*(IF(AM70&gt;AL70,Assumptions!$B$22,Assumptions!$B$21))+(AM70)*AE70*(Assumptions!$B$12+Assumptions!$B$13+IF((AM70)*AE70&gt;=Assumptions!$B$16,Assumptions!$B$17,IF((AM70)*AE70&gt;=Assumptions!$B$14,Assumptions!$B$15,0))))</f>
        <v>-929534.311249999</v>
      </c>
      <c r="AP70" s="47" t="n">
        <f aca="false">Assumptions!$B$7*(Q70+R70+S70)</f>
        <v>3214168.75</v>
      </c>
    </row>
    <row r="71" customFormat="false" ht="15" hidden="false" customHeight="false" outlineLevel="0" collapsed="false">
      <c r="A71" s="40" t="n">
        <v>69</v>
      </c>
      <c r="B71" s="40" t="s">
        <v>196</v>
      </c>
      <c r="C71" s="40" t="s">
        <v>75</v>
      </c>
      <c r="D71" s="41" t="n">
        <v>1650000</v>
      </c>
      <c r="E71" s="42" t="n">
        <v>4944</v>
      </c>
      <c r="F71" s="42" t="n">
        <v>1262</v>
      </c>
      <c r="G71" s="42"/>
      <c r="H71" s="43" t="s">
        <v>71</v>
      </c>
      <c r="I71" s="43" t="s">
        <v>71</v>
      </c>
      <c r="J71" s="43" t="s">
        <v>71</v>
      </c>
      <c r="K71" s="44"/>
      <c r="L71" s="45" t="n">
        <f aca="false">IF(AO71&gt;AN71,AM71,AL71)</f>
        <v>1978</v>
      </c>
      <c r="M71" s="40" t="str">
        <f aca="false">IF(AO71&gt;AN71,"Zoning estimate",IF(H71="Yes","Approved plans",IF(G71&gt;0,"Listing claim","110% old house")))</f>
        <v>Zoning estimate</v>
      </c>
      <c r="N71" s="45" t="n">
        <f aca="false">IF(AO71&gt;AN71,IF(AM71&gt;AL71,Assumptions!$B$22,Assumptions!$B$21),Assumptions!$B$21)</f>
        <v>3</v>
      </c>
      <c r="O71" s="46" t="n">
        <f aca="false">(INDEX(Assumptions!$B$36:$B$48,MATCH(AK71,Assumptions!$A$36:$A$48,0))+IF(I71="Yes",Assumptions!$B$23,0)+IF(J71="Yes",Assumptions!$B$24,0))*(1+IF(UPPER(Assumptions!$B$31)="WORST",Assumptions!$B$28,IF(UPPER(Assumptions!$B$31)="BEST",Assumptions!$B$30,Assumptions!$B$29)))</f>
        <v>1540</v>
      </c>
      <c r="P71" s="47" t="n">
        <f aca="false">L71*O71</f>
        <v>3046120</v>
      </c>
      <c r="Q71" s="47" t="n">
        <f aca="false">D71</f>
        <v>1650000</v>
      </c>
      <c r="R71" s="47" t="n">
        <f aca="false">L71*Assumptions!$B$4</f>
        <v>1384600</v>
      </c>
      <c r="S71" s="47" t="n">
        <f aca="false">IF(H71="Yes",Assumptions!$B$6*(D71),(L71)*Assumptions!$B$5)</f>
        <v>148350</v>
      </c>
      <c r="T71" s="47" t="n">
        <f aca="false">AP71*(Assumptions!$B$8*N71*Assumptions!$B$9+Assumptions!$B$10)</f>
        <v>403438.9125</v>
      </c>
      <c r="U71" s="47" t="n">
        <f aca="false">Q71*Assumptions!$B$11*N71</f>
        <v>59400</v>
      </c>
      <c r="V71" s="47" t="n">
        <f aca="false">P71*(Assumptions!$B$12+Assumptions!$B$13)</f>
        <v>123672.472</v>
      </c>
      <c r="W71" s="47" t="n">
        <f aca="false">P71*IF(P71&gt;=Assumptions!$B$16,Assumptions!$B$17,IF(P71&gt;=Assumptions!$B$14,Assumptions!$B$15,0))</f>
        <v>0</v>
      </c>
      <c r="X71" s="48" t="n">
        <f aca="false">SUM(Q71:W71)</f>
        <v>3769461.3845</v>
      </c>
      <c r="Y71" s="48" t="n">
        <f aca="false">P71-X71</f>
        <v>-723341.3845</v>
      </c>
      <c r="Z71" s="49" t="n">
        <f aca="false">IF(X71=0,0,Y71/X71)</f>
        <v>-0.191895157083814</v>
      </c>
      <c r="AA71" s="47" t="n">
        <f aca="false">MAX(0,(P71/(1+Assumptions!$B$27)-(L71*(Assumptions!$B$4+IF(H71="Yes",0,Assumptions!$B$5)))*(1+(Assumptions!$B$7*(Assumptions!$B$8*N71*Assumptions!$B$9+Assumptions!$B$10)))-P71*(Assumptions!$B$12+Assumptions!$B$13+IF(P71&gt;=Assumptions!$B$16,Assumptions!$B$17,IF(P71&gt;=Assumptions!$B$14,Assumptions!$B$15,0))))/((1+IF(H71="Yes",Assumptions!$B$6,0))*(1+(Assumptions!$B$7*(Assumptions!$B$8*N71*Assumptions!$B$9+Assumptions!$B$10)))+Assumptions!$B$11*N71))</f>
        <v>686197.476241669</v>
      </c>
      <c r="AB71" s="50" t="n">
        <f aca="false">IF(AA71&lt;=0,"no price works",D71/AA71)</f>
        <v>2.4045556230214</v>
      </c>
      <c r="AC71" s="46" t="n">
        <f aca="false">(INDEX(Assumptions!$B$36:$B$48,MATCH(AK71,Assumptions!$A$36:$A$48,0))+IF(I71="Yes",Assumptions!$B$23,0)+IF(J71="Yes",Assumptions!$B$24,0))*(1+Assumptions!$B$28)</f>
        <v>1400</v>
      </c>
      <c r="AD71" s="47" t="n">
        <f aca="false">(L71)*AC71-(((D71)+(L71)*Assumptions!$B$4+IF(H71="Yes",Assumptions!$B$6*(D71),(L71)*Assumptions!$B$5))*(1+Assumptions!$B$7*(Assumptions!$B$8*(N71)*Assumptions!$B$9+Assumptions!$B$10))+(D71)*Assumptions!$B$11*(N71)+(L71)*AC71*(Assumptions!$B$12+Assumptions!$B$13+IF((L71)*AC71&gt;=Assumptions!$B$16,Assumptions!$B$17,IF((L71)*AC71&gt;=Assumptions!$B$14,Assumptions!$B$15,0))))</f>
        <v>-989018.4325</v>
      </c>
      <c r="AE71" s="46" t="n">
        <f aca="false">(INDEX(Assumptions!$B$36:$B$48,MATCH(AK71,Assumptions!$A$36:$A$48,0))+IF(I71="Yes",Assumptions!$B$23,0)+IF(J71="Yes",Assumptions!$B$24,0))*(1+Assumptions!$B$29)</f>
        <v>1540</v>
      </c>
      <c r="AF71" s="47" t="n">
        <f aca="false">(L71)*AE71-(((D71)+(L71)*Assumptions!$B$4+IF(H71="Yes",Assumptions!$B$6*(D71),(L71)*Assumptions!$B$5))*(1+Assumptions!$B$7*(Assumptions!$B$8*(N71)*Assumptions!$B$9+Assumptions!$B$10))+(D71)*Assumptions!$B$11*(N71)+(L71)*AE71*(Assumptions!$B$12+Assumptions!$B$13+IF((L71)*AE71&gt;=Assumptions!$B$16,Assumptions!$B$17,IF((L71)*AE71&gt;=Assumptions!$B$14,Assumptions!$B$15,0))))</f>
        <v>-723341.384499999</v>
      </c>
      <c r="AG71" s="46" t="n">
        <f aca="false">(INDEX(Assumptions!$B$36:$B$48,MATCH(AK71,Assumptions!$A$36:$A$48,0))+IF(I71="Yes",Assumptions!$B$23,0)+IF(J71="Yes",Assumptions!$B$24,0))*(1+Assumptions!$B$30)</f>
        <v>1680</v>
      </c>
      <c r="AH71" s="47" t="n">
        <f aca="false">(L71)*AG71-(((D71)+(L71)*Assumptions!$B$4+IF(H71="Yes",Assumptions!$B$6*(D71),(L71)*Assumptions!$B$5))*(1+Assumptions!$B$7*(Assumptions!$B$8*(N71)*Assumptions!$B$9+Assumptions!$B$10))+(D71)*Assumptions!$B$11*(N71)+(L71)*AG71*(Assumptions!$B$12+Assumptions!$B$13+IF((L71)*AG71&gt;=Assumptions!$B$16,Assumptions!$B$17,IF((L71)*AG71&gt;=Assumptions!$B$14,Assumptions!$B$15,0))))</f>
        <v>-457664.3365</v>
      </c>
      <c r="AI71" s="47" t="n">
        <f aca="false">(L71)*AE71-(((D71)+(L71)*Assumptions!$B$25+IF(H71="Yes",Assumptions!$B$6*(D71),(L71)*Assumptions!$B$5))*(1+Assumptions!$B$7*(Assumptions!$B$8*(N71)*Assumptions!$B$9+Assumptions!$B$10))+(D71)*Assumptions!$B$11*(N71)+(L71)*AE71*(Assumptions!$B$12+Assumptions!$B$13+IF((L71)*AE71&gt;=Assumptions!$B$16,Assumptions!$B$17,IF((L71)*AE71&gt;=Assumptions!$B$14,Assumptions!$B$15,0))))</f>
        <v>-611905.8095</v>
      </c>
      <c r="AJ71" s="47" t="n">
        <f aca="false">(L71)*AE71-(((D71)+(L71)*Assumptions!$B$26+IF(H71="Yes",Assumptions!$B$6*(D71),(L71)*Assumptions!$B$5))*(1+Assumptions!$B$7*(Assumptions!$B$8*(N71)*Assumptions!$B$9+Assumptions!$B$10))+(D71)*Assumptions!$B$11*(N71)+(L71)*AE71*(Assumptions!$B$12+Assumptions!$B$13+IF((L71)*AE71&gt;=Assumptions!$B$16,Assumptions!$B$17,IF((L71)*AE71&gt;=Assumptions!$B$14,Assumptions!$B$15,0))))</f>
        <v>-500470.234499999</v>
      </c>
      <c r="AK71" s="40" t="s">
        <v>77</v>
      </c>
      <c r="AL71" s="45" t="n">
        <f aca="false">IF(G71&gt;0,G71,ROUND(F71*Assumptions!$B$18,0))</f>
        <v>1388</v>
      </c>
      <c r="AM71" s="45" t="n">
        <f aca="false">IF(H71="Yes",AL71,MAX(AL71,MIN(Assumptions!$B$20,ROUND(E71*Assumptions!$B$19,0))))</f>
        <v>1978</v>
      </c>
      <c r="AN71" s="47" t="n">
        <f aca="false">(AL71)*AE71-(((D71)+(AL71)*Assumptions!$B$4+IF(H71="Yes",Assumptions!$B$6*(D71),(AL71)*Assumptions!$B$5))*(1+Assumptions!$B$7*(Assumptions!$B$8*(Assumptions!$B$21)*Assumptions!$B$9+Assumptions!$B$10))+(D71)*Assumptions!$B$11*(Assumptions!$B$21)+(AL71)*AE71*(Assumptions!$B$12+Assumptions!$B$13+IF((AL71)*AE71&gt;=Assumptions!$B$16,Assumptions!$B$17,IF((AL71)*AE71&gt;=Assumptions!$B$14,Assumptions!$B$15,0))))</f>
        <v>-953743.486999999</v>
      </c>
      <c r="AO71" s="47" t="n">
        <f aca="false">(AM71)*AE71-(((D71)+(AM71)*Assumptions!$B$4+IF(H71="Yes",Assumptions!$B$6*(D71),(AM71)*Assumptions!$B$5))*(1+Assumptions!$B$7*(Assumptions!$B$8*(IF(AM71&gt;AL71,Assumptions!$B$22,Assumptions!$B$21))*Assumptions!$B$9+Assumptions!$B$10))+(D71)*Assumptions!$B$11*(IF(AM71&gt;AL71,Assumptions!$B$22,Assumptions!$B$21))+(AM71)*AE71*(Assumptions!$B$12+Assumptions!$B$13+IF((AM71)*AE71&gt;=Assumptions!$B$16,Assumptions!$B$17,IF((AM71)*AE71&gt;=Assumptions!$B$14,Assumptions!$B$15,0))))</f>
        <v>-723341.384499999</v>
      </c>
      <c r="AP71" s="47" t="n">
        <f aca="false">Assumptions!$B$7*(Q71+R71+S71)</f>
        <v>2068917.5</v>
      </c>
    </row>
    <row r="72" customFormat="false" ht="15" hidden="false" customHeight="false" outlineLevel="0" collapsed="false">
      <c r="A72" s="40" t="n">
        <v>70</v>
      </c>
      <c r="B72" s="40" t="s">
        <v>197</v>
      </c>
      <c r="C72" s="40" t="s">
        <v>102</v>
      </c>
      <c r="D72" s="41" t="n">
        <v>2000000</v>
      </c>
      <c r="E72" s="42" t="n">
        <v>9239</v>
      </c>
      <c r="F72" s="42" t="n">
        <v>1873</v>
      </c>
      <c r="G72" s="42"/>
      <c r="H72" s="43" t="s">
        <v>71</v>
      </c>
      <c r="I72" s="43" t="s">
        <v>71</v>
      </c>
      <c r="J72" s="43" t="s">
        <v>71</v>
      </c>
      <c r="K72" s="44" t="s">
        <v>198</v>
      </c>
      <c r="L72" s="45" t="n">
        <f aca="false">IF(AO72&gt;AN72,AM72,AL72)</f>
        <v>3696</v>
      </c>
      <c r="M72" s="40" t="str">
        <f aca="false">IF(AO72&gt;AN72,"Zoning estimate",IF(H72="Yes","Approved plans",IF(G72&gt;0,"Listing claim","110% old house")))</f>
        <v>Zoning estimate</v>
      </c>
      <c r="N72" s="45" t="n">
        <f aca="false">IF(AO72&gt;AN72,IF(AM72&gt;AL72,Assumptions!$B$22,Assumptions!$B$21),Assumptions!$B$21)</f>
        <v>3</v>
      </c>
      <c r="O72" s="46" t="n">
        <f aca="false">(INDEX(Assumptions!$B$36:$B$48,MATCH(AK72,Assumptions!$A$36:$A$48,0))+IF(I72="Yes",Assumptions!$B$23,0)+IF(J72="Yes",Assumptions!$B$24,0))*(1+IF(UPPER(Assumptions!$B$31)="WORST",Assumptions!$B$28,IF(UPPER(Assumptions!$B$31)="BEST",Assumptions!$B$30,Assumptions!$B$29)))</f>
        <v>1375</v>
      </c>
      <c r="P72" s="47" t="n">
        <f aca="false">L72*O72</f>
        <v>5082000</v>
      </c>
      <c r="Q72" s="47" t="n">
        <f aca="false">D72</f>
        <v>2000000</v>
      </c>
      <c r="R72" s="47" t="n">
        <f aca="false">L72*Assumptions!$B$4</f>
        <v>2587200</v>
      </c>
      <c r="S72" s="47" t="n">
        <f aca="false">IF(H72="Yes",Assumptions!$B$6*(D72),(L72)*Assumptions!$B$5)</f>
        <v>277200</v>
      </c>
      <c r="T72" s="47" t="n">
        <f aca="false">AP72*(Assumptions!$B$8*N72*Assumptions!$B$9+Assumptions!$B$10)</f>
        <v>616562.7</v>
      </c>
      <c r="U72" s="47" t="n">
        <f aca="false">Q72*Assumptions!$B$11*N72</f>
        <v>72000</v>
      </c>
      <c r="V72" s="47" t="n">
        <f aca="false">P72*(Assumptions!$B$12+Assumptions!$B$13)</f>
        <v>206329.2</v>
      </c>
      <c r="W72" s="47" t="n">
        <f aca="false">P72*IF(P72&gt;=Assumptions!$B$16,Assumptions!$B$17,IF(P72&gt;=Assumptions!$B$14,Assumptions!$B$15,0))</f>
        <v>0</v>
      </c>
      <c r="X72" s="48" t="n">
        <f aca="false">SUM(Q72:W72)</f>
        <v>5759291.9</v>
      </c>
      <c r="Y72" s="48" t="n">
        <f aca="false">P72-X72</f>
        <v>-677291.9</v>
      </c>
      <c r="Z72" s="49" t="n">
        <f aca="false">IF(X72=0,0,Y72/X72)</f>
        <v>-0.11759985632956</v>
      </c>
      <c r="AA72" s="47" t="n">
        <f aca="false">MAX(0,(P72/(1+Assumptions!$B$27)-(L72*(Assumptions!$B$4+IF(H72="Yes",0,Assumptions!$B$5)))*(1+(Assumptions!$B$7*(Assumptions!$B$8*N72*Assumptions!$B$9+Assumptions!$B$10)))-P72*(Assumptions!$B$12+Assumptions!$B$13+IF(P72&gt;=Assumptions!$B$16,Assumptions!$B$17,IF(P72&gt;=Assumptions!$B$14,Assumptions!$B$15,0))))/((1+IF(H72="Yes",Assumptions!$B$6,0))*(1+(Assumptions!$B$7*(Assumptions!$B$8*N72*Assumptions!$B$9+Assumptions!$B$10)))+Assumptions!$B$11*N72))</f>
        <v>847420.799641032</v>
      </c>
      <c r="AB72" s="50" t="n">
        <f aca="false">IF(AA72&lt;=0,"no price works",D72/AA72)</f>
        <v>2.36010256161662</v>
      </c>
      <c r="AC72" s="46" t="n">
        <f aca="false">(INDEX(Assumptions!$B$36:$B$48,MATCH(AK72,Assumptions!$A$36:$A$48,0))+IF(I72="Yes",Assumptions!$B$23,0)+IF(J72="Yes",Assumptions!$B$24,0))*(1+Assumptions!$B$28)</f>
        <v>1250</v>
      </c>
      <c r="AD72" s="47" t="n">
        <f aca="false">(L72)*AC72-(((D72)+(L72)*Assumptions!$B$4+IF(H72="Yes",Assumptions!$B$6*(D72),(L72)*Assumptions!$B$5))*(1+Assumptions!$B$7*(Assumptions!$B$8*(N72)*Assumptions!$B$9+Assumptions!$B$10))+(D72)*Assumptions!$B$11*(N72)+(L72)*AC72*(Assumptions!$B$12+Assumptions!$B$13+IF((L72)*AC72&gt;=Assumptions!$B$16,Assumptions!$B$17,IF((L72)*AC72&gt;=Assumptions!$B$14,Assumptions!$B$15,0))))</f>
        <v>-1120534.7</v>
      </c>
      <c r="AE72" s="46" t="n">
        <f aca="false">(INDEX(Assumptions!$B$36:$B$48,MATCH(AK72,Assumptions!$A$36:$A$48,0))+IF(I72="Yes",Assumptions!$B$23,0)+IF(J72="Yes",Assumptions!$B$24,0))*(1+Assumptions!$B$29)</f>
        <v>1375</v>
      </c>
      <c r="AF72" s="47" t="n">
        <f aca="false">(L72)*AE72-(((D72)+(L72)*Assumptions!$B$4+IF(H72="Yes",Assumptions!$B$6*(D72),(L72)*Assumptions!$B$5))*(1+Assumptions!$B$7*(Assumptions!$B$8*(N72)*Assumptions!$B$9+Assumptions!$B$10))+(D72)*Assumptions!$B$11*(N72)+(L72)*AE72*(Assumptions!$B$12+Assumptions!$B$13+IF((L72)*AE72&gt;=Assumptions!$B$16,Assumptions!$B$17,IF((L72)*AE72&gt;=Assumptions!$B$14,Assumptions!$B$15,0))))</f>
        <v>-677291.899999999</v>
      </c>
      <c r="AG72" s="46" t="n">
        <f aca="false">(INDEX(Assumptions!$B$36:$B$48,MATCH(AK72,Assumptions!$A$36:$A$48,0))+IF(I72="Yes",Assumptions!$B$23,0)+IF(J72="Yes",Assumptions!$B$24,0))*(1+Assumptions!$B$30)</f>
        <v>1500</v>
      </c>
      <c r="AH72" s="47" t="n">
        <f aca="false">(L72)*AG72-(((D72)+(L72)*Assumptions!$B$4+IF(H72="Yes",Assumptions!$B$6*(D72),(L72)*Assumptions!$B$5))*(1+Assumptions!$B$7*(Assumptions!$B$8*(N72)*Assumptions!$B$9+Assumptions!$B$10))+(D72)*Assumptions!$B$11*(N72)+(L72)*AG72*(Assumptions!$B$12+Assumptions!$B$13+IF((L72)*AG72&gt;=Assumptions!$B$16,Assumptions!$B$17,IF((L72)*AG72&gt;=Assumptions!$B$14,Assumptions!$B$15,0))))</f>
        <v>-455809.1</v>
      </c>
      <c r="AI72" s="47" t="n">
        <f aca="false">(L72)*AE72-(((D72)+(L72)*Assumptions!$B$25+IF(H72="Yes",Assumptions!$B$6*(D72),(L72)*Assumptions!$B$5))*(1+Assumptions!$B$7*(Assumptions!$B$8*(N72)*Assumptions!$B$9+Assumptions!$B$10))+(D72)*Assumptions!$B$11*(N72)+(L72)*AE72*(Assumptions!$B$12+Assumptions!$B$13+IF((L72)*AE72&gt;=Assumptions!$B$16,Assumptions!$B$17,IF((L72)*AE72&gt;=Assumptions!$B$14,Assumptions!$B$15,0))))</f>
        <v>-469068.5</v>
      </c>
      <c r="AJ72" s="47" t="n">
        <f aca="false">(L72)*AE72-(((D72)+(L72)*Assumptions!$B$26+IF(H72="Yes",Assumptions!$B$6*(D72),(L72)*Assumptions!$B$5))*(1+Assumptions!$B$7*(Assumptions!$B$8*(N72)*Assumptions!$B$9+Assumptions!$B$10))+(D72)*Assumptions!$B$11*(N72)+(L72)*AE72*(Assumptions!$B$12+Assumptions!$B$13+IF((L72)*AE72&gt;=Assumptions!$B$16,Assumptions!$B$17,IF((L72)*AE72&gt;=Assumptions!$B$14,Assumptions!$B$15,0))))</f>
        <v>-260845.1</v>
      </c>
      <c r="AK72" s="40" t="s">
        <v>104</v>
      </c>
      <c r="AL72" s="45" t="n">
        <f aca="false">IF(G72&gt;0,G72,ROUND(F72*Assumptions!$B$18,0))</f>
        <v>2060</v>
      </c>
      <c r="AM72" s="45" t="n">
        <f aca="false">IF(H72="Yes",AL72,MAX(AL72,MIN(Assumptions!$B$20,ROUND(E72*Assumptions!$B$19,0))))</f>
        <v>3696</v>
      </c>
      <c r="AN72" s="47" t="n">
        <f aca="false">(AL72)*AE72-(((D72)+(AL72)*Assumptions!$B$4+IF(H72="Yes",Assumptions!$B$6*(D72),(AL72)*Assumptions!$B$5))*(1+Assumptions!$B$7*(Assumptions!$B$8*(Assumptions!$B$21)*Assumptions!$B$9+Assumptions!$B$10))+(D72)*Assumptions!$B$11*(Assumptions!$B$21)+(AL72)*AE72*(Assumptions!$B$12+Assumptions!$B$13+IF((AL72)*AE72&gt;=Assumptions!$B$16,Assumptions!$B$17,IF((AL72)*AE72&gt;=Assumptions!$B$14,Assumptions!$B$15,0))))</f>
        <v>-1242592.375</v>
      </c>
      <c r="AO72" s="47" t="n">
        <f aca="false">(AM72)*AE72-(((D72)+(AM72)*Assumptions!$B$4+IF(H72="Yes",Assumptions!$B$6*(D72),(AM72)*Assumptions!$B$5))*(1+Assumptions!$B$7*(Assumptions!$B$8*(IF(AM72&gt;AL72,Assumptions!$B$22,Assumptions!$B$21))*Assumptions!$B$9+Assumptions!$B$10))+(D72)*Assumptions!$B$11*(IF(AM72&gt;AL72,Assumptions!$B$22,Assumptions!$B$21))+(AM72)*AE72*(Assumptions!$B$12+Assumptions!$B$13+IF((AM72)*AE72&gt;=Assumptions!$B$16,Assumptions!$B$17,IF((AM72)*AE72&gt;=Assumptions!$B$14,Assumptions!$B$15,0))))</f>
        <v>-677291.899999999</v>
      </c>
      <c r="AP72" s="47" t="n">
        <f aca="false">Assumptions!$B$7*(Q72+R72+S72)</f>
        <v>3161860</v>
      </c>
    </row>
    <row r="73" customFormat="false" ht="15" hidden="false" customHeight="false" outlineLevel="0" collapsed="false">
      <c r="A73" s="40" t="n">
        <v>71</v>
      </c>
      <c r="B73" s="40" t="s">
        <v>199</v>
      </c>
      <c r="C73" s="40" t="s">
        <v>109</v>
      </c>
      <c r="D73" s="41" t="n">
        <v>2050000</v>
      </c>
      <c r="E73" s="42" t="n">
        <v>12083</v>
      </c>
      <c r="F73" s="42" t="n">
        <v>2647</v>
      </c>
      <c r="G73" s="42"/>
      <c r="H73" s="43" t="s">
        <v>71</v>
      </c>
      <c r="I73" s="43" t="s">
        <v>71</v>
      </c>
      <c r="J73" s="43" t="s">
        <v>71</v>
      </c>
      <c r="K73" s="44"/>
      <c r="L73" s="45" t="n">
        <f aca="false">IF(AO73&gt;AN73,AM73,AL73)</f>
        <v>4833</v>
      </c>
      <c r="M73" s="40" t="str">
        <f aca="false">IF(AO73&gt;AN73,"Zoning estimate",IF(H73="Yes","Approved plans",IF(G73&gt;0,"Listing claim","110% old house")))</f>
        <v>Zoning estimate</v>
      </c>
      <c r="N73" s="45" t="n">
        <f aca="false">IF(AO73&gt;AN73,IF(AM73&gt;AL73,Assumptions!$B$22,Assumptions!$B$21),Assumptions!$B$21)</f>
        <v>3</v>
      </c>
      <c r="O73" s="46" t="n">
        <f aca="false">(INDEX(Assumptions!$B$36:$B$48,MATCH(AK73,Assumptions!$A$36:$A$48,0))+IF(I73="Yes",Assumptions!$B$23,0)+IF(J73="Yes",Assumptions!$B$24,0))*(1+IF(UPPER(Assumptions!$B$31)="WORST",Assumptions!$B$28,IF(UPPER(Assumptions!$B$31)="BEST",Assumptions!$B$30,Assumptions!$B$29)))</f>
        <v>1375</v>
      </c>
      <c r="P73" s="47" t="n">
        <f aca="false">L73*O73</f>
        <v>6645375</v>
      </c>
      <c r="Q73" s="47" t="n">
        <f aca="false">D73</f>
        <v>2050000</v>
      </c>
      <c r="R73" s="47" t="n">
        <f aca="false">L73*Assumptions!$B$4</f>
        <v>3383100</v>
      </c>
      <c r="S73" s="47" t="n">
        <f aca="false">IF(H73="Yes",Assumptions!$B$6*(D73),(L73)*Assumptions!$B$5)</f>
        <v>362475</v>
      </c>
      <c r="T73" s="47" t="n">
        <f aca="false">AP73*(Assumptions!$B$8*N73*Assumptions!$B$9+Assumptions!$B$10)</f>
        <v>734589.13125</v>
      </c>
      <c r="U73" s="47" t="n">
        <f aca="false">Q73*Assumptions!$B$11*N73</f>
        <v>73800</v>
      </c>
      <c r="V73" s="47" t="n">
        <f aca="false">P73*(Assumptions!$B$12+Assumptions!$B$13)</f>
        <v>269802.225</v>
      </c>
      <c r="W73" s="47" t="n">
        <f aca="false">P73*IF(P73&gt;=Assumptions!$B$16,Assumptions!$B$17,IF(P73&gt;=Assumptions!$B$14,Assumptions!$B$15,0))</f>
        <v>265815</v>
      </c>
      <c r="X73" s="48" t="n">
        <f aca="false">SUM(Q73:W73)</f>
        <v>7139581.35625</v>
      </c>
      <c r="Y73" s="48" t="n">
        <f aca="false">P73-X73</f>
        <v>-494206.35625</v>
      </c>
      <c r="Z73" s="49" t="n">
        <f aca="false">IF(X73=0,0,Y73/X73)</f>
        <v>-0.0692206351591429</v>
      </c>
      <c r="AA73" s="47" t="n">
        <f aca="false">MAX(0,(P73/(1+Assumptions!$B$27)-(L73*(Assumptions!$B$4+IF(H73="Yes",0,Assumptions!$B$5)))*(1+(Assumptions!$B$7*(Assumptions!$B$8*N73*Assumptions!$B$9+Assumptions!$B$10)))-P73*(Assumptions!$B$12+Assumptions!$B$13+IF(P73&gt;=Assumptions!$B$16,Assumptions!$B$17,IF(P73&gt;=Assumptions!$B$14,Assumptions!$B$15,0))))/((1+IF(H73="Yes",Assumptions!$B$6,0))*(1+(Assumptions!$B$7*(Assumptions!$B$8*N73*Assumptions!$B$9+Assumptions!$B$10)))+Assumptions!$B$11*N73))</f>
        <v>879503.848868407</v>
      </c>
      <c r="AB73" s="50" t="n">
        <f aca="false">IF(AA73&lt;=0,"no price works",D73/AA73)</f>
        <v>2.33085961208423</v>
      </c>
      <c r="AC73" s="46" t="n">
        <f aca="false">(INDEX(Assumptions!$B$36:$B$48,MATCH(AK73,Assumptions!$A$36:$A$48,0))+IF(I73="Yes",Assumptions!$B$23,0)+IF(J73="Yes",Assumptions!$B$24,0))*(1+Assumptions!$B$28)</f>
        <v>1250</v>
      </c>
      <c r="AD73" s="47" t="n">
        <f aca="false">(L73)*AC73-(((D73)+(L73)*Assumptions!$B$4+IF(H73="Yes",Assumptions!$B$6*(D73),(L73)*Assumptions!$B$5))*(1+Assumptions!$B$7*(Assumptions!$B$8*(N73)*Assumptions!$B$9+Assumptions!$B$10))+(D73)*Assumptions!$B$11*(N73)+(L73)*AC73*(Assumptions!$B$12+Assumptions!$B$13+IF((L73)*AC73&gt;=Assumptions!$B$16,Assumptions!$B$17,IF((L73)*AC73&gt;=Assumptions!$B$14,Assumptions!$B$15,0))))</f>
        <v>-1049638.88125</v>
      </c>
      <c r="AE73" s="46" t="n">
        <f aca="false">(INDEX(Assumptions!$B$36:$B$48,MATCH(AK73,Assumptions!$A$36:$A$48,0))+IF(I73="Yes",Assumptions!$B$23,0)+IF(J73="Yes",Assumptions!$B$24,0))*(1+Assumptions!$B$29)</f>
        <v>1375</v>
      </c>
      <c r="AF73" s="47" t="n">
        <f aca="false">(L73)*AE73-(((D73)+(L73)*Assumptions!$B$4+IF(H73="Yes",Assumptions!$B$6*(D73),(L73)*Assumptions!$B$5))*(1+Assumptions!$B$7*(Assumptions!$B$8*(N73)*Assumptions!$B$9+Assumptions!$B$10))+(D73)*Assumptions!$B$11*(N73)+(L73)*AE73*(Assumptions!$B$12+Assumptions!$B$13+IF((L73)*AE73&gt;=Assumptions!$B$16,Assumptions!$B$17,IF((L73)*AE73&gt;=Assumptions!$B$14,Assumptions!$B$15,0))))</f>
        <v>-494206.356249999</v>
      </c>
      <c r="AG73" s="46" t="n">
        <f aca="false">(INDEX(Assumptions!$B$36:$B$48,MATCH(AK73,Assumptions!$A$36:$A$48,0))+IF(I73="Yes",Assumptions!$B$23,0)+IF(J73="Yes",Assumptions!$B$24,0))*(1+Assumptions!$B$30)</f>
        <v>1500</v>
      </c>
      <c r="AH73" s="47" t="n">
        <f aca="false">(L73)*AG73-(((D73)+(L73)*Assumptions!$B$4+IF(H73="Yes",Assumptions!$B$6*(D73),(L73)*Assumptions!$B$5))*(1+Assumptions!$B$7*(Assumptions!$B$8*(N73)*Assumptions!$B$9+Assumptions!$B$10))+(D73)*Assumptions!$B$11*(N73)+(L73)*AG73*(Assumptions!$B$12+Assumptions!$B$13+IF((L73)*AG73&gt;=Assumptions!$B$16,Assumptions!$B$17,IF((L73)*AG73&gt;=Assumptions!$B$14,Assumptions!$B$15,0))))</f>
        <v>61226.1687500002</v>
      </c>
      <c r="AI73" s="47" t="n">
        <f aca="false">(L73)*AE73-(((D73)+(L73)*Assumptions!$B$25+IF(H73="Yes",Assumptions!$B$6*(D73),(L73)*Assumptions!$B$5))*(1+Assumptions!$B$7*(Assumptions!$B$8*(N73)*Assumptions!$B$9+Assumptions!$B$10))+(D73)*Assumptions!$B$11*(N73)+(L73)*AE73*(Assumptions!$B$12+Assumptions!$B$13+IF((L73)*AE73&gt;=Assumptions!$B$16,Assumptions!$B$17,IF((L73)*AE73&gt;=Assumptions!$B$14,Assumptions!$B$15,0))))</f>
        <v>-221927.218749999</v>
      </c>
      <c r="AJ73" s="47" t="n">
        <f aca="false">(L73)*AE73-(((D73)+(L73)*Assumptions!$B$26+IF(H73="Yes",Assumptions!$B$6*(D73),(L73)*Assumptions!$B$5))*(1+Assumptions!$B$7*(Assumptions!$B$8*(N73)*Assumptions!$B$9+Assumptions!$B$10))+(D73)*Assumptions!$B$11*(N73)+(L73)*AE73*(Assumptions!$B$12+Assumptions!$B$13+IF((L73)*AE73&gt;=Assumptions!$B$16,Assumptions!$B$17,IF((L73)*AE73&gt;=Assumptions!$B$14,Assumptions!$B$15,0))))</f>
        <v>50351.9187500011</v>
      </c>
      <c r="AK73" s="40" t="s">
        <v>111</v>
      </c>
      <c r="AL73" s="45" t="n">
        <f aca="false">IF(G73&gt;0,G73,ROUND(F73*Assumptions!$B$18,0))</f>
        <v>2912</v>
      </c>
      <c r="AM73" s="45" t="n">
        <f aca="false">IF(H73="Yes",AL73,MAX(AL73,MIN(Assumptions!$B$20,ROUND(E73*Assumptions!$B$19,0))))</f>
        <v>4833</v>
      </c>
      <c r="AN73" s="47" t="n">
        <f aca="false">(AL73)*AE73-(((D73)+(AL73)*Assumptions!$B$4+IF(H73="Yes",Assumptions!$B$6*(D73),(AL73)*Assumptions!$B$5))*(1+Assumptions!$B$7*(Assumptions!$B$8*(Assumptions!$B$21)*Assumptions!$B$9+Assumptions!$B$10))+(D73)*Assumptions!$B$11*(Assumptions!$B$21)+(AL73)*AE73*(Assumptions!$B$12+Assumptions!$B$13+IF((AL73)*AE73&gt;=Assumptions!$B$16,Assumptions!$B$17,IF((AL73)*AE73&gt;=Assumptions!$B$14,Assumptions!$B$15,0))))</f>
        <v>-892484.100000001</v>
      </c>
      <c r="AO73" s="47" t="n">
        <f aca="false">(AM73)*AE73-(((D73)+(AM73)*Assumptions!$B$4+IF(H73="Yes",Assumptions!$B$6*(D73),(AM73)*Assumptions!$B$5))*(1+Assumptions!$B$7*(Assumptions!$B$8*(IF(AM73&gt;AL73,Assumptions!$B$22,Assumptions!$B$21))*Assumptions!$B$9+Assumptions!$B$10))+(D73)*Assumptions!$B$11*(IF(AM73&gt;AL73,Assumptions!$B$22,Assumptions!$B$21))+(AM73)*AE73*(Assumptions!$B$12+Assumptions!$B$13+IF((AM73)*AE73&gt;=Assumptions!$B$16,Assumptions!$B$17,IF((AM73)*AE73&gt;=Assumptions!$B$14,Assumptions!$B$15,0))))</f>
        <v>-494206.356249999</v>
      </c>
      <c r="AP73" s="47" t="n">
        <f aca="false">Assumptions!$B$7*(Q73+R73+S73)</f>
        <v>3767123.75</v>
      </c>
    </row>
    <row r="74" customFormat="false" ht="15" hidden="false" customHeight="false" outlineLevel="0" collapsed="false">
      <c r="A74" s="40" t="n">
        <v>72</v>
      </c>
      <c r="B74" s="40" t="s">
        <v>200</v>
      </c>
      <c r="C74" s="40" t="s">
        <v>117</v>
      </c>
      <c r="D74" s="41" t="n">
        <v>2395000</v>
      </c>
      <c r="E74" s="42" t="n">
        <v>7042</v>
      </c>
      <c r="F74" s="42" t="n">
        <v>1713</v>
      </c>
      <c r="G74" s="42"/>
      <c r="H74" s="43" t="s">
        <v>71</v>
      </c>
      <c r="I74" s="43" t="s">
        <v>80</v>
      </c>
      <c r="J74" s="43" t="s">
        <v>71</v>
      </c>
      <c r="K74" s="44"/>
      <c r="L74" s="45" t="n">
        <f aca="false">IF(AO74&gt;AN74,AM74,AL74)</f>
        <v>2817</v>
      </c>
      <c r="M74" s="40" t="str">
        <f aca="false">IF(AO74&gt;AN74,"Zoning estimate",IF(H74="Yes","Approved plans",IF(G74&gt;0,"Listing claim","110% old house")))</f>
        <v>Zoning estimate</v>
      </c>
      <c r="N74" s="45" t="n">
        <f aca="false">IF(AO74&gt;AN74,IF(AM74&gt;AL74,Assumptions!$B$22,Assumptions!$B$21),Assumptions!$B$21)</f>
        <v>3</v>
      </c>
      <c r="O74" s="46" t="n">
        <f aca="false">(INDEX(Assumptions!$B$36:$B$48,MATCH(AK74,Assumptions!$A$36:$A$48,0))+IF(I74="Yes",Assumptions!$B$23,0)+IF(J74="Yes",Assumptions!$B$24,0))*(1+IF(UPPER(Assumptions!$B$31)="WORST",Assumptions!$B$28,IF(UPPER(Assumptions!$B$31)="BEST",Assumptions!$B$30,Assumptions!$B$29)))</f>
        <v>1650</v>
      </c>
      <c r="P74" s="47" t="n">
        <f aca="false">L74*O74</f>
        <v>4648050</v>
      </c>
      <c r="Q74" s="47" t="n">
        <f aca="false">D74</f>
        <v>2395000</v>
      </c>
      <c r="R74" s="47" t="n">
        <f aca="false">L74*Assumptions!$B$4</f>
        <v>1971900</v>
      </c>
      <c r="S74" s="47" t="n">
        <f aca="false">IF(H74="Yes",Assumptions!$B$6*(D74),(L74)*Assumptions!$B$5)</f>
        <v>211275</v>
      </c>
      <c r="T74" s="47" t="n">
        <f aca="false">AP74*(Assumptions!$B$8*N74*Assumptions!$B$9+Assumptions!$B$10)</f>
        <v>580283.68125</v>
      </c>
      <c r="U74" s="47" t="n">
        <f aca="false">Q74*Assumptions!$B$11*N74</f>
        <v>86220</v>
      </c>
      <c r="V74" s="47" t="n">
        <f aca="false">P74*(Assumptions!$B$12+Assumptions!$B$13)</f>
        <v>188710.83</v>
      </c>
      <c r="W74" s="47" t="n">
        <f aca="false">P74*IF(P74&gt;=Assumptions!$B$16,Assumptions!$B$17,IF(P74&gt;=Assumptions!$B$14,Assumptions!$B$15,0))</f>
        <v>0</v>
      </c>
      <c r="X74" s="48" t="n">
        <f aca="false">SUM(Q74:W74)</f>
        <v>5433389.51125</v>
      </c>
      <c r="Y74" s="48" t="n">
        <f aca="false">P74-X74</f>
        <v>-785339.51125</v>
      </c>
      <c r="Z74" s="49" t="n">
        <f aca="false">IF(X74=0,0,Y74/X74)</f>
        <v>-0.144539519875012</v>
      </c>
      <c r="AA74" s="47" t="n">
        <f aca="false">MAX(0,(P74/(1+Assumptions!$B$27)-(L74*(Assumptions!$B$4+IF(H74="Yes",0,Assumptions!$B$5)))*(1+(Assumptions!$B$7*(Assumptions!$B$8*N74*Assumptions!$B$9+Assumptions!$B$10)))-P74*(Assumptions!$B$12+Assumptions!$B$13+IF(P74&gt;=Assumptions!$B$16,Assumptions!$B$17,IF(P74&gt;=Assumptions!$B$14,Assumptions!$B$15,0))))/((1+IF(H74="Yes",Assumptions!$B$6,0))*(1+(Assumptions!$B$7*(Assumptions!$B$8*N74*Assumptions!$B$9+Assumptions!$B$10)))+Assumptions!$B$11*N74))</f>
        <v>1198176.17496939</v>
      </c>
      <c r="AB74" s="50" t="n">
        <f aca="false">IF(AA74&lt;=0,"no price works",D74/AA74)</f>
        <v>1.99887132629823</v>
      </c>
      <c r="AC74" s="46" t="n">
        <f aca="false">(INDEX(Assumptions!$B$36:$B$48,MATCH(AK74,Assumptions!$A$36:$A$48,0))+IF(I74="Yes",Assumptions!$B$23,0)+IF(J74="Yes",Assumptions!$B$24,0))*(1+Assumptions!$B$28)</f>
        <v>1500</v>
      </c>
      <c r="AD74" s="47" t="n">
        <f aca="false">(L74)*AC74-(((D74)+(L74)*Assumptions!$B$4+IF(H74="Yes",Assumptions!$B$6*(D74),(L74)*Assumptions!$B$5))*(1+Assumptions!$B$7*(Assumptions!$B$8*(N74)*Assumptions!$B$9+Assumptions!$B$10))+(D74)*Assumptions!$B$11*(N74)+(L74)*AC74*(Assumptions!$B$12+Assumptions!$B$13+IF((L74)*AC74&gt;=Assumptions!$B$16,Assumptions!$B$17,IF((L74)*AC74&gt;=Assumptions!$B$14,Assumptions!$B$15,0))))</f>
        <v>-1190733.98125</v>
      </c>
      <c r="AE74" s="46" t="n">
        <f aca="false">(INDEX(Assumptions!$B$36:$B$48,MATCH(AK74,Assumptions!$A$36:$A$48,0))+IF(I74="Yes",Assumptions!$B$23,0)+IF(J74="Yes",Assumptions!$B$24,0))*(1+Assumptions!$B$29)</f>
        <v>1650</v>
      </c>
      <c r="AF74" s="47" t="n">
        <f aca="false">(L74)*AE74-(((D74)+(L74)*Assumptions!$B$4+IF(H74="Yes",Assumptions!$B$6*(D74),(L74)*Assumptions!$B$5))*(1+Assumptions!$B$7*(Assumptions!$B$8*(N74)*Assumptions!$B$9+Assumptions!$B$10))+(D74)*Assumptions!$B$11*(N74)+(L74)*AE74*(Assumptions!$B$12+Assumptions!$B$13+IF((L74)*AE74&gt;=Assumptions!$B$16,Assumptions!$B$17,IF((L74)*AE74&gt;=Assumptions!$B$14,Assumptions!$B$15,0))))</f>
        <v>-785339.511249999</v>
      </c>
      <c r="AG74" s="46" t="n">
        <f aca="false">(INDEX(Assumptions!$B$36:$B$48,MATCH(AK74,Assumptions!$A$36:$A$48,0))+IF(I74="Yes",Assumptions!$B$23,0)+IF(J74="Yes",Assumptions!$B$24,0))*(1+Assumptions!$B$30)</f>
        <v>1800</v>
      </c>
      <c r="AH74" s="47" t="n">
        <f aca="false">(L74)*AG74-(((D74)+(L74)*Assumptions!$B$4+IF(H74="Yes",Assumptions!$B$6*(D74),(L74)*Assumptions!$B$5))*(1+Assumptions!$B$7*(Assumptions!$B$8*(N74)*Assumptions!$B$9+Assumptions!$B$10))+(D74)*Assumptions!$B$11*(N74)+(L74)*AG74*(Assumptions!$B$12+Assumptions!$B$13+IF((L74)*AG74&gt;=Assumptions!$B$16,Assumptions!$B$17,IF((L74)*AG74&gt;=Assumptions!$B$14,Assumptions!$B$15,0))))</f>
        <v>-379945.04125</v>
      </c>
      <c r="AI74" s="47" t="n">
        <f aca="false">(L74)*AE74-(((D74)+(L74)*Assumptions!$B$25+IF(H74="Yes",Assumptions!$B$6*(D74),(L74)*Assumptions!$B$5))*(1+Assumptions!$B$7*(Assumptions!$B$8*(N74)*Assumptions!$B$9+Assumptions!$B$10))+(D74)*Assumptions!$B$11*(N74)+(L74)*AE74*(Assumptions!$B$12+Assumptions!$B$13+IF((L74)*AE74&gt;=Assumptions!$B$16,Assumptions!$B$17,IF((L74)*AE74&gt;=Assumptions!$B$14,Assumptions!$B$15,0))))</f>
        <v>-626636.773749999</v>
      </c>
      <c r="AJ74" s="47" t="n">
        <f aca="false">(L74)*AE74-(((D74)+(L74)*Assumptions!$B$26+IF(H74="Yes",Assumptions!$B$6*(D74),(L74)*Assumptions!$B$5))*(1+Assumptions!$B$7*(Assumptions!$B$8*(N74)*Assumptions!$B$9+Assumptions!$B$10))+(D74)*Assumptions!$B$11*(N74)+(L74)*AE74*(Assumptions!$B$12+Assumptions!$B$13+IF((L74)*AE74&gt;=Assumptions!$B$16,Assumptions!$B$17,IF((L74)*AE74&gt;=Assumptions!$B$14,Assumptions!$B$15,0))))</f>
        <v>-467934.036249999</v>
      </c>
      <c r="AK74" s="40" t="s">
        <v>119</v>
      </c>
      <c r="AL74" s="45" t="n">
        <f aca="false">IF(G74&gt;0,G74,ROUND(F74*Assumptions!$B$18,0))</f>
        <v>1884</v>
      </c>
      <c r="AM74" s="45" t="n">
        <f aca="false">IF(H74="Yes",AL74,MAX(AL74,MIN(Assumptions!$B$20,ROUND(E74*Assumptions!$B$19,0))))</f>
        <v>2817</v>
      </c>
      <c r="AN74" s="47" t="n">
        <f aca="false">(AL74)*AE74-(((D74)+(AL74)*Assumptions!$B$4+IF(H74="Yes",Assumptions!$B$6*(D74),(AL74)*Assumptions!$B$5))*(1+Assumptions!$B$7*(Assumptions!$B$8*(Assumptions!$B$21)*Assumptions!$B$9+Assumptions!$B$10))+(D74)*Assumptions!$B$11*(Assumptions!$B$21)+(AL74)*AE74*(Assumptions!$B$12+Assumptions!$B$13+IF((AL74)*AE74&gt;=Assumptions!$B$16,Assumptions!$B$17,IF((AL74)*AE74&gt;=Assumptions!$B$14,Assumptions!$B$15,0))))</f>
        <v>-1268474.185</v>
      </c>
      <c r="AO74" s="47" t="n">
        <f aca="false">(AM74)*AE74-(((D74)+(AM74)*Assumptions!$B$4+IF(H74="Yes",Assumptions!$B$6*(D74),(AM74)*Assumptions!$B$5))*(1+Assumptions!$B$7*(Assumptions!$B$8*(IF(AM74&gt;AL74,Assumptions!$B$22,Assumptions!$B$21))*Assumptions!$B$9+Assumptions!$B$10))+(D74)*Assumptions!$B$11*(IF(AM74&gt;AL74,Assumptions!$B$22,Assumptions!$B$21))+(AM74)*AE74*(Assumptions!$B$12+Assumptions!$B$13+IF((AM74)*AE74&gt;=Assumptions!$B$16,Assumptions!$B$17,IF((AM74)*AE74&gt;=Assumptions!$B$14,Assumptions!$B$15,0))))</f>
        <v>-785339.511249999</v>
      </c>
      <c r="AP74" s="47" t="n">
        <f aca="false">Assumptions!$B$7*(Q74+R74+S74)</f>
        <v>2975813.75</v>
      </c>
    </row>
    <row r="75" customFormat="false" ht="15" hidden="false" customHeight="false" outlineLevel="0" collapsed="false">
      <c r="A75" s="40" t="n">
        <v>73</v>
      </c>
      <c r="B75" s="40" t="s">
        <v>201</v>
      </c>
      <c r="C75" s="40" t="s">
        <v>202</v>
      </c>
      <c r="D75" s="41" t="n">
        <v>2759000</v>
      </c>
      <c r="E75" s="42" t="n">
        <v>21980</v>
      </c>
      <c r="F75" s="42" t="n">
        <v>2142</v>
      </c>
      <c r="G75" s="42"/>
      <c r="H75" s="43" t="s">
        <v>71</v>
      </c>
      <c r="I75" s="43" t="s">
        <v>80</v>
      </c>
      <c r="J75" s="43" t="s">
        <v>80</v>
      </c>
      <c r="K75" s="44"/>
      <c r="L75" s="45" t="n">
        <f aca="false">IF(AO75&gt;AN75,AM75,AL75)</f>
        <v>8000</v>
      </c>
      <c r="M75" s="40" t="str">
        <f aca="false">IF(AO75&gt;AN75,"Zoning estimate",IF(H75="Yes","Approved plans",IF(G75&gt;0,"Listing claim","110% old house")))</f>
        <v>Zoning estimate</v>
      </c>
      <c r="N75" s="45" t="n">
        <f aca="false">IF(AO75&gt;AN75,IF(AM75&gt;AL75,Assumptions!$B$22,Assumptions!$B$21),Assumptions!$B$21)</f>
        <v>3</v>
      </c>
      <c r="O75" s="46" t="n">
        <f aca="false">(INDEX(Assumptions!$B$36:$B$48,MATCH(AK75,Assumptions!$A$36:$A$48,0))+IF(I75="Yes",Assumptions!$B$23,0)+IF(J75="Yes",Assumptions!$B$24,0))*(1+IF(UPPER(Assumptions!$B$31)="WORST",Assumptions!$B$28,IF(UPPER(Assumptions!$B$31)="BEST",Assumptions!$B$30,Assumptions!$B$29)))</f>
        <v>1430</v>
      </c>
      <c r="P75" s="47" t="n">
        <f aca="false">L75*O75</f>
        <v>11440000</v>
      </c>
      <c r="Q75" s="47" t="n">
        <f aca="false">D75</f>
        <v>2759000</v>
      </c>
      <c r="R75" s="47" t="n">
        <f aca="false">L75*Assumptions!$B$4</f>
        <v>5600000</v>
      </c>
      <c r="S75" s="47" t="n">
        <f aca="false">IF(H75="Yes",Assumptions!$B$6*(D75),(L75)*Assumptions!$B$5)</f>
        <v>600000</v>
      </c>
      <c r="T75" s="47" t="n">
        <f aca="false">AP75*(Assumptions!$B$8*N75*Assumptions!$B$9+Assumptions!$B$10)</f>
        <v>1135553.25</v>
      </c>
      <c r="U75" s="47" t="n">
        <f aca="false">Q75*Assumptions!$B$11*N75</f>
        <v>99324</v>
      </c>
      <c r="V75" s="47" t="n">
        <f aca="false">P75*(Assumptions!$B$12+Assumptions!$B$13)</f>
        <v>464464</v>
      </c>
      <c r="W75" s="47" t="n">
        <f aca="false">P75*IF(P75&gt;=Assumptions!$B$16,Assumptions!$B$17,IF(P75&gt;=Assumptions!$B$14,Assumptions!$B$15,0))</f>
        <v>629200</v>
      </c>
      <c r="X75" s="48" t="n">
        <f aca="false">SUM(Q75:W75)</f>
        <v>11287541.25</v>
      </c>
      <c r="Y75" s="48" t="n">
        <f aca="false">P75-X75</f>
        <v>152458.750000002</v>
      </c>
      <c r="Z75" s="49" t="n">
        <f aca="false">IF(X75=0,0,Y75/X75)</f>
        <v>0.0135068166417555</v>
      </c>
      <c r="AA75" s="47" t="n">
        <f aca="false">MAX(0,(P75/(1+Assumptions!$B$27)-(L75*(Assumptions!$B$4+IF(H75="Yes",0,Assumptions!$B$5)))*(1+(Assumptions!$B$7*(Assumptions!$B$8*N75*Assumptions!$B$9+Assumptions!$B$10)))-P75*(Assumptions!$B$12+Assumptions!$B$13+IF(P75&gt;=Assumptions!$B$16,Assumptions!$B$17,IF(P75&gt;=Assumptions!$B$14,Assumptions!$B$15,0))))/((1+IF(H75="Yes",Assumptions!$B$6,0))*(1+(Assumptions!$B$7*(Assumptions!$B$8*N75*Assumptions!$B$9+Assumptions!$B$10)))+Assumptions!$B$11*N75))</f>
        <v>1606804.63294476</v>
      </c>
      <c r="AB75" s="50" t="n">
        <f aca="false">IF(AA75&lt;=0,"no price works",D75/AA75)</f>
        <v>1.71707247006354</v>
      </c>
      <c r="AC75" s="46" t="n">
        <f aca="false">(INDEX(Assumptions!$B$36:$B$48,MATCH(AK75,Assumptions!$A$36:$A$48,0))+IF(I75="Yes",Assumptions!$B$23,0)+IF(J75="Yes",Assumptions!$B$24,0))*(1+Assumptions!$B$28)</f>
        <v>1300</v>
      </c>
      <c r="AD75" s="47" t="n">
        <f aca="false">(L75)*AC75-(((D75)+(L75)*Assumptions!$B$4+IF(H75="Yes",Assumptions!$B$6*(D75),(L75)*Assumptions!$B$5))*(1+Assumptions!$B$7*(Assumptions!$B$8*(N75)*Assumptions!$B$9+Assumptions!$B$10))+(D75)*Assumptions!$B$11*(N75)+(L75)*AC75*(Assumptions!$B$12+Assumptions!$B$13+IF((L75)*AC75&gt;=Assumptions!$B$16,Assumptions!$B$17,IF((L75)*AC75&gt;=Assumptions!$B$14,Assumptions!$B$15,0))))</f>
        <v>-632117.25</v>
      </c>
      <c r="AE75" s="46" t="n">
        <f aca="false">(INDEX(Assumptions!$B$36:$B$48,MATCH(AK75,Assumptions!$A$36:$A$48,0))+IF(I75="Yes",Assumptions!$B$23,0)+IF(J75="Yes",Assumptions!$B$24,0))*(1+Assumptions!$B$29)</f>
        <v>1430</v>
      </c>
      <c r="AF75" s="47" t="n">
        <f aca="false">(L75)*AE75-(((D75)+(L75)*Assumptions!$B$4+IF(H75="Yes",Assumptions!$B$6*(D75),(L75)*Assumptions!$B$5))*(1+Assumptions!$B$7*(Assumptions!$B$8*(N75)*Assumptions!$B$9+Assumptions!$B$10))+(D75)*Assumptions!$B$11*(N75)+(L75)*AE75*(Assumptions!$B$12+Assumptions!$B$13+IF((L75)*AE75&gt;=Assumptions!$B$16,Assumptions!$B$17,IF((L75)*AE75&gt;=Assumptions!$B$14,Assumptions!$B$15,0))))</f>
        <v>152458.750000002</v>
      </c>
      <c r="AG75" s="46" t="n">
        <f aca="false">(INDEX(Assumptions!$B$36:$B$48,MATCH(AK75,Assumptions!$A$36:$A$48,0))+IF(I75="Yes",Assumptions!$B$23,0)+IF(J75="Yes",Assumptions!$B$24,0))*(1+Assumptions!$B$30)</f>
        <v>1560</v>
      </c>
      <c r="AH75" s="47" t="n">
        <f aca="false">(L75)*AG75-(((D75)+(L75)*Assumptions!$B$4+IF(H75="Yes",Assumptions!$B$6*(D75),(L75)*Assumptions!$B$5))*(1+Assumptions!$B$7*(Assumptions!$B$8*(N75)*Assumptions!$B$9+Assumptions!$B$10))+(D75)*Assumptions!$B$11*(N75)+(L75)*AG75*(Assumptions!$B$12+Assumptions!$B$13+IF((L75)*AG75&gt;=Assumptions!$B$16,Assumptions!$B$17,IF((L75)*AG75&gt;=Assumptions!$B$14,Assumptions!$B$15,0))))</f>
        <v>1093034.75</v>
      </c>
      <c r="AI75" s="47" t="n">
        <f aca="false">(L75)*AE75-(((D75)+(L75)*Assumptions!$B$25+IF(H75="Yes",Assumptions!$B$6*(D75),(L75)*Assumptions!$B$5))*(1+Assumptions!$B$7*(Assumptions!$B$8*(N75)*Assumptions!$B$9+Assumptions!$B$10))+(D75)*Assumptions!$B$11*(N75)+(L75)*AE75*(Assumptions!$B$12+Assumptions!$B$13+IF((L75)*AE75&gt;=Assumptions!$B$16,Assumptions!$B$17,IF((L75)*AE75&gt;=Assumptions!$B$14,Assumptions!$B$15,0))))</f>
        <v>603158.750000002</v>
      </c>
      <c r="AJ75" s="47" t="n">
        <f aca="false">(L75)*AE75-(((D75)+(L75)*Assumptions!$B$26+IF(H75="Yes",Assumptions!$B$6*(D75),(L75)*Assumptions!$B$5))*(1+Assumptions!$B$7*(Assumptions!$B$8*(N75)*Assumptions!$B$9+Assumptions!$B$10))+(D75)*Assumptions!$B$11*(N75)+(L75)*AE75*(Assumptions!$B$12+Assumptions!$B$13+IF((L75)*AE75&gt;=Assumptions!$B$16,Assumptions!$B$17,IF((L75)*AE75&gt;=Assumptions!$B$14,Assumptions!$B$15,0))))</f>
        <v>1053858.75</v>
      </c>
      <c r="AK75" s="40" t="s">
        <v>203</v>
      </c>
      <c r="AL75" s="45" t="n">
        <f aca="false">IF(G75&gt;0,G75,ROUND(F75*Assumptions!$B$18,0))</f>
        <v>2356</v>
      </c>
      <c r="AM75" s="45" t="n">
        <f aca="false">IF(H75="Yes",AL75,MAX(AL75,MIN(Assumptions!$B$20,ROUND(E75*Assumptions!$B$19,0))))</f>
        <v>8000</v>
      </c>
      <c r="AN75" s="47" t="n">
        <f aca="false">(AL75)*AE75-(((D75)+(AL75)*Assumptions!$B$4+IF(H75="Yes",Assumptions!$B$6*(D75),(AL75)*Assumptions!$B$5))*(1+Assumptions!$B$7*(Assumptions!$B$8*(Assumptions!$B$21)*Assumptions!$B$9+Assumptions!$B$10))+(D75)*Assumptions!$B$11*(Assumptions!$B$21)+(AL75)*AE75*(Assumptions!$B$12+Assumptions!$B$13+IF((AL75)*AE75&gt;=Assumptions!$B$16,Assumptions!$B$17,IF((AL75)*AE75&gt;=Assumptions!$B$14,Assumptions!$B$15,0))))</f>
        <v>-1821145.623</v>
      </c>
      <c r="AO75" s="47" t="n">
        <f aca="false">(AM75)*AE75-(((D75)+(AM75)*Assumptions!$B$4+IF(H75="Yes",Assumptions!$B$6*(D75),(AM75)*Assumptions!$B$5))*(1+Assumptions!$B$7*(Assumptions!$B$8*(IF(AM75&gt;AL75,Assumptions!$B$22,Assumptions!$B$21))*Assumptions!$B$9+Assumptions!$B$10))+(D75)*Assumptions!$B$11*(IF(AM75&gt;AL75,Assumptions!$B$22,Assumptions!$B$21))+(AM75)*AE75*(Assumptions!$B$12+Assumptions!$B$13+IF((AM75)*AE75&gt;=Assumptions!$B$16,Assumptions!$B$17,IF((AM75)*AE75&gt;=Assumptions!$B$14,Assumptions!$B$15,0))))</f>
        <v>152458.750000002</v>
      </c>
      <c r="AP75" s="47" t="n">
        <f aca="false">Assumptions!$B$7*(Q75+R75+S75)</f>
        <v>5823350</v>
      </c>
    </row>
    <row r="76" customFormat="false" ht="15" hidden="false" customHeight="false" outlineLevel="0" collapsed="false">
      <c r="A76" s="40" t="n">
        <v>74</v>
      </c>
      <c r="B76" s="40" t="s">
        <v>204</v>
      </c>
      <c r="C76" s="40" t="s">
        <v>109</v>
      </c>
      <c r="D76" s="41" t="n">
        <v>2395000</v>
      </c>
      <c r="E76" s="42" t="n">
        <v>13487</v>
      </c>
      <c r="F76" s="42" t="n">
        <v>2228</v>
      </c>
      <c r="G76" s="42"/>
      <c r="H76" s="43" t="s">
        <v>71</v>
      </c>
      <c r="I76" s="43" t="s">
        <v>80</v>
      </c>
      <c r="J76" s="43" t="s">
        <v>71</v>
      </c>
      <c r="K76" s="44"/>
      <c r="L76" s="45" t="n">
        <f aca="false">IF(AO76&gt;AN76,AM76,AL76)</f>
        <v>5395</v>
      </c>
      <c r="M76" s="40" t="str">
        <f aca="false">IF(AO76&gt;AN76,"Zoning estimate",IF(H76="Yes","Approved plans",IF(G76&gt;0,"Listing claim","110% old house")))</f>
        <v>Zoning estimate</v>
      </c>
      <c r="N76" s="45" t="n">
        <f aca="false">IF(AO76&gt;AN76,IF(AM76&gt;AL76,Assumptions!$B$22,Assumptions!$B$21),Assumptions!$B$21)</f>
        <v>3</v>
      </c>
      <c r="O76" s="46" t="n">
        <f aca="false">(INDEX(Assumptions!$B$36:$B$48,MATCH(AK76,Assumptions!$A$36:$A$48,0))+IF(I76="Yes",Assumptions!$B$23,0)+IF(J76="Yes",Assumptions!$B$24,0))*(1+IF(UPPER(Assumptions!$B$31)="WORST",Assumptions!$B$28,IF(UPPER(Assumptions!$B$31)="BEST",Assumptions!$B$30,Assumptions!$B$29)))</f>
        <v>1485</v>
      </c>
      <c r="P76" s="47" t="n">
        <f aca="false">L76*O76</f>
        <v>8011575</v>
      </c>
      <c r="Q76" s="47" t="n">
        <f aca="false">D76</f>
        <v>2395000</v>
      </c>
      <c r="R76" s="47" t="n">
        <f aca="false">L76*Assumptions!$B$4</f>
        <v>3776500</v>
      </c>
      <c r="S76" s="47" t="n">
        <f aca="false">IF(H76="Yes",Assumptions!$B$6*(D76),(L76)*Assumptions!$B$5)</f>
        <v>404625</v>
      </c>
      <c r="T76" s="47" t="n">
        <f aca="false">AP76*(Assumptions!$B$8*N76*Assumptions!$B$9+Assumptions!$B$10)</f>
        <v>833523.84375</v>
      </c>
      <c r="U76" s="47" t="n">
        <f aca="false">Q76*Assumptions!$B$11*N76</f>
        <v>86220</v>
      </c>
      <c r="V76" s="47" t="n">
        <f aca="false">P76*(Assumptions!$B$12+Assumptions!$B$13)</f>
        <v>325269.945</v>
      </c>
      <c r="W76" s="47" t="n">
        <f aca="false">P76*IF(P76&gt;=Assumptions!$B$16,Assumptions!$B$17,IF(P76&gt;=Assumptions!$B$14,Assumptions!$B$15,0))</f>
        <v>320463</v>
      </c>
      <c r="X76" s="48" t="n">
        <f aca="false">SUM(Q76:W76)</f>
        <v>8141601.78875</v>
      </c>
      <c r="Y76" s="48" t="n">
        <f aca="false">P76-X76</f>
        <v>-130026.788749999</v>
      </c>
      <c r="Z76" s="49" t="n">
        <f aca="false">IF(X76=0,0,Y76/X76)</f>
        <v>-0.0159706642653132</v>
      </c>
      <c r="AA76" s="47" t="n">
        <f aca="false">MAX(0,(P76/(1+Assumptions!$B$27)-(L76*(Assumptions!$B$4+IF(H76="Yes",0,Assumptions!$B$5)))*(1+(Assumptions!$B$7*(Assumptions!$B$8*N76*Assumptions!$B$9+Assumptions!$B$10)))-P76*(Assumptions!$B$12+Assumptions!$B$13+IF(P76&gt;=Assumptions!$B$16,Assumptions!$B$17,IF(P76&gt;=Assumptions!$B$14,Assumptions!$B$15,0))))/((1+IF(H76="Yes",Assumptions!$B$6,0))*(1+(Assumptions!$B$7*(Assumptions!$B$8*N76*Assumptions!$B$9+Assumptions!$B$10)))+Assumptions!$B$11*N76))</f>
        <v>1384451.87509933</v>
      </c>
      <c r="AB76" s="50" t="n">
        <f aca="false">IF(AA76&lt;=0,"no price works",D76/AA76)</f>
        <v>1.72992650960018</v>
      </c>
      <c r="AC76" s="46" t="n">
        <f aca="false">(INDEX(Assumptions!$B$36:$B$48,MATCH(AK76,Assumptions!$A$36:$A$48,0))+IF(I76="Yes",Assumptions!$B$23,0)+IF(J76="Yes",Assumptions!$B$24,0))*(1+Assumptions!$B$28)</f>
        <v>1350</v>
      </c>
      <c r="AD76" s="47" t="n">
        <f aca="false">(L76)*AC76-(((D76)+(L76)*Assumptions!$B$4+IF(H76="Yes",Assumptions!$B$6*(D76),(L76)*Assumptions!$B$5))*(1+Assumptions!$B$7*(Assumptions!$B$8*(N76)*Assumptions!$B$9+Assumptions!$B$10))+(D76)*Assumptions!$B$11*(N76)+(L76)*AC76*(Assumptions!$B$12+Assumptions!$B$13+IF((L76)*AC76&gt;=Assumptions!$B$16,Assumptions!$B$17,IF((L76)*AC76&gt;=Assumptions!$B$14,Assumptions!$B$15,0))))</f>
        <v>-799648.793749999</v>
      </c>
      <c r="AE76" s="46" t="n">
        <f aca="false">(INDEX(Assumptions!$B$36:$B$48,MATCH(AK76,Assumptions!$A$36:$A$48,0))+IF(I76="Yes",Assumptions!$B$23,0)+IF(J76="Yes",Assumptions!$B$24,0))*(1+Assumptions!$B$29)</f>
        <v>1485</v>
      </c>
      <c r="AF76" s="47" t="n">
        <f aca="false">(L76)*AE76-(((D76)+(L76)*Assumptions!$B$4+IF(H76="Yes",Assumptions!$B$6*(D76),(L76)*Assumptions!$B$5))*(1+Assumptions!$B$7*(Assumptions!$B$8*(N76)*Assumptions!$B$9+Assumptions!$B$10))+(D76)*Assumptions!$B$11*(N76)+(L76)*AE76*(Assumptions!$B$12+Assumptions!$B$13+IF((L76)*AE76&gt;=Assumptions!$B$16,Assumptions!$B$17,IF((L76)*AE76&gt;=Assumptions!$B$14,Assumptions!$B$15,0))))</f>
        <v>-130026.788749998</v>
      </c>
      <c r="AG76" s="46" t="n">
        <f aca="false">(INDEX(Assumptions!$B$36:$B$48,MATCH(AK76,Assumptions!$A$36:$A$48,0))+IF(I76="Yes",Assumptions!$B$23,0)+IF(J76="Yes",Assumptions!$B$24,0))*(1+Assumptions!$B$30)</f>
        <v>1620</v>
      </c>
      <c r="AH76" s="47" t="n">
        <f aca="false">(L76)*AG76-(((D76)+(L76)*Assumptions!$B$4+IF(H76="Yes",Assumptions!$B$6*(D76),(L76)*Assumptions!$B$5))*(1+Assumptions!$B$7*(Assumptions!$B$8*(N76)*Assumptions!$B$9+Assumptions!$B$10))+(D76)*Assumptions!$B$11*(N76)+(L76)*AG76*(Assumptions!$B$12+Assumptions!$B$13+IF((L76)*AG76&gt;=Assumptions!$B$16,Assumptions!$B$17,IF((L76)*AG76&gt;=Assumptions!$B$14,Assumptions!$B$15,0))))</f>
        <v>539595.216250001</v>
      </c>
      <c r="AI76" s="47" t="n">
        <f aca="false">(L76)*AE76-(((D76)+(L76)*Assumptions!$B$25+IF(H76="Yes",Assumptions!$B$6*(D76),(L76)*Assumptions!$B$5))*(1+Assumptions!$B$7*(Assumptions!$B$8*(N76)*Assumptions!$B$9+Assumptions!$B$10))+(D76)*Assumptions!$B$11*(N76)+(L76)*AE76*(Assumptions!$B$12+Assumptions!$B$13+IF((L76)*AE76&gt;=Assumptions!$B$16,Assumptions!$B$17,IF((L76)*AE76&gt;=Assumptions!$B$14,Assumptions!$B$15,0))))</f>
        <v>173914.023750002</v>
      </c>
      <c r="AJ76" s="47" t="n">
        <f aca="false">(L76)*AE76-(((D76)+(L76)*Assumptions!$B$26+IF(H76="Yes",Assumptions!$B$6*(D76),(L76)*Assumptions!$B$5))*(1+Assumptions!$B$7*(Assumptions!$B$8*(N76)*Assumptions!$B$9+Assumptions!$B$10))+(D76)*Assumptions!$B$11*(N76)+(L76)*AE76*(Assumptions!$B$12+Assumptions!$B$13+IF((L76)*AE76&gt;=Assumptions!$B$16,Assumptions!$B$17,IF((L76)*AE76&gt;=Assumptions!$B$14,Assumptions!$B$15,0))))</f>
        <v>477854.836250002</v>
      </c>
      <c r="AK76" s="40" t="s">
        <v>111</v>
      </c>
      <c r="AL76" s="45" t="n">
        <f aca="false">IF(G76&gt;0,G76,ROUND(F76*Assumptions!$B$18,0))</f>
        <v>2451</v>
      </c>
      <c r="AM76" s="45" t="n">
        <f aca="false">IF(H76="Yes",AL76,MAX(AL76,MIN(Assumptions!$B$20,ROUND(E76*Assumptions!$B$19,0))))</f>
        <v>5395</v>
      </c>
      <c r="AN76" s="47" t="n">
        <f aca="false">(AL76)*AE76-(((D76)+(AL76)*Assumptions!$B$4+IF(H76="Yes",Assumptions!$B$6*(D76),(AL76)*Assumptions!$B$5))*(1+Assumptions!$B$7*(Assumptions!$B$8*(Assumptions!$B$21)*Assumptions!$B$9+Assumptions!$B$10))+(D76)*Assumptions!$B$11*(Assumptions!$B$21)+(AL76)*AE76*(Assumptions!$B$12+Assumptions!$B$13+IF((AL76)*AE76&gt;=Assumptions!$B$16,Assumptions!$B$17,IF((AL76)*AE76&gt;=Assumptions!$B$14,Assumptions!$B$15,0))))</f>
        <v>-1236887.80975</v>
      </c>
      <c r="AO76" s="47" t="n">
        <f aca="false">(AM76)*AE76-(((D76)+(AM76)*Assumptions!$B$4+IF(H76="Yes",Assumptions!$B$6*(D76),(AM76)*Assumptions!$B$5))*(1+Assumptions!$B$7*(Assumptions!$B$8*(IF(AM76&gt;AL76,Assumptions!$B$22,Assumptions!$B$21))*Assumptions!$B$9+Assumptions!$B$10))+(D76)*Assumptions!$B$11*(IF(AM76&gt;AL76,Assumptions!$B$22,Assumptions!$B$21))+(AM76)*AE76*(Assumptions!$B$12+Assumptions!$B$13+IF((AM76)*AE76&gt;=Assumptions!$B$16,Assumptions!$B$17,IF((AM76)*AE76&gt;=Assumptions!$B$14,Assumptions!$B$15,0))))</f>
        <v>-130026.788749998</v>
      </c>
      <c r="AP76" s="47" t="n">
        <f aca="false">Assumptions!$B$7*(Q76+R76+S76)</f>
        <v>4274481.25</v>
      </c>
    </row>
    <row r="77" customFormat="false" ht="15" hidden="false" customHeight="false" outlineLevel="0" collapsed="false">
      <c r="A77" s="40" t="n">
        <v>75</v>
      </c>
      <c r="B77" s="40" t="s">
        <v>205</v>
      </c>
      <c r="C77" s="40" t="s">
        <v>109</v>
      </c>
      <c r="D77" s="41" t="n">
        <v>1995000</v>
      </c>
      <c r="E77" s="42" t="n">
        <v>11222</v>
      </c>
      <c r="F77" s="42" t="n">
        <v>2557</v>
      </c>
      <c r="G77" s="42"/>
      <c r="H77" s="43" t="s">
        <v>71</v>
      </c>
      <c r="I77" s="43" t="s">
        <v>80</v>
      </c>
      <c r="J77" s="43" t="s">
        <v>71</v>
      </c>
      <c r="K77" s="44"/>
      <c r="L77" s="45" t="n">
        <f aca="false">IF(AO77&gt;AN77,AM77,AL77)</f>
        <v>4489</v>
      </c>
      <c r="M77" s="40" t="str">
        <f aca="false">IF(AO77&gt;AN77,"Zoning estimate",IF(H77="Yes","Approved plans",IF(G77&gt;0,"Listing claim","110% old house")))</f>
        <v>Zoning estimate</v>
      </c>
      <c r="N77" s="45" t="n">
        <f aca="false">IF(AO77&gt;AN77,IF(AM77&gt;AL77,Assumptions!$B$22,Assumptions!$B$21),Assumptions!$B$21)</f>
        <v>3</v>
      </c>
      <c r="O77" s="46" t="n">
        <f aca="false">(INDEX(Assumptions!$B$36:$B$48,MATCH(AK77,Assumptions!$A$36:$A$48,0))+IF(I77="Yes",Assumptions!$B$23,0)+IF(J77="Yes",Assumptions!$B$24,0))*(1+IF(UPPER(Assumptions!$B$31)="WORST",Assumptions!$B$28,IF(UPPER(Assumptions!$B$31)="BEST",Assumptions!$B$30,Assumptions!$B$29)))</f>
        <v>1485</v>
      </c>
      <c r="P77" s="47" t="n">
        <f aca="false">L77*O77</f>
        <v>6666165</v>
      </c>
      <c r="Q77" s="47" t="n">
        <f aca="false">D77</f>
        <v>1995000</v>
      </c>
      <c r="R77" s="47" t="n">
        <f aca="false">L77*Assumptions!$B$4</f>
        <v>3142300</v>
      </c>
      <c r="S77" s="47" t="n">
        <f aca="false">IF(H77="Yes",Assumptions!$B$6*(D77),(L77)*Assumptions!$B$5)</f>
        <v>336675</v>
      </c>
      <c r="T77" s="47" t="n">
        <f aca="false">AP77*(Assumptions!$B$8*N77*Assumptions!$B$9+Assumptions!$B$10)</f>
        <v>693826.33125</v>
      </c>
      <c r="U77" s="47" t="n">
        <f aca="false">Q77*Assumptions!$B$11*N77</f>
        <v>71820</v>
      </c>
      <c r="V77" s="47" t="n">
        <f aca="false">P77*(Assumptions!$B$12+Assumptions!$B$13)</f>
        <v>270646.299</v>
      </c>
      <c r="W77" s="47" t="n">
        <f aca="false">P77*IF(P77&gt;=Assumptions!$B$16,Assumptions!$B$17,IF(P77&gt;=Assumptions!$B$14,Assumptions!$B$15,0))</f>
        <v>266646.6</v>
      </c>
      <c r="X77" s="48" t="n">
        <f aca="false">SUM(Q77:W77)</f>
        <v>6776914.23025</v>
      </c>
      <c r="Y77" s="48" t="n">
        <f aca="false">P77-X77</f>
        <v>-110749.230249999</v>
      </c>
      <c r="Z77" s="49" t="n">
        <f aca="false">IF(X77=0,0,Y77/X77)</f>
        <v>-0.0163421324938199</v>
      </c>
      <c r="AA77" s="47" t="n">
        <f aca="false">MAX(0,(P77/(1+Assumptions!$B$27)-(L77*(Assumptions!$B$4+IF(H77="Yes",0,Assumptions!$B$5)))*(1+(Assumptions!$B$7*(Assumptions!$B$8*N77*Assumptions!$B$9+Assumptions!$B$10)))-P77*(Assumptions!$B$12+Assumptions!$B$13+IF(P77&gt;=Assumptions!$B$16,Assumptions!$B$17,IF(P77&gt;=Assumptions!$B$14,Assumptions!$B$15,0))))/((1+IF(H77="Yes",Assumptions!$B$6,0))*(1+(Assumptions!$B$7*(Assumptions!$B$8*N77*Assumptions!$B$9+Assumptions!$B$10)))+Assumptions!$B$11*N77))</f>
        <v>1151956.34241351</v>
      </c>
      <c r="AB77" s="50" t="n">
        <f aca="false">IF(AA77&lt;=0,"no price works",D77/AA77)</f>
        <v>1.7318364651044</v>
      </c>
      <c r="AC77" s="46" t="n">
        <f aca="false">(INDEX(Assumptions!$B$36:$B$48,MATCH(AK77,Assumptions!$A$36:$A$48,0))+IF(I77="Yes",Assumptions!$B$23,0)+IF(J77="Yes",Assumptions!$B$24,0))*(1+Assumptions!$B$28)</f>
        <v>1350</v>
      </c>
      <c r="AD77" s="47" t="n">
        <f aca="false">(L77)*AC77-(((D77)+(L77)*Assumptions!$B$4+IF(H77="Yes",Assumptions!$B$6*(D77),(L77)*Assumptions!$B$5))*(1+Assumptions!$B$7*(Assumptions!$B$8*(N77)*Assumptions!$B$9+Assumptions!$B$10))+(D77)*Assumptions!$B$11*(N77)+(L77)*AC77*(Assumptions!$B$12+Assumptions!$B$13+IF((L77)*AC77&gt;=Assumptions!$B$16,Assumptions!$B$17,IF((L77)*AC77&gt;=Assumptions!$B$14,Assumptions!$B$15,0))))</f>
        <v>-667919.42125</v>
      </c>
      <c r="AE77" s="46" t="n">
        <f aca="false">(INDEX(Assumptions!$B$36:$B$48,MATCH(AK77,Assumptions!$A$36:$A$48,0))+IF(I77="Yes",Assumptions!$B$23,0)+IF(J77="Yes",Assumptions!$B$24,0))*(1+Assumptions!$B$29)</f>
        <v>1485</v>
      </c>
      <c r="AF77" s="47" t="n">
        <f aca="false">(L77)*AE77-(((D77)+(L77)*Assumptions!$B$4+IF(H77="Yes",Assumptions!$B$6*(D77),(L77)*Assumptions!$B$5))*(1+Assumptions!$B$7*(Assumptions!$B$8*(N77)*Assumptions!$B$9+Assumptions!$B$10))+(D77)*Assumptions!$B$11*(N77)+(L77)*AE77*(Assumptions!$B$12+Assumptions!$B$13+IF((L77)*AE77&gt;=Assumptions!$B$16,Assumptions!$B$17,IF((L77)*AE77&gt;=Assumptions!$B$14,Assumptions!$B$15,0))))</f>
        <v>-110749.230249999</v>
      </c>
      <c r="AG77" s="46" t="n">
        <f aca="false">(INDEX(Assumptions!$B$36:$B$48,MATCH(AK77,Assumptions!$A$36:$A$48,0))+IF(I77="Yes",Assumptions!$B$23,0)+IF(J77="Yes",Assumptions!$B$24,0))*(1+Assumptions!$B$30)</f>
        <v>1620</v>
      </c>
      <c r="AH77" s="47" t="n">
        <f aca="false">(L77)*AG77-(((D77)+(L77)*Assumptions!$B$4+IF(H77="Yes",Assumptions!$B$6*(D77),(L77)*Assumptions!$B$5))*(1+Assumptions!$B$7*(Assumptions!$B$8*(N77)*Assumptions!$B$9+Assumptions!$B$10))+(D77)*Assumptions!$B$11*(N77)+(L77)*AG77*(Assumptions!$B$12+Assumptions!$B$13+IF((L77)*AG77&gt;=Assumptions!$B$16,Assumptions!$B$17,IF((L77)*AG77&gt;=Assumptions!$B$14,Assumptions!$B$15,0))))</f>
        <v>446420.960750001</v>
      </c>
      <c r="AI77" s="47" t="n">
        <f aca="false">(L77)*AE77-(((D77)+(L77)*Assumptions!$B$25+IF(H77="Yes",Assumptions!$B$6*(D77),(L77)*Assumptions!$B$5))*(1+Assumptions!$B$7*(Assumptions!$B$8*(N77)*Assumptions!$B$9+Assumptions!$B$10))+(D77)*Assumptions!$B$11*(N77)+(L77)*AE77*(Assumptions!$B$12+Assumptions!$B$13+IF((L77)*AE77&gt;=Assumptions!$B$16,Assumptions!$B$17,IF((L77)*AE77&gt;=Assumptions!$B$14,Assumptions!$B$15,0))))</f>
        <v>142149.807250001</v>
      </c>
      <c r="AJ77" s="47" t="n">
        <f aca="false">(L77)*AE77-(((D77)+(L77)*Assumptions!$B$26+IF(H77="Yes",Assumptions!$B$6*(D77),(L77)*Assumptions!$B$5))*(1+Assumptions!$B$7*(Assumptions!$B$8*(N77)*Assumptions!$B$9+Assumptions!$B$10))+(D77)*Assumptions!$B$11*(N77)+(L77)*AE77*(Assumptions!$B$12+Assumptions!$B$13+IF((L77)*AE77&gt;=Assumptions!$B$16,Assumptions!$B$17,IF((L77)*AE77&gt;=Assumptions!$B$14,Assumptions!$B$15,0))))</f>
        <v>395048.844750001</v>
      </c>
      <c r="AK77" s="40" t="s">
        <v>111</v>
      </c>
      <c r="AL77" s="45" t="n">
        <f aca="false">IF(G77&gt;0,G77,ROUND(F77*Assumptions!$B$18,0))</f>
        <v>2813</v>
      </c>
      <c r="AM77" s="45" t="n">
        <f aca="false">IF(H77="Yes",AL77,MAX(AL77,MIN(Assumptions!$B$20,ROUND(E77*Assumptions!$B$19,0))))</f>
        <v>4489</v>
      </c>
      <c r="AN77" s="47" t="n">
        <f aca="false">(AL77)*AE77-(((D77)+(AL77)*Assumptions!$B$4+IF(H77="Yes",Assumptions!$B$6*(D77),(AL77)*Assumptions!$B$5))*(1+Assumptions!$B$7*(Assumptions!$B$8*(Assumptions!$B$21)*Assumptions!$B$9+Assumptions!$B$10))+(D77)*Assumptions!$B$11*(Assumptions!$B$21)+(AL77)*AE77*(Assumptions!$B$12+Assumptions!$B$13+IF((AL77)*AE77&gt;=Assumptions!$B$16,Assumptions!$B$17,IF((AL77)*AE77&gt;=Assumptions!$B$14,Assumptions!$B$15,0))))</f>
        <v>-581611.414249999</v>
      </c>
      <c r="AO77" s="47" t="n">
        <f aca="false">(AM77)*AE77-(((D77)+(AM77)*Assumptions!$B$4+IF(H77="Yes",Assumptions!$B$6*(D77),(AM77)*Assumptions!$B$5))*(1+Assumptions!$B$7*(Assumptions!$B$8*(IF(AM77&gt;AL77,Assumptions!$B$22,Assumptions!$B$21))*Assumptions!$B$9+Assumptions!$B$10))+(D77)*Assumptions!$B$11*(IF(AM77&gt;AL77,Assumptions!$B$22,Assumptions!$B$21))+(AM77)*AE77*(Assumptions!$B$12+Assumptions!$B$13+IF((AM77)*AE77&gt;=Assumptions!$B$16,Assumptions!$B$17,IF((AM77)*AE77&gt;=Assumptions!$B$14,Assumptions!$B$15,0))))</f>
        <v>-110749.230249999</v>
      </c>
      <c r="AP77" s="47" t="n">
        <f aca="false">Assumptions!$B$7*(Q77+R77+S77)</f>
        <v>3558083.75</v>
      </c>
    </row>
    <row r="78" customFormat="false" ht="15" hidden="false" customHeight="false" outlineLevel="0" collapsed="false">
      <c r="A78" s="40" t="n">
        <v>76</v>
      </c>
      <c r="B78" s="40" t="s">
        <v>206</v>
      </c>
      <c r="C78" s="40" t="s">
        <v>102</v>
      </c>
      <c r="D78" s="41" t="n">
        <v>2600000</v>
      </c>
      <c r="E78" s="42" t="n">
        <v>14509</v>
      </c>
      <c r="F78" s="42" t="n">
        <v>2469</v>
      </c>
      <c r="G78" s="42"/>
      <c r="H78" s="43" t="s">
        <v>71</v>
      </c>
      <c r="I78" s="43" t="s">
        <v>80</v>
      </c>
      <c r="J78" s="43" t="s">
        <v>71</v>
      </c>
      <c r="K78" s="44"/>
      <c r="L78" s="45" t="n">
        <f aca="false">IF(AO78&gt;AN78,AM78,AL78)</f>
        <v>5804</v>
      </c>
      <c r="M78" s="40" t="str">
        <f aca="false">IF(AO78&gt;AN78,"Zoning estimate",IF(H78="Yes","Approved plans",IF(G78&gt;0,"Listing claim","110% old house")))</f>
        <v>Zoning estimate</v>
      </c>
      <c r="N78" s="45" t="n">
        <f aca="false">IF(AO78&gt;AN78,IF(AM78&gt;AL78,Assumptions!$B$22,Assumptions!$B$21),Assumptions!$B$21)</f>
        <v>3</v>
      </c>
      <c r="O78" s="46" t="n">
        <f aca="false">(INDEX(Assumptions!$B$36:$B$48,MATCH(AK78,Assumptions!$A$36:$A$48,0))+IF(I78="Yes",Assumptions!$B$23,0)+IF(J78="Yes",Assumptions!$B$24,0))*(1+IF(UPPER(Assumptions!$B$31)="WORST",Assumptions!$B$28,IF(UPPER(Assumptions!$B$31)="BEST",Assumptions!$B$30,Assumptions!$B$29)))</f>
        <v>1485</v>
      </c>
      <c r="P78" s="47" t="n">
        <f aca="false">L78*O78</f>
        <v>8618940</v>
      </c>
      <c r="Q78" s="47" t="n">
        <f aca="false">D78</f>
        <v>2600000</v>
      </c>
      <c r="R78" s="47" t="n">
        <f aca="false">L78*Assumptions!$B$4</f>
        <v>4062800</v>
      </c>
      <c r="S78" s="47" t="n">
        <f aca="false">IF(H78="Yes",Assumptions!$B$6*(D78),(L78)*Assumptions!$B$5)</f>
        <v>435300</v>
      </c>
      <c r="T78" s="47" t="n">
        <f aca="false">AP78*(Assumptions!$B$8*N78*Assumptions!$B$9+Assumptions!$B$10)</f>
        <v>899684.175</v>
      </c>
      <c r="U78" s="47" t="n">
        <f aca="false">Q78*Assumptions!$B$11*N78</f>
        <v>93600</v>
      </c>
      <c r="V78" s="47" t="n">
        <f aca="false">P78*(Assumptions!$B$12+Assumptions!$B$13)</f>
        <v>349928.964</v>
      </c>
      <c r="W78" s="47" t="n">
        <f aca="false">P78*IF(P78&gt;=Assumptions!$B$16,Assumptions!$B$17,IF(P78&gt;=Assumptions!$B$14,Assumptions!$B$15,0))</f>
        <v>344757.6</v>
      </c>
      <c r="X78" s="48" t="n">
        <f aca="false">SUM(Q78:W78)</f>
        <v>8786070.739</v>
      </c>
      <c r="Y78" s="48" t="n">
        <f aca="false">P78-X78</f>
        <v>-167130.738999998</v>
      </c>
      <c r="Z78" s="49" t="n">
        <f aca="false">IF(X78=0,0,Y78/X78)</f>
        <v>-0.019022239174348</v>
      </c>
      <c r="AA78" s="47" t="n">
        <f aca="false">MAX(0,(P78/(1+Assumptions!$B$27)-(L78*(Assumptions!$B$4+IF(H78="Yes",0,Assumptions!$B$5)))*(1+(Assumptions!$B$7*(Assumptions!$B$8*N78*Assumptions!$B$9+Assumptions!$B$10)))-P78*(Assumptions!$B$12+Assumptions!$B$13+IF(P78&gt;=Assumptions!$B$16,Assumptions!$B$17,IF(P78&gt;=Assumptions!$B$14,Assumptions!$B$15,0))))/((1+IF(H78="Yes",Assumptions!$B$6,0))*(1+(Assumptions!$B$7*(Assumptions!$B$8*N78*Assumptions!$B$9+Assumptions!$B$10)))+Assumptions!$B$11*N78))</f>
        <v>1489408.46766941</v>
      </c>
      <c r="AB78" s="50" t="n">
        <f aca="false">IF(AA78&lt;=0,"no price works",D78/AA78)</f>
        <v>1.74565947249408</v>
      </c>
      <c r="AC78" s="46" t="n">
        <f aca="false">(INDEX(Assumptions!$B$36:$B$48,MATCH(AK78,Assumptions!$A$36:$A$48,0))+IF(I78="Yes",Assumptions!$B$23,0)+IF(J78="Yes",Assumptions!$B$24,0))*(1+Assumptions!$B$28)</f>
        <v>1350</v>
      </c>
      <c r="AD78" s="47" t="n">
        <f aca="false">(L78)*AC78-(((D78)+(L78)*Assumptions!$B$4+IF(H78="Yes",Assumptions!$B$6*(D78),(L78)*Assumptions!$B$5))*(1+Assumptions!$B$7*(Assumptions!$B$8*(N78)*Assumptions!$B$9+Assumptions!$B$10))+(D78)*Assumptions!$B$11*(N78)+(L78)*AC78*(Assumptions!$B$12+Assumptions!$B$13+IF((L78)*AC78&gt;=Assumptions!$B$16,Assumptions!$B$17,IF((L78)*AC78&gt;=Assumptions!$B$14,Assumptions!$B$15,0))))</f>
        <v>-887517.414999999</v>
      </c>
      <c r="AE78" s="46" t="n">
        <f aca="false">(INDEX(Assumptions!$B$36:$B$48,MATCH(AK78,Assumptions!$A$36:$A$48,0))+IF(I78="Yes",Assumptions!$B$23,0)+IF(J78="Yes",Assumptions!$B$24,0))*(1+Assumptions!$B$29)</f>
        <v>1485</v>
      </c>
      <c r="AF78" s="47" t="n">
        <f aca="false">(L78)*AE78-(((D78)+(L78)*Assumptions!$B$4+IF(H78="Yes",Assumptions!$B$6*(D78),(L78)*Assumptions!$B$5))*(1+Assumptions!$B$7*(Assumptions!$B$8*(N78)*Assumptions!$B$9+Assumptions!$B$10))+(D78)*Assumptions!$B$11*(N78)+(L78)*AE78*(Assumptions!$B$12+Assumptions!$B$13+IF((L78)*AE78&gt;=Assumptions!$B$16,Assumptions!$B$17,IF((L78)*AE78&gt;=Assumptions!$B$14,Assumptions!$B$15,0))))</f>
        <v>-167130.738999998</v>
      </c>
      <c r="AG78" s="46" t="n">
        <f aca="false">(INDEX(Assumptions!$B$36:$B$48,MATCH(AK78,Assumptions!$A$36:$A$48,0))+IF(I78="Yes",Assumptions!$B$23,0)+IF(J78="Yes",Assumptions!$B$24,0))*(1+Assumptions!$B$30)</f>
        <v>1620</v>
      </c>
      <c r="AH78" s="47" t="n">
        <f aca="false">(L78)*AG78-(((D78)+(L78)*Assumptions!$B$4+IF(H78="Yes",Assumptions!$B$6*(D78),(L78)*Assumptions!$B$5))*(1+Assumptions!$B$7*(Assumptions!$B$8*(N78)*Assumptions!$B$9+Assumptions!$B$10))+(D78)*Assumptions!$B$11*(N78)+(L78)*AG78*(Assumptions!$B$12+Assumptions!$B$13+IF((L78)*AG78&gt;=Assumptions!$B$16,Assumptions!$B$17,IF((L78)*AG78&gt;=Assumptions!$B$14,Assumptions!$B$15,0))))</f>
        <v>553255.937000001</v>
      </c>
      <c r="AI78" s="47" t="n">
        <f aca="false">(L78)*AE78-(((D78)+(L78)*Assumptions!$B$25+IF(H78="Yes",Assumptions!$B$6*(D78),(L78)*Assumptions!$B$5))*(1+Assumptions!$B$7*(Assumptions!$B$8*(N78)*Assumptions!$B$9+Assumptions!$B$10))+(D78)*Assumptions!$B$11*(N78)+(L78)*AE78*(Assumptions!$B$12+Assumptions!$B$13+IF((L78)*AE78&gt;=Assumptions!$B$16,Assumptions!$B$17,IF((L78)*AE78&gt;=Assumptions!$B$14,Assumptions!$B$15,0))))</f>
        <v>159852.111000003</v>
      </c>
      <c r="AJ78" s="47" t="n">
        <f aca="false">(L78)*AE78-(((D78)+(L78)*Assumptions!$B$26+IF(H78="Yes",Assumptions!$B$6*(D78),(L78)*Assumptions!$B$5))*(1+Assumptions!$B$7*(Assumptions!$B$8*(N78)*Assumptions!$B$9+Assumptions!$B$10))+(D78)*Assumptions!$B$11*(N78)+(L78)*AE78*(Assumptions!$B$12+Assumptions!$B$13+IF((L78)*AE78&gt;=Assumptions!$B$16,Assumptions!$B$17,IF((L78)*AE78&gt;=Assumptions!$B$14,Assumptions!$B$15,0))))</f>
        <v>486834.961000002</v>
      </c>
      <c r="AK78" s="40" t="s">
        <v>104</v>
      </c>
      <c r="AL78" s="45" t="n">
        <f aca="false">IF(G78&gt;0,G78,ROUND(F78*Assumptions!$B$18,0))</f>
        <v>2716</v>
      </c>
      <c r="AM78" s="45" t="n">
        <f aca="false">IF(H78="Yes",AL78,MAX(AL78,MIN(Assumptions!$B$20,ROUND(E78*Assumptions!$B$19,0))))</f>
        <v>5804</v>
      </c>
      <c r="AN78" s="47" t="n">
        <f aca="false">(AL78)*AE78-(((D78)+(AL78)*Assumptions!$B$4+IF(H78="Yes",Assumptions!$B$6*(D78),(AL78)*Assumptions!$B$5))*(1+Assumptions!$B$7*(Assumptions!$B$8*(Assumptions!$B$21)*Assumptions!$B$9+Assumptions!$B$10))+(D78)*Assumptions!$B$11*(Assumptions!$B$21)+(AL78)*AE78*(Assumptions!$B$12+Assumptions!$B$13+IF((AL78)*AE78&gt;=Assumptions!$B$16,Assumptions!$B$17,IF((AL78)*AE78&gt;=Assumptions!$B$14,Assumptions!$B$15,0))))</f>
        <v>-1310645.331</v>
      </c>
      <c r="AO78" s="47" t="n">
        <f aca="false">(AM78)*AE78-(((D78)+(AM78)*Assumptions!$B$4+IF(H78="Yes",Assumptions!$B$6*(D78),(AM78)*Assumptions!$B$5))*(1+Assumptions!$B$7*(Assumptions!$B$8*(IF(AM78&gt;AL78,Assumptions!$B$22,Assumptions!$B$21))*Assumptions!$B$9+Assumptions!$B$10))+(D78)*Assumptions!$B$11*(IF(AM78&gt;AL78,Assumptions!$B$22,Assumptions!$B$21))+(AM78)*AE78*(Assumptions!$B$12+Assumptions!$B$13+IF((AM78)*AE78&gt;=Assumptions!$B$16,Assumptions!$B$17,IF((AM78)*AE78&gt;=Assumptions!$B$14,Assumptions!$B$15,0))))</f>
        <v>-167130.738999998</v>
      </c>
      <c r="AP78" s="47" t="n">
        <f aca="false">Assumptions!$B$7*(Q78+R78+S78)</f>
        <v>4613765</v>
      </c>
    </row>
    <row r="79" customFormat="false" ht="23.85" hidden="false" customHeight="false" outlineLevel="0" collapsed="false">
      <c r="A79" s="40" t="n">
        <v>77</v>
      </c>
      <c r="B79" s="40" t="s">
        <v>207</v>
      </c>
      <c r="C79" s="40" t="s">
        <v>102</v>
      </c>
      <c r="D79" s="41" t="n">
        <v>3200000</v>
      </c>
      <c r="E79" s="42" t="n">
        <v>22689</v>
      </c>
      <c r="F79" s="42" t="n">
        <v>2394</v>
      </c>
      <c r="G79" s="42"/>
      <c r="H79" s="43" t="s">
        <v>71</v>
      </c>
      <c r="I79" s="43" t="s">
        <v>80</v>
      </c>
      <c r="J79" s="43" t="s">
        <v>71</v>
      </c>
      <c r="K79" s="44" t="s">
        <v>208</v>
      </c>
      <c r="L79" s="45" t="n">
        <f aca="false">IF(AO79&gt;AN79,AM79,AL79)</f>
        <v>8000</v>
      </c>
      <c r="M79" s="40" t="str">
        <f aca="false">IF(AO79&gt;AN79,"Zoning estimate",IF(H79="Yes","Approved plans",IF(G79&gt;0,"Listing claim","110% old house")))</f>
        <v>Zoning estimate</v>
      </c>
      <c r="N79" s="45" t="n">
        <f aca="false">IF(AO79&gt;AN79,IF(AM79&gt;AL79,Assumptions!$B$22,Assumptions!$B$21),Assumptions!$B$21)</f>
        <v>3</v>
      </c>
      <c r="O79" s="46" t="n">
        <f aca="false">(INDEX(Assumptions!$B$36:$B$48,MATCH(AK79,Assumptions!$A$36:$A$48,0))+IF(I79="Yes",Assumptions!$B$23,0)+IF(J79="Yes",Assumptions!$B$24,0))*(1+IF(UPPER(Assumptions!$B$31)="WORST",Assumptions!$B$28,IF(UPPER(Assumptions!$B$31)="BEST",Assumptions!$B$30,Assumptions!$B$29)))</f>
        <v>1485</v>
      </c>
      <c r="P79" s="47" t="n">
        <f aca="false">L79*O79</f>
        <v>11880000</v>
      </c>
      <c r="Q79" s="47" t="n">
        <f aca="false">D79</f>
        <v>3200000</v>
      </c>
      <c r="R79" s="47" t="n">
        <f aca="false">L79*Assumptions!$B$4</f>
        <v>5600000</v>
      </c>
      <c r="S79" s="47" t="n">
        <f aca="false">IF(H79="Yes",Assumptions!$B$6*(D79),(L79)*Assumptions!$B$5)</f>
        <v>600000</v>
      </c>
      <c r="T79" s="47" t="n">
        <f aca="false">AP79*(Assumptions!$B$8*N79*Assumptions!$B$9+Assumptions!$B$10)</f>
        <v>1191450</v>
      </c>
      <c r="U79" s="47" t="n">
        <f aca="false">Q79*Assumptions!$B$11*N79</f>
        <v>115200</v>
      </c>
      <c r="V79" s="47" t="n">
        <f aca="false">P79*(Assumptions!$B$12+Assumptions!$B$13)</f>
        <v>482328</v>
      </c>
      <c r="W79" s="47" t="n">
        <f aca="false">P79*IF(P79&gt;=Assumptions!$B$16,Assumptions!$B$17,IF(P79&gt;=Assumptions!$B$14,Assumptions!$B$15,0))</f>
        <v>653400</v>
      </c>
      <c r="X79" s="48" t="n">
        <f aca="false">SUM(Q79:W79)</f>
        <v>11842378</v>
      </c>
      <c r="Y79" s="48" t="n">
        <f aca="false">P79-X79</f>
        <v>37622.0000000019</v>
      </c>
      <c r="Z79" s="49" t="n">
        <f aca="false">IF(X79=0,0,Y79/X79)</f>
        <v>0.0031768957214507</v>
      </c>
      <c r="AA79" s="47" t="n">
        <f aca="false">MAX(0,(P79/(1+Assumptions!$B$27)-(L79*(Assumptions!$B$4+IF(H79="Yes",0,Assumptions!$B$5)))*(1+(Assumptions!$B$7*(Assumptions!$B$8*N79*Assumptions!$B$9+Assumptions!$B$10)))-P79*(Assumptions!$B$12+Assumptions!$B$13+IF(P79&gt;=Assumptions!$B$16,Assumptions!$B$17,IF(P79&gt;=Assumptions!$B$14,Assumptions!$B$15,0))))/((1+IF(H79="Yes",Assumptions!$B$6,0))*(1+(Assumptions!$B$7*(Assumptions!$B$8*N79*Assumptions!$B$9+Assumptions!$B$10)))+Assumptions!$B$11*N79))</f>
        <v>1899683.32195975</v>
      </c>
      <c r="AB79" s="50" t="n">
        <f aca="false">IF(AA79&lt;=0,"no price works",D79/AA79)</f>
        <v>1.68449128494681</v>
      </c>
      <c r="AC79" s="46" t="n">
        <f aca="false">(INDEX(Assumptions!$B$36:$B$48,MATCH(AK79,Assumptions!$A$36:$A$48,0))+IF(I79="Yes",Assumptions!$B$23,0)+IF(J79="Yes",Assumptions!$B$24,0))*(1+Assumptions!$B$28)</f>
        <v>1350</v>
      </c>
      <c r="AD79" s="47" t="n">
        <f aca="false">(L79)*AC79-(((D79)+(L79)*Assumptions!$B$4+IF(H79="Yes",Assumptions!$B$6*(D79),(L79)*Assumptions!$B$5))*(1+Assumptions!$B$7*(Assumptions!$B$8*(N79)*Assumptions!$B$9+Assumptions!$B$10))+(D79)*Assumptions!$B$11*(N79)+(L79)*AC79*(Assumptions!$B$12+Assumptions!$B$13+IF((L79)*AC79&gt;=Assumptions!$B$16,Assumptions!$B$17,IF((L79)*AC79&gt;=Assumptions!$B$14,Assumptions!$B$15,0))))</f>
        <v>-777130</v>
      </c>
      <c r="AE79" s="46" t="n">
        <f aca="false">(INDEX(Assumptions!$B$36:$B$48,MATCH(AK79,Assumptions!$A$36:$A$48,0))+IF(I79="Yes",Assumptions!$B$23,0)+IF(J79="Yes",Assumptions!$B$24,0))*(1+Assumptions!$B$29)</f>
        <v>1485</v>
      </c>
      <c r="AF79" s="47" t="n">
        <f aca="false">(L79)*AE79-(((D79)+(L79)*Assumptions!$B$4+IF(H79="Yes",Assumptions!$B$6*(D79),(L79)*Assumptions!$B$5))*(1+Assumptions!$B$7*(Assumptions!$B$8*(N79)*Assumptions!$B$9+Assumptions!$B$10))+(D79)*Assumptions!$B$11*(N79)+(L79)*AE79*(Assumptions!$B$12+Assumptions!$B$13+IF((L79)*AE79&gt;=Assumptions!$B$16,Assumptions!$B$17,IF((L79)*AE79&gt;=Assumptions!$B$14,Assumptions!$B$15,0))))</f>
        <v>37622.0000000019</v>
      </c>
      <c r="AG79" s="46" t="n">
        <f aca="false">(INDEX(Assumptions!$B$36:$B$48,MATCH(AK79,Assumptions!$A$36:$A$48,0))+IF(I79="Yes",Assumptions!$B$23,0)+IF(J79="Yes",Assumptions!$B$24,0))*(1+Assumptions!$B$30)</f>
        <v>1620</v>
      </c>
      <c r="AH79" s="47" t="n">
        <f aca="false">(L79)*AG79-(((D79)+(L79)*Assumptions!$B$4+IF(H79="Yes",Assumptions!$B$6*(D79),(L79)*Assumptions!$B$5))*(1+Assumptions!$B$7*(Assumptions!$B$8*(N79)*Assumptions!$B$9+Assumptions!$B$10))+(D79)*Assumptions!$B$11*(N79)+(L79)*AG79*(Assumptions!$B$12+Assumptions!$B$13+IF((L79)*AG79&gt;=Assumptions!$B$16,Assumptions!$B$17,IF((L79)*AG79&gt;=Assumptions!$B$14,Assumptions!$B$15,0))))</f>
        <v>1014374</v>
      </c>
      <c r="AI79" s="47" t="n">
        <f aca="false">(L79)*AE79-(((D79)+(L79)*Assumptions!$B$25+IF(H79="Yes",Assumptions!$B$6*(D79),(L79)*Assumptions!$B$5))*(1+Assumptions!$B$7*(Assumptions!$B$8*(N79)*Assumptions!$B$9+Assumptions!$B$10))+(D79)*Assumptions!$B$11*(N79)+(L79)*AE79*(Assumptions!$B$12+Assumptions!$B$13+IF((L79)*AE79&gt;=Assumptions!$B$16,Assumptions!$B$17,IF((L79)*AE79&gt;=Assumptions!$B$14,Assumptions!$B$15,0))))</f>
        <v>488322.000000002</v>
      </c>
      <c r="AJ79" s="47" t="n">
        <f aca="false">(L79)*AE79-(((D79)+(L79)*Assumptions!$B$26+IF(H79="Yes",Assumptions!$B$6*(D79),(L79)*Assumptions!$B$5))*(1+Assumptions!$B$7*(Assumptions!$B$8*(N79)*Assumptions!$B$9+Assumptions!$B$10))+(D79)*Assumptions!$B$11*(N79)+(L79)*AE79*(Assumptions!$B$12+Assumptions!$B$13+IF((L79)*AE79&gt;=Assumptions!$B$16,Assumptions!$B$17,IF((L79)*AE79&gt;=Assumptions!$B$14,Assumptions!$B$15,0))))</f>
        <v>939022.000000002</v>
      </c>
      <c r="AK79" s="40" t="s">
        <v>104</v>
      </c>
      <c r="AL79" s="45" t="n">
        <f aca="false">IF(G79&gt;0,G79,ROUND(F79*Assumptions!$B$18,0))</f>
        <v>2633</v>
      </c>
      <c r="AM79" s="45" t="n">
        <f aca="false">IF(H79="Yes",AL79,MAX(AL79,MIN(Assumptions!$B$20,ROUND(E79*Assumptions!$B$19,0))))</f>
        <v>8000</v>
      </c>
      <c r="AN79" s="47" t="n">
        <f aca="false">(AL79)*AE79-(((D79)+(AL79)*Assumptions!$B$4+IF(H79="Yes",Assumptions!$B$6*(D79),(AL79)*Assumptions!$B$5))*(1+Assumptions!$B$7*(Assumptions!$B$8*(Assumptions!$B$21)*Assumptions!$B$9+Assumptions!$B$10))+(D79)*Assumptions!$B$11*(Assumptions!$B$21)+(AL79)*AE79*(Assumptions!$B$12+Assumptions!$B$13+IF((AL79)*AE79&gt;=Assumptions!$B$16,Assumptions!$B$17,IF((AL79)*AE79&gt;=Assumptions!$B$14,Assumptions!$B$15,0))))</f>
        <v>-2025976.65925</v>
      </c>
      <c r="AO79" s="47" t="n">
        <f aca="false">(AM79)*AE79-(((D79)+(AM79)*Assumptions!$B$4+IF(H79="Yes",Assumptions!$B$6*(D79),(AM79)*Assumptions!$B$5))*(1+Assumptions!$B$7*(Assumptions!$B$8*(IF(AM79&gt;AL79,Assumptions!$B$22,Assumptions!$B$21))*Assumptions!$B$9+Assumptions!$B$10))+(D79)*Assumptions!$B$11*(IF(AM79&gt;AL79,Assumptions!$B$22,Assumptions!$B$21))+(AM79)*AE79*(Assumptions!$B$12+Assumptions!$B$13+IF((AM79)*AE79&gt;=Assumptions!$B$16,Assumptions!$B$17,IF((AM79)*AE79&gt;=Assumptions!$B$14,Assumptions!$B$15,0))))</f>
        <v>37622.0000000019</v>
      </c>
      <c r="AP79" s="47" t="n">
        <f aca="false">Assumptions!$B$7*(Q79+R79+S79)</f>
        <v>6110000</v>
      </c>
    </row>
    <row r="80" customFormat="false" ht="15" hidden="false" customHeight="false" outlineLevel="0" collapsed="false">
      <c r="A80" s="40" t="n">
        <v>78</v>
      </c>
      <c r="B80" s="40" t="s">
        <v>209</v>
      </c>
      <c r="C80" s="40" t="s">
        <v>126</v>
      </c>
      <c r="D80" s="41" t="n">
        <v>2700000</v>
      </c>
      <c r="E80" s="42" t="n">
        <v>7502</v>
      </c>
      <c r="F80" s="42" t="n">
        <v>3760</v>
      </c>
      <c r="G80" s="42"/>
      <c r="H80" s="43" t="s">
        <v>71</v>
      </c>
      <c r="I80" s="43" t="s">
        <v>71</v>
      </c>
      <c r="J80" s="43" t="s">
        <v>71</v>
      </c>
      <c r="K80" s="44"/>
      <c r="L80" s="45" t="n">
        <f aca="false">IF(AO80&gt;AN80,AM80,AL80)</f>
        <v>4136</v>
      </c>
      <c r="M80" s="40" t="str">
        <f aca="false">IF(AO80&gt;AN80,"Zoning estimate",IF(H80="Yes","Approved plans",IF(G80&gt;0,"Listing claim","110% old house")))</f>
        <v>110% old house</v>
      </c>
      <c r="N80" s="45" t="n">
        <f aca="false">IF(AO80&gt;AN80,IF(AM80&gt;AL80,Assumptions!$B$22,Assumptions!$B$21),Assumptions!$B$21)</f>
        <v>2</v>
      </c>
      <c r="O80" s="46" t="n">
        <f aca="false">(INDEX(Assumptions!$B$36:$B$48,MATCH(AK80,Assumptions!$A$36:$A$48,0))+IF(I80="Yes",Assumptions!$B$23,0)+IF(J80="Yes",Assumptions!$B$24,0))*(1+IF(UPPER(Assumptions!$B$31)="WORST",Assumptions!$B$28,IF(UPPER(Assumptions!$B$31)="BEST",Assumptions!$B$30,Assumptions!$B$29)))</f>
        <v>1430</v>
      </c>
      <c r="P80" s="47" t="n">
        <f aca="false">L80*O80</f>
        <v>5914480</v>
      </c>
      <c r="Q80" s="47" t="n">
        <f aca="false">D80</f>
        <v>2700000</v>
      </c>
      <c r="R80" s="47" t="n">
        <f aca="false">L80*Assumptions!$B$4</f>
        <v>2895200</v>
      </c>
      <c r="S80" s="47" t="n">
        <f aca="false">IF(H80="Yes",Assumptions!$B$6*(D80),(L80)*Assumptions!$B$5)</f>
        <v>310200</v>
      </c>
      <c r="T80" s="47" t="n">
        <f aca="false">AP80*(Assumptions!$B$8*N80*Assumptions!$B$9+Assumptions!$B$10)</f>
        <v>518198.85</v>
      </c>
      <c r="U80" s="47" t="n">
        <f aca="false">Q80*Assumptions!$B$11*N80</f>
        <v>64800</v>
      </c>
      <c r="V80" s="47" t="n">
        <f aca="false">P80*(Assumptions!$B$12+Assumptions!$B$13)</f>
        <v>240127.888</v>
      </c>
      <c r="W80" s="47" t="n">
        <f aca="false">P80*IF(P80&gt;=Assumptions!$B$16,Assumptions!$B$17,IF(P80&gt;=Assumptions!$B$14,Assumptions!$B$15,0))</f>
        <v>236579.2</v>
      </c>
      <c r="X80" s="48" t="n">
        <f aca="false">SUM(Q80:W80)</f>
        <v>6965105.938</v>
      </c>
      <c r="Y80" s="48" t="n">
        <f aca="false">P80-X80</f>
        <v>-1050625.938</v>
      </c>
      <c r="Z80" s="49" t="n">
        <f aca="false">IF(X80=0,0,Y80/X80)</f>
        <v>-0.150841343599389</v>
      </c>
      <c r="AA80" s="47" t="n">
        <f aca="false">MAX(0,(P80/(1+Assumptions!$B$27)-(L80*(Assumptions!$B$4+IF(H80="Yes",0,Assumptions!$B$5)))*(1+(Assumptions!$B$7*(Assumptions!$B$8*N80*Assumptions!$B$9+Assumptions!$B$10)))-P80*(Assumptions!$B$12+Assumptions!$B$13+IF(P80&gt;=Assumptions!$B$16,Assumptions!$B$17,IF(P80&gt;=Assumptions!$B$14,Assumptions!$B$15,0))))/((1+IF(H80="Yes",Assumptions!$B$6,0))*(1+(Assumptions!$B$7*(Assumptions!$B$8*N80*Assumptions!$B$9+Assumptions!$B$10)))+Assumptions!$B$11*N80))</f>
        <v>1061070.51851273</v>
      </c>
      <c r="AB80" s="50" t="n">
        <f aca="false">IF(AA80&lt;=0,"no price works",D80/AA80)</f>
        <v>2.54459996097575</v>
      </c>
      <c r="AC80" s="46" t="n">
        <f aca="false">(INDEX(Assumptions!$B$36:$B$48,MATCH(AK80,Assumptions!$A$36:$A$48,0))+IF(I80="Yes",Assumptions!$B$23,0)+IF(J80="Yes",Assumptions!$B$24,0))*(1+Assumptions!$B$28)</f>
        <v>1300</v>
      </c>
      <c r="AD80" s="47" t="n">
        <f aca="false">(L80)*AC80-(((D80)+(L80)*Assumptions!$B$4+IF(H80="Yes",Assumptions!$B$6*(D80),(L80)*Assumptions!$B$5))*(1+Assumptions!$B$7*(Assumptions!$B$8*(N80)*Assumptions!$B$9+Assumptions!$B$10))+(D80)*Assumptions!$B$11*(N80)+(L80)*AC80*(Assumptions!$B$12+Assumptions!$B$13+IF((L80)*AC80&gt;=Assumptions!$B$16,Assumptions!$B$17,IF((L80)*AC80&gt;=Assumptions!$B$14,Assumptions!$B$15,0))))</f>
        <v>-1329896.93</v>
      </c>
      <c r="AE80" s="46" t="n">
        <f aca="false">(INDEX(Assumptions!$B$36:$B$48,MATCH(AK80,Assumptions!$A$36:$A$48,0))+IF(I80="Yes",Assumptions!$B$23,0)+IF(J80="Yes",Assumptions!$B$24,0))*(1+Assumptions!$B$29)</f>
        <v>1430</v>
      </c>
      <c r="AF80" s="47" t="n">
        <f aca="false">(L80)*AE80-(((D80)+(L80)*Assumptions!$B$4+IF(H80="Yes",Assumptions!$B$6*(D80),(L80)*Assumptions!$B$5))*(1+Assumptions!$B$7*(Assumptions!$B$8*(N80)*Assumptions!$B$9+Assumptions!$B$10))+(D80)*Assumptions!$B$11*(N80)+(L80)*AE80*(Assumptions!$B$12+Assumptions!$B$13+IF((L80)*AE80&gt;=Assumptions!$B$16,Assumptions!$B$17,IF((L80)*AE80&gt;=Assumptions!$B$14,Assumptions!$B$15,0))))</f>
        <v>-1050625.938</v>
      </c>
      <c r="AG80" s="46" t="n">
        <f aca="false">(INDEX(Assumptions!$B$36:$B$48,MATCH(AK80,Assumptions!$A$36:$A$48,0))+IF(I80="Yes",Assumptions!$B$23,0)+IF(J80="Yes",Assumptions!$B$24,0))*(1+Assumptions!$B$30)</f>
        <v>1560</v>
      </c>
      <c r="AH80" s="47" t="n">
        <f aca="false">(L80)*AG80-(((D80)+(L80)*Assumptions!$B$4+IF(H80="Yes",Assumptions!$B$6*(D80),(L80)*Assumptions!$B$5))*(1+Assumptions!$B$7*(Assumptions!$B$8*(N80)*Assumptions!$B$9+Assumptions!$B$10))+(D80)*Assumptions!$B$11*(N80)+(L80)*AG80*(Assumptions!$B$12+Assumptions!$B$13+IF((L80)*AG80&gt;=Assumptions!$B$16,Assumptions!$B$17,IF((L80)*AG80&gt;=Assumptions!$B$14,Assumptions!$B$15,0))))</f>
        <v>-556282.946</v>
      </c>
      <c r="AI80" s="47" t="n">
        <f aca="false">(L80)*AE80-(((D80)+(L80)*Assumptions!$B$25+IF(H80="Yes",Assumptions!$B$6*(D80),(L80)*Assumptions!$B$5))*(1+Assumptions!$B$7*(Assumptions!$B$8*(N80)*Assumptions!$B$9+Assumptions!$B$10))+(D80)*Assumptions!$B$11*(N80)+(L80)*AE80*(Assumptions!$B$12+Assumptions!$B$13+IF((L80)*AE80&gt;=Assumptions!$B$16,Assumptions!$B$17,IF((L80)*AE80&gt;=Assumptions!$B$14,Assumptions!$B$15,0))))</f>
        <v>-825679.238</v>
      </c>
      <c r="AJ80" s="47" t="n">
        <f aca="false">(L80)*AE80-(((D80)+(L80)*Assumptions!$B$26+IF(H80="Yes",Assumptions!$B$6*(D80),(L80)*Assumptions!$B$5))*(1+Assumptions!$B$7*(Assumptions!$B$8*(N80)*Assumptions!$B$9+Assumptions!$B$10))+(D80)*Assumptions!$B$11*(N80)+(L80)*AE80*(Assumptions!$B$12+Assumptions!$B$13+IF((L80)*AE80&gt;=Assumptions!$B$16,Assumptions!$B$17,IF((L80)*AE80&gt;=Assumptions!$B$14,Assumptions!$B$15,0))))</f>
        <v>-600732.538</v>
      </c>
      <c r="AK80" s="40" t="s">
        <v>128</v>
      </c>
      <c r="AL80" s="45" t="n">
        <f aca="false">IF(G80&gt;0,G80,ROUND(F80*Assumptions!$B$18,0))</f>
        <v>4136</v>
      </c>
      <c r="AM80" s="45" t="n">
        <f aca="false">IF(H80="Yes",AL80,MAX(AL80,MIN(Assumptions!$B$20,ROUND(E80*Assumptions!$B$19,0))))</f>
        <v>4136</v>
      </c>
      <c r="AN80" s="47" t="n">
        <f aca="false">(AL80)*AE80-(((D80)+(AL80)*Assumptions!$B$4+IF(H80="Yes",Assumptions!$B$6*(D80),(AL80)*Assumptions!$B$5))*(1+Assumptions!$B$7*(Assumptions!$B$8*(Assumptions!$B$21)*Assumptions!$B$9+Assumptions!$B$10))+(D80)*Assumptions!$B$11*(Assumptions!$B$21)+(AL80)*AE80*(Assumptions!$B$12+Assumptions!$B$13+IF((AL80)*AE80&gt;=Assumptions!$B$16,Assumptions!$B$17,IF((AL80)*AE80&gt;=Assumptions!$B$14,Assumptions!$B$15,0))))</f>
        <v>-1050625.938</v>
      </c>
      <c r="AO80" s="47" t="n">
        <f aca="false">(AM80)*AE80-(((D80)+(AM80)*Assumptions!$B$4+IF(H80="Yes",Assumptions!$B$6*(D80),(AM80)*Assumptions!$B$5))*(1+Assumptions!$B$7*(Assumptions!$B$8*(IF(AM80&gt;AL80,Assumptions!$B$22,Assumptions!$B$21))*Assumptions!$B$9+Assumptions!$B$10))+(D80)*Assumptions!$B$11*(IF(AM80&gt;AL80,Assumptions!$B$22,Assumptions!$B$21))+(AM80)*AE80*(Assumptions!$B$12+Assumptions!$B$13+IF((AM80)*AE80&gt;=Assumptions!$B$16,Assumptions!$B$17,IF((AM80)*AE80&gt;=Assumptions!$B$14,Assumptions!$B$15,0))))</f>
        <v>-1050625.938</v>
      </c>
      <c r="AP80" s="47" t="n">
        <f aca="false">Assumptions!$B$7*(Q80+R80+S80)</f>
        <v>3838510</v>
      </c>
    </row>
    <row r="81" customFormat="false" ht="15" hidden="false" customHeight="false" outlineLevel="0" collapsed="false">
      <c r="A81" s="40" t="n">
        <v>79</v>
      </c>
      <c r="B81" s="40" t="s">
        <v>210</v>
      </c>
      <c r="C81" s="40" t="s">
        <v>126</v>
      </c>
      <c r="D81" s="41" t="n">
        <v>2900000</v>
      </c>
      <c r="E81" s="42" t="n">
        <v>13068</v>
      </c>
      <c r="F81" s="42" t="n">
        <v>3409</v>
      </c>
      <c r="G81" s="42"/>
      <c r="H81" s="43" t="s">
        <v>71</v>
      </c>
      <c r="I81" s="43" t="s">
        <v>80</v>
      </c>
      <c r="J81" s="43" t="s">
        <v>71</v>
      </c>
      <c r="K81" s="44" t="s">
        <v>211</v>
      </c>
      <c r="L81" s="45" t="n">
        <f aca="false">IF(AO81&gt;AN81,AM81,AL81)</f>
        <v>5227</v>
      </c>
      <c r="M81" s="40" t="str">
        <f aca="false">IF(AO81&gt;AN81,"Zoning estimate",IF(H81="Yes","Approved plans",IF(G81&gt;0,"Listing claim","110% old house")))</f>
        <v>Zoning estimate</v>
      </c>
      <c r="N81" s="45" t="n">
        <f aca="false">IF(AO81&gt;AN81,IF(AM81&gt;AL81,Assumptions!$B$22,Assumptions!$B$21),Assumptions!$B$21)</f>
        <v>3</v>
      </c>
      <c r="O81" s="46" t="n">
        <f aca="false">(INDEX(Assumptions!$B$36:$B$48,MATCH(AK81,Assumptions!$A$36:$A$48,0))+IF(I81="Yes",Assumptions!$B$23,0)+IF(J81="Yes",Assumptions!$B$24,0))*(1+IF(UPPER(Assumptions!$B$31)="WORST",Assumptions!$B$28,IF(UPPER(Assumptions!$B$31)="BEST",Assumptions!$B$30,Assumptions!$B$29)))</f>
        <v>1540</v>
      </c>
      <c r="P81" s="47" t="n">
        <f aca="false">L81*O81</f>
        <v>8049580</v>
      </c>
      <c r="Q81" s="47" t="n">
        <f aca="false">D81</f>
        <v>2900000</v>
      </c>
      <c r="R81" s="47" t="n">
        <f aca="false">L81*Assumptions!$B$4</f>
        <v>3658900</v>
      </c>
      <c r="S81" s="47" t="n">
        <f aca="false">IF(H81="Yes",Assumptions!$B$6*(D81),(L81)*Assumptions!$B$5)</f>
        <v>392025</v>
      </c>
      <c r="T81" s="47" t="n">
        <f aca="false">AP81*(Assumptions!$B$8*N81*Assumptions!$B$9+Assumptions!$B$10)</f>
        <v>881029.74375</v>
      </c>
      <c r="U81" s="47" t="n">
        <f aca="false">Q81*Assumptions!$B$11*N81</f>
        <v>104400</v>
      </c>
      <c r="V81" s="47" t="n">
        <f aca="false">P81*(Assumptions!$B$12+Assumptions!$B$13)</f>
        <v>326812.948</v>
      </c>
      <c r="W81" s="47" t="n">
        <f aca="false">P81*IF(P81&gt;=Assumptions!$B$16,Assumptions!$B$17,IF(P81&gt;=Assumptions!$B$14,Assumptions!$B$15,0))</f>
        <v>321983.2</v>
      </c>
      <c r="X81" s="48" t="n">
        <f aca="false">SUM(Q81:W81)</f>
        <v>8585150.89175</v>
      </c>
      <c r="Y81" s="48" t="n">
        <f aca="false">P81-X81</f>
        <v>-535570.89175</v>
      </c>
      <c r="Z81" s="49" t="n">
        <f aca="false">IF(X81=0,0,Y81/X81)</f>
        <v>-0.0623833987897245</v>
      </c>
      <c r="AA81" s="47" t="n">
        <f aca="false">MAX(0,(P81/(1+Assumptions!$B$27)-(L81*(Assumptions!$B$4+IF(H81="Yes",0,Assumptions!$B$5)))*(1+(Assumptions!$B$7*(Assumptions!$B$8*N81*Assumptions!$B$9+Assumptions!$B$10)))-P81*(Assumptions!$B$12+Assumptions!$B$13+IF(P81&gt;=Assumptions!$B$16,Assumptions!$B$17,IF(P81&gt;=Assumptions!$B$14,Assumptions!$B$15,0))))/((1+IF(H81="Yes",Assumptions!$B$6,0))*(1+(Assumptions!$B$7*(Assumptions!$B$8*N81*Assumptions!$B$9+Assumptions!$B$10)))+Assumptions!$B$11*N81))</f>
        <v>1536408.4204332</v>
      </c>
      <c r="AB81" s="50" t="n">
        <f aca="false">IF(AA81&lt;=0,"no price works",D81/AA81)</f>
        <v>1.88751894446292</v>
      </c>
      <c r="AC81" s="46" t="n">
        <f aca="false">(INDEX(Assumptions!$B$36:$B$48,MATCH(AK81,Assumptions!$A$36:$A$48,0))+IF(I81="Yes",Assumptions!$B$23,0)+IF(J81="Yes",Assumptions!$B$24,0))*(1+Assumptions!$B$28)</f>
        <v>1400</v>
      </c>
      <c r="AD81" s="47" t="n">
        <f aca="false">(L81)*AC81-(((D81)+(L81)*Assumptions!$B$4+IF(H81="Yes",Assumptions!$B$6*(D81),(L81)*Assumptions!$B$5))*(1+Assumptions!$B$7*(Assumptions!$B$8*(N81)*Assumptions!$B$9+Assumptions!$B$10))+(D81)*Assumptions!$B$11*(N81)+(L81)*AC81*(Assumptions!$B$12+Assumptions!$B$13+IF((L81)*AC81&gt;=Assumptions!$B$16,Assumptions!$B$17,IF((L81)*AC81&gt;=Assumptions!$B$14,Assumptions!$B$15,0))))</f>
        <v>-1208369.42375</v>
      </c>
      <c r="AE81" s="46" t="n">
        <f aca="false">(INDEX(Assumptions!$B$36:$B$48,MATCH(AK81,Assumptions!$A$36:$A$48,0))+IF(I81="Yes",Assumptions!$B$23,0)+IF(J81="Yes",Assumptions!$B$24,0))*(1+Assumptions!$B$29)</f>
        <v>1540</v>
      </c>
      <c r="AF81" s="47" t="n">
        <f aca="false">(L81)*AE81-(((D81)+(L81)*Assumptions!$B$4+IF(H81="Yes",Assumptions!$B$6*(D81),(L81)*Assumptions!$B$5))*(1+Assumptions!$B$7*(Assumptions!$B$8*(N81)*Assumptions!$B$9+Assumptions!$B$10))+(D81)*Assumptions!$B$11*(N81)+(L81)*AE81*(Assumptions!$B$12+Assumptions!$B$13+IF((L81)*AE81&gt;=Assumptions!$B$16,Assumptions!$B$17,IF((L81)*AE81&gt;=Assumptions!$B$14,Assumptions!$B$15,0))))</f>
        <v>-535570.89175</v>
      </c>
      <c r="AG81" s="46" t="n">
        <f aca="false">(INDEX(Assumptions!$B$36:$B$48,MATCH(AK81,Assumptions!$A$36:$A$48,0))+IF(I81="Yes",Assumptions!$B$23,0)+IF(J81="Yes",Assumptions!$B$24,0))*(1+Assumptions!$B$30)</f>
        <v>1680</v>
      </c>
      <c r="AH81" s="47" t="n">
        <f aca="false">(L81)*AG81-(((D81)+(L81)*Assumptions!$B$4+IF(H81="Yes",Assumptions!$B$6*(D81),(L81)*Assumptions!$B$5))*(1+Assumptions!$B$7*(Assumptions!$B$8*(N81)*Assumptions!$B$9+Assumptions!$B$10))+(D81)*Assumptions!$B$11*(N81)+(L81)*AG81*(Assumptions!$B$12+Assumptions!$B$13+IF((L81)*AG81&gt;=Assumptions!$B$16,Assumptions!$B$17,IF((L81)*AG81&gt;=Assumptions!$B$14,Assumptions!$B$15,0))))</f>
        <v>137227.640250001</v>
      </c>
      <c r="AI81" s="47" t="n">
        <f aca="false">(L81)*AE81-(((D81)+(L81)*Assumptions!$B$25+IF(H81="Yes",Assumptions!$B$6*(D81),(L81)*Assumptions!$B$5))*(1+Assumptions!$B$7*(Assumptions!$B$8*(N81)*Assumptions!$B$9+Assumptions!$B$10))+(D81)*Assumptions!$B$11*(N81)+(L81)*AE81*(Assumptions!$B$12+Assumptions!$B$13+IF((L81)*AE81&gt;=Assumptions!$B$16,Assumptions!$B$17,IF((L81)*AE81&gt;=Assumptions!$B$14,Assumptions!$B$15,0))))</f>
        <v>-241094.779249999</v>
      </c>
      <c r="AJ81" s="47" t="n">
        <f aca="false">(L81)*AE81-(((D81)+(L81)*Assumptions!$B$26+IF(H81="Yes",Assumptions!$B$6*(D81),(L81)*Assumptions!$B$5))*(1+Assumptions!$B$7*(Assumptions!$B$8*(N81)*Assumptions!$B$9+Assumptions!$B$10))+(D81)*Assumptions!$B$11*(N81)+(L81)*AE81*(Assumptions!$B$12+Assumptions!$B$13+IF((L81)*AE81&gt;=Assumptions!$B$16,Assumptions!$B$17,IF((L81)*AE81&gt;=Assumptions!$B$14,Assumptions!$B$15,0))))</f>
        <v>53381.3332500011</v>
      </c>
      <c r="AK81" s="40" t="s">
        <v>128</v>
      </c>
      <c r="AL81" s="45" t="n">
        <f aca="false">IF(G81&gt;0,G81,ROUND(F81*Assumptions!$B$18,0))</f>
        <v>3750</v>
      </c>
      <c r="AM81" s="45" t="n">
        <f aca="false">IF(H81="Yes",AL81,MAX(AL81,MIN(Assumptions!$B$20,ROUND(E81*Assumptions!$B$19,0))))</f>
        <v>5227</v>
      </c>
      <c r="AN81" s="47" t="n">
        <f aca="false">(AL81)*AE81-(((D81)+(AL81)*Assumptions!$B$4+IF(H81="Yes",Assumptions!$B$6*(D81),(AL81)*Assumptions!$B$5))*(1+Assumptions!$B$7*(Assumptions!$B$8*(Assumptions!$B$21)*Assumptions!$B$9+Assumptions!$B$10))+(D81)*Assumptions!$B$11*(Assumptions!$B$21)+(AL81)*AE81*(Assumptions!$B$12+Assumptions!$B$13+IF((AL81)*AE81&gt;=Assumptions!$B$16,Assumptions!$B$17,IF((AL81)*AE81&gt;=Assumptions!$B$14,Assumptions!$B$15,0))))</f>
        <v>-1075813.4375</v>
      </c>
      <c r="AO81" s="47" t="n">
        <f aca="false">(AM81)*AE81-(((D81)+(AM81)*Assumptions!$B$4+IF(H81="Yes",Assumptions!$B$6*(D81),(AM81)*Assumptions!$B$5))*(1+Assumptions!$B$7*(Assumptions!$B$8*(IF(AM81&gt;AL81,Assumptions!$B$22,Assumptions!$B$21))*Assumptions!$B$9+Assumptions!$B$10))+(D81)*Assumptions!$B$11*(IF(AM81&gt;AL81,Assumptions!$B$22,Assumptions!$B$21))+(AM81)*AE81*(Assumptions!$B$12+Assumptions!$B$13+IF((AM81)*AE81&gt;=Assumptions!$B$16,Assumptions!$B$17,IF((AM81)*AE81&gt;=Assumptions!$B$14,Assumptions!$B$15,0))))</f>
        <v>-535570.89175</v>
      </c>
      <c r="AP81" s="47" t="n">
        <f aca="false">Assumptions!$B$7*(Q81+R81+S81)</f>
        <v>4518101.25</v>
      </c>
    </row>
    <row r="82" customFormat="false" ht="15" hidden="false" customHeight="false" outlineLevel="0" collapsed="false">
      <c r="A82" s="40" t="n">
        <v>80</v>
      </c>
      <c r="B82" s="40" t="s">
        <v>212</v>
      </c>
      <c r="C82" s="40" t="s">
        <v>126</v>
      </c>
      <c r="D82" s="41" t="n">
        <v>2795000</v>
      </c>
      <c r="E82" s="42" t="n">
        <v>6002</v>
      </c>
      <c r="F82" s="42" t="n">
        <v>3179</v>
      </c>
      <c r="G82" s="42"/>
      <c r="H82" s="43" t="s">
        <v>71</v>
      </c>
      <c r="I82" s="43" t="s">
        <v>80</v>
      </c>
      <c r="J82" s="43" t="s">
        <v>71</v>
      </c>
      <c r="K82" s="44" t="s">
        <v>213</v>
      </c>
      <c r="L82" s="45" t="n">
        <f aca="false">IF(AO82&gt;AN82,AM82,AL82)</f>
        <v>3497</v>
      </c>
      <c r="M82" s="40" t="str">
        <f aca="false">IF(AO82&gt;AN82,"Zoning estimate",IF(H82="Yes","Approved plans",IF(G82&gt;0,"Listing claim","110% old house")))</f>
        <v>110% old house</v>
      </c>
      <c r="N82" s="45" t="n">
        <f aca="false">IF(AO82&gt;AN82,IF(AM82&gt;AL82,Assumptions!$B$22,Assumptions!$B$21),Assumptions!$B$21)</f>
        <v>2</v>
      </c>
      <c r="O82" s="46" t="n">
        <f aca="false">(INDEX(Assumptions!$B$36:$B$48,MATCH(AK82,Assumptions!$A$36:$A$48,0))+IF(I82="Yes",Assumptions!$B$23,0)+IF(J82="Yes",Assumptions!$B$24,0))*(1+IF(UPPER(Assumptions!$B$31)="WORST",Assumptions!$B$28,IF(UPPER(Assumptions!$B$31)="BEST",Assumptions!$B$30,Assumptions!$B$29)))</f>
        <v>1540</v>
      </c>
      <c r="P82" s="47" t="n">
        <f aca="false">L82*O82</f>
        <v>5385380</v>
      </c>
      <c r="Q82" s="47" t="n">
        <f aca="false">D82</f>
        <v>2795000</v>
      </c>
      <c r="R82" s="47" t="n">
        <f aca="false">L82*Assumptions!$B$4</f>
        <v>2447900</v>
      </c>
      <c r="S82" s="47" t="n">
        <f aca="false">IF(H82="Yes",Assumptions!$B$6*(D82),(L82)*Assumptions!$B$5)</f>
        <v>262275</v>
      </c>
      <c r="T82" s="47" t="n">
        <f aca="false">AP82*(Assumptions!$B$8*N82*Assumptions!$B$9+Assumptions!$B$10)</f>
        <v>483079.10625</v>
      </c>
      <c r="U82" s="47" t="n">
        <f aca="false">Q82*Assumptions!$B$11*N82</f>
        <v>67080</v>
      </c>
      <c r="V82" s="47" t="n">
        <f aca="false">P82*(Assumptions!$B$12+Assumptions!$B$13)</f>
        <v>218646.428</v>
      </c>
      <c r="W82" s="47" t="n">
        <f aca="false">P82*IF(P82&gt;=Assumptions!$B$16,Assumptions!$B$17,IF(P82&gt;=Assumptions!$B$14,Assumptions!$B$15,0))</f>
        <v>0</v>
      </c>
      <c r="X82" s="48" t="n">
        <f aca="false">SUM(Q82:W82)</f>
        <v>6273980.53425</v>
      </c>
      <c r="Y82" s="48" t="n">
        <f aca="false">P82-X82</f>
        <v>-888600.53425</v>
      </c>
      <c r="Z82" s="49" t="n">
        <f aca="false">IF(X82=0,0,Y82/X82)</f>
        <v>-0.141632657194118</v>
      </c>
      <c r="AA82" s="47" t="n">
        <f aca="false">MAX(0,(P82/(1+Assumptions!$B$27)-(L82*(Assumptions!$B$4+IF(H82="Yes",0,Assumptions!$B$5)))*(1+(Assumptions!$B$7*(Assumptions!$B$8*N82*Assumptions!$B$9+Assumptions!$B$10)))-P82*(Assumptions!$B$12+Assumptions!$B$13+IF(P82&gt;=Assumptions!$B$16,Assumptions!$B$17,IF(P82&gt;=Assumptions!$B$14,Assumptions!$B$15,0))))/((1+IF(H82="Yes",Assumptions!$B$6,0))*(1+(Assumptions!$B$7*(Assumptions!$B$8*N82*Assumptions!$B$9+Assumptions!$B$10)))+Assumptions!$B$11*N82))</f>
        <v>1363885.62733059</v>
      </c>
      <c r="AB82" s="50" t="n">
        <f aca="false">IF(AA82&lt;=0,"no price works",D82/AA82)</f>
        <v>2.04929206965132</v>
      </c>
      <c r="AC82" s="46" t="n">
        <f aca="false">(INDEX(Assumptions!$B$36:$B$48,MATCH(AK82,Assumptions!$A$36:$A$48,0))+IF(I82="Yes",Assumptions!$B$23,0)+IF(J82="Yes",Assumptions!$B$24,0))*(1+Assumptions!$B$28)</f>
        <v>1400</v>
      </c>
      <c r="AD82" s="47" t="n">
        <f aca="false">(L82)*AC82-(((D82)+(L82)*Assumptions!$B$4+IF(H82="Yes",Assumptions!$B$6*(D82),(L82)*Assumptions!$B$5))*(1+Assumptions!$B$7*(Assumptions!$B$8*(N82)*Assumptions!$B$9+Assumptions!$B$10))+(D82)*Assumptions!$B$11*(N82)+(L82)*AC82*(Assumptions!$B$12+Assumptions!$B$13+IF((L82)*AC82&gt;=Assumptions!$B$16,Assumptions!$B$17,IF((L82)*AC82&gt;=Assumptions!$B$14,Assumptions!$B$15,0))))</f>
        <v>-1358303.58625</v>
      </c>
      <c r="AE82" s="46" t="n">
        <f aca="false">(INDEX(Assumptions!$B$36:$B$48,MATCH(AK82,Assumptions!$A$36:$A$48,0))+IF(I82="Yes",Assumptions!$B$23,0)+IF(J82="Yes",Assumptions!$B$24,0))*(1+Assumptions!$B$29)</f>
        <v>1540</v>
      </c>
      <c r="AF82" s="47" t="n">
        <f aca="false">(L82)*AE82-(((D82)+(L82)*Assumptions!$B$4+IF(H82="Yes",Assumptions!$B$6*(D82),(L82)*Assumptions!$B$5))*(1+Assumptions!$B$7*(Assumptions!$B$8*(N82)*Assumptions!$B$9+Assumptions!$B$10))+(D82)*Assumptions!$B$11*(N82)+(L82)*AE82*(Assumptions!$B$12+Assumptions!$B$13+IF((L82)*AE82&gt;=Assumptions!$B$16,Assumptions!$B$17,IF((L82)*AE82&gt;=Assumptions!$B$14,Assumptions!$B$15,0))))</f>
        <v>-888600.53425</v>
      </c>
      <c r="AG82" s="46" t="n">
        <f aca="false">(INDEX(Assumptions!$B$36:$B$48,MATCH(AK82,Assumptions!$A$36:$A$48,0))+IF(I82="Yes",Assumptions!$B$23,0)+IF(J82="Yes",Assumptions!$B$24,0))*(1+Assumptions!$B$30)</f>
        <v>1680</v>
      </c>
      <c r="AH82" s="47" t="n">
        <f aca="false">(L82)*AG82-(((D82)+(L82)*Assumptions!$B$4+IF(H82="Yes",Assumptions!$B$6*(D82),(L82)*Assumptions!$B$5))*(1+Assumptions!$B$7*(Assumptions!$B$8*(N82)*Assumptions!$B$9+Assumptions!$B$10))+(D82)*Assumptions!$B$11*(N82)+(L82)*AG82*(Assumptions!$B$12+Assumptions!$B$13+IF((L82)*AG82&gt;=Assumptions!$B$16,Assumptions!$B$17,IF((L82)*AG82&gt;=Assumptions!$B$14,Assumptions!$B$15,0))))</f>
        <v>-653895.88225</v>
      </c>
      <c r="AI82" s="47" t="n">
        <f aca="false">(L82)*AE82-(((D82)+(L82)*Assumptions!$B$25+IF(H82="Yes",Assumptions!$B$6*(D82),(L82)*Assumptions!$B$5))*(1+Assumptions!$B$7*(Assumptions!$B$8*(N82)*Assumptions!$B$9+Assumptions!$B$10))+(D82)*Assumptions!$B$11*(N82)+(L82)*AE82*(Assumptions!$B$12+Assumptions!$B$13+IF((L82)*AE82&gt;=Assumptions!$B$16,Assumptions!$B$17,IF((L82)*AE82&gt;=Assumptions!$B$14,Assumptions!$B$15,0))))</f>
        <v>-698407.446749999</v>
      </c>
      <c r="AJ82" s="47" t="n">
        <f aca="false">(L82)*AE82-(((D82)+(L82)*Assumptions!$B$26+IF(H82="Yes",Assumptions!$B$6*(D82),(L82)*Assumptions!$B$5))*(1+Assumptions!$B$7*(Assumptions!$B$8*(N82)*Assumptions!$B$9+Assumptions!$B$10))+(D82)*Assumptions!$B$11*(N82)+(L82)*AE82*(Assumptions!$B$12+Assumptions!$B$13+IF((L82)*AE82&gt;=Assumptions!$B$16,Assumptions!$B$17,IF((L82)*AE82&gt;=Assumptions!$B$14,Assumptions!$B$15,0))))</f>
        <v>-508214.35925</v>
      </c>
      <c r="AK82" s="40" t="s">
        <v>128</v>
      </c>
      <c r="AL82" s="45" t="n">
        <f aca="false">IF(G82&gt;0,G82,ROUND(F82*Assumptions!$B$18,0))</f>
        <v>3497</v>
      </c>
      <c r="AM82" s="45" t="n">
        <f aca="false">IF(H82="Yes",AL82,MAX(AL82,MIN(Assumptions!$B$20,ROUND(E82*Assumptions!$B$19,0))))</f>
        <v>3497</v>
      </c>
      <c r="AN82" s="47" t="n">
        <f aca="false">(AL82)*AE82-(((D82)+(AL82)*Assumptions!$B$4+IF(H82="Yes",Assumptions!$B$6*(D82),(AL82)*Assumptions!$B$5))*(1+Assumptions!$B$7*(Assumptions!$B$8*(Assumptions!$B$21)*Assumptions!$B$9+Assumptions!$B$10))+(D82)*Assumptions!$B$11*(Assumptions!$B$21)+(AL82)*AE82*(Assumptions!$B$12+Assumptions!$B$13+IF((AL82)*AE82&gt;=Assumptions!$B$16,Assumptions!$B$17,IF((AL82)*AE82&gt;=Assumptions!$B$14,Assumptions!$B$15,0))))</f>
        <v>-888600.53425</v>
      </c>
      <c r="AO82" s="47" t="n">
        <f aca="false">(AM82)*AE82-(((D82)+(AM82)*Assumptions!$B$4+IF(H82="Yes",Assumptions!$B$6*(D82),(AM82)*Assumptions!$B$5))*(1+Assumptions!$B$7*(Assumptions!$B$8*(IF(AM82&gt;AL82,Assumptions!$B$22,Assumptions!$B$21))*Assumptions!$B$9+Assumptions!$B$10))+(D82)*Assumptions!$B$11*(IF(AM82&gt;AL82,Assumptions!$B$22,Assumptions!$B$21))+(AM82)*AE82*(Assumptions!$B$12+Assumptions!$B$13+IF((AM82)*AE82&gt;=Assumptions!$B$16,Assumptions!$B$17,IF((AM82)*AE82&gt;=Assumptions!$B$14,Assumptions!$B$15,0))))</f>
        <v>-888600.53425</v>
      </c>
      <c r="AP82" s="47" t="n">
        <f aca="false">Assumptions!$B$7*(Q82+R82+S82)</f>
        <v>3578363.75</v>
      </c>
    </row>
    <row r="83" customFormat="false" ht="15" hidden="false" customHeight="false" outlineLevel="0" collapsed="false">
      <c r="A83" s="40" t="n">
        <v>81</v>
      </c>
      <c r="B83" s="40" t="s">
        <v>214</v>
      </c>
      <c r="C83" s="40" t="s">
        <v>102</v>
      </c>
      <c r="D83" s="41" t="n">
        <v>2995000</v>
      </c>
      <c r="E83" s="42" t="n">
        <v>16126</v>
      </c>
      <c r="F83" s="42" t="n">
        <v>5044</v>
      </c>
      <c r="G83" s="42"/>
      <c r="H83" s="43" t="s">
        <v>71</v>
      </c>
      <c r="I83" s="43" t="s">
        <v>80</v>
      </c>
      <c r="J83" s="43" t="s">
        <v>71</v>
      </c>
      <c r="K83" s="44" t="s">
        <v>215</v>
      </c>
      <c r="L83" s="45" t="n">
        <f aca="false">IF(AO83&gt;AN83,AM83,AL83)</f>
        <v>6450</v>
      </c>
      <c r="M83" s="40" t="str">
        <f aca="false">IF(AO83&gt;AN83,"Zoning estimate",IF(H83="Yes","Approved plans",IF(G83&gt;0,"Listing claim","110% old house")))</f>
        <v>Zoning estimate</v>
      </c>
      <c r="N83" s="45" t="n">
        <f aca="false">IF(AO83&gt;AN83,IF(AM83&gt;AL83,Assumptions!$B$22,Assumptions!$B$21),Assumptions!$B$21)</f>
        <v>3</v>
      </c>
      <c r="O83" s="46" t="n">
        <f aca="false">(INDEX(Assumptions!$B$36:$B$48,MATCH(AK83,Assumptions!$A$36:$A$48,0))+IF(I83="Yes",Assumptions!$B$23,0)+IF(J83="Yes",Assumptions!$B$24,0))*(1+IF(UPPER(Assumptions!$B$31)="WORST",Assumptions!$B$28,IF(UPPER(Assumptions!$B$31)="BEST",Assumptions!$B$30,Assumptions!$B$29)))</f>
        <v>1485</v>
      </c>
      <c r="P83" s="47" t="n">
        <f aca="false">L83*O83</f>
        <v>9578250</v>
      </c>
      <c r="Q83" s="47" t="n">
        <f aca="false">D83</f>
        <v>2995000</v>
      </c>
      <c r="R83" s="47" t="n">
        <f aca="false">L83*Assumptions!$B$4</f>
        <v>4515000</v>
      </c>
      <c r="S83" s="47" t="n">
        <f aca="false">IF(H83="Yes",Assumptions!$B$6*(D83),(L83)*Assumptions!$B$5)</f>
        <v>483750</v>
      </c>
      <c r="T83" s="47" t="n">
        <f aca="false">AP83*(Assumptions!$B$8*N83*Assumptions!$B$9+Assumptions!$B$10)</f>
        <v>1013207.8125</v>
      </c>
      <c r="U83" s="47" t="n">
        <f aca="false">Q83*Assumptions!$B$11*N83</f>
        <v>107820</v>
      </c>
      <c r="V83" s="47" t="n">
        <f aca="false">P83*(Assumptions!$B$12+Assumptions!$B$13)</f>
        <v>388876.95</v>
      </c>
      <c r="W83" s="47" t="n">
        <f aca="false">P83*IF(P83&gt;=Assumptions!$B$16,Assumptions!$B$17,IF(P83&gt;=Assumptions!$B$14,Assumptions!$B$15,0))</f>
        <v>383130</v>
      </c>
      <c r="X83" s="48" t="n">
        <f aca="false">SUM(Q83:W83)</f>
        <v>9886784.7625</v>
      </c>
      <c r="Y83" s="48" t="n">
        <f aca="false">P83-X83</f>
        <v>-308534.762499997</v>
      </c>
      <c r="Z83" s="49" t="n">
        <f aca="false">IF(X83=0,0,Y83/X83)</f>
        <v>-0.0312067846030442</v>
      </c>
      <c r="AA83" s="47" t="n">
        <f aca="false">MAX(0,(P83/(1+Assumptions!$B$27)-(L83*(Assumptions!$B$4+IF(H83="Yes",0,Assumptions!$B$5)))*(1+(Assumptions!$B$7*(Assumptions!$B$8*N83*Assumptions!$B$9+Assumptions!$B$10)))-P83*(Assumptions!$B$12+Assumptions!$B$13+IF(P83&gt;=Assumptions!$B$16,Assumptions!$B$17,IF(P83&gt;=Assumptions!$B$14,Assumptions!$B$15,0))))/((1+IF(H83="Yes",Assumptions!$B$6,0))*(1+(Assumptions!$B$7*(Assumptions!$B$8*N83*Assumptions!$B$9+Assumptions!$B$10)))+Assumptions!$B$11*N83))</f>
        <v>1655183.42806129</v>
      </c>
      <c r="AB83" s="50" t="n">
        <f aca="false">IF(AA83&lt;=0,"no price works",D83/AA83)</f>
        <v>1.80946712565147</v>
      </c>
      <c r="AC83" s="46" t="n">
        <f aca="false">(INDEX(Assumptions!$B$36:$B$48,MATCH(AK83,Assumptions!$A$36:$A$48,0))+IF(I83="Yes",Assumptions!$B$23,0)+IF(J83="Yes",Assumptions!$B$24,0))*(1+Assumptions!$B$28)</f>
        <v>1350</v>
      </c>
      <c r="AD83" s="47" t="n">
        <f aca="false">(L83)*AC83-(((D83)+(L83)*Assumptions!$B$4+IF(H83="Yes",Assumptions!$B$6*(D83),(L83)*Assumptions!$B$5))*(1+Assumptions!$B$7*(Assumptions!$B$8*(N83)*Assumptions!$B$9+Assumptions!$B$10))+(D83)*Assumptions!$B$11*(N83)+(L83)*AC83*(Assumptions!$B$12+Assumptions!$B$13+IF((L83)*AC83&gt;=Assumptions!$B$16,Assumptions!$B$17,IF((L83)*AC83&gt;=Assumptions!$B$14,Assumptions!$B$15,0))))</f>
        <v>-1109102.3125</v>
      </c>
      <c r="AE83" s="46" t="n">
        <f aca="false">(INDEX(Assumptions!$B$36:$B$48,MATCH(AK83,Assumptions!$A$36:$A$48,0))+IF(I83="Yes",Assumptions!$B$23,0)+IF(J83="Yes",Assumptions!$B$24,0))*(1+Assumptions!$B$29)</f>
        <v>1485</v>
      </c>
      <c r="AF83" s="47" t="n">
        <f aca="false">(L83)*AE83-(((D83)+(L83)*Assumptions!$B$4+IF(H83="Yes",Assumptions!$B$6*(D83),(L83)*Assumptions!$B$5))*(1+Assumptions!$B$7*(Assumptions!$B$8*(N83)*Assumptions!$B$9+Assumptions!$B$10))+(D83)*Assumptions!$B$11*(N83)+(L83)*AE83*(Assumptions!$B$12+Assumptions!$B$13+IF((L83)*AE83&gt;=Assumptions!$B$16,Assumptions!$B$17,IF((L83)*AE83&gt;=Assumptions!$B$14,Assumptions!$B$15,0))))</f>
        <v>-308534.762499997</v>
      </c>
      <c r="AG83" s="46" t="n">
        <f aca="false">(INDEX(Assumptions!$B$36:$B$48,MATCH(AK83,Assumptions!$A$36:$A$48,0))+IF(I83="Yes",Assumptions!$B$23,0)+IF(J83="Yes",Assumptions!$B$24,0))*(1+Assumptions!$B$30)</f>
        <v>1620</v>
      </c>
      <c r="AH83" s="47" t="n">
        <f aca="false">(L83)*AG83-(((D83)+(L83)*Assumptions!$B$4+IF(H83="Yes",Assumptions!$B$6*(D83),(L83)*Assumptions!$B$5))*(1+Assumptions!$B$7*(Assumptions!$B$8*(N83)*Assumptions!$B$9+Assumptions!$B$10))+(D83)*Assumptions!$B$11*(N83)+(L83)*AG83*(Assumptions!$B$12+Assumptions!$B$13+IF((L83)*AG83&gt;=Assumptions!$B$16,Assumptions!$B$17,IF((L83)*AG83&gt;=Assumptions!$B$14,Assumptions!$B$15,0))))</f>
        <v>492032.7875</v>
      </c>
      <c r="AI83" s="47" t="n">
        <f aca="false">(L83)*AE83-(((D83)+(L83)*Assumptions!$B$25+IF(H83="Yes",Assumptions!$B$6*(D83),(L83)*Assumptions!$B$5))*(1+Assumptions!$B$7*(Assumptions!$B$8*(N83)*Assumptions!$B$9+Assumptions!$B$10))+(D83)*Assumptions!$B$11*(N83)+(L83)*AE83*(Assumptions!$B$12+Assumptions!$B$13+IF((L83)*AE83&gt;=Assumptions!$B$16,Assumptions!$B$17,IF((L83)*AE83&gt;=Assumptions!$B$14,Assumptions!$B$15,0))))</f>
        <v>54842.1125000026</v>
      </c>
      <c r="AJ83" s="47" t="n">
        <f aca="false">(L83)*AE83-(((D83)+(L83)*Assumptions!$B$26+IF(H83="Yes",Assumptions!$B$6*(D83),(L83)*Assumptions!$B$5))*(1+Assumptions!$B$7*(Assumptions!$B$8*(N83)*Assumptions!$B$9+Assumptions!$B$10))+(D83)*Assumptions!$B$11*(N83)+(L83)*AE83*(Assumptions!$B$12+Assumptions!$B$13+IF((L83)*AE83&gt;=Assumptions!$B$16,Assumptions!$B$17,IF((L83)*AE83&gt;=Assumptions!$B$14,Assumptions!$B$15,0))))</f>
        <v>418218.987500003</v>
      </c>
      <c r="AK83" s="40" t="s">
        <v>104</v>
      </c>
      <c r="AL83" s="45" t="n">
        <f aca="false">IF(G83&gt;0,G83,ROUND(F83*Assumptions!$B$18,0))</f>
        <v>5548</v>
      </c>
      <c r="AM83" s="45" t="n">
        <f aca="false">IF(H83="Yes",AL83,MAX(AL83,MIN(Assumptions!$B$20,ROUND(E83*Assumptions!$B$19,0))))</f>
        <v>6450</v>
      </c>
      <c r="AN83" s="47" t="n">
        <f aca="false">(AL83)*AE83-(((D83)+(AL83)*Assumptions!$B$4+IF(H83="Yes",Assumptions!$B$6*(D83),(AL83)*Assumptions!$B$5))*(1+Assumptions!$B$7*(Assumptions!$B$8*(Assumptions!$B$21)*Assumptions!$B$9+Assumptions!$B$10))+(D83)*Assumptions!$B$11*(Assumptions!$B$21)+(AL83)*AE83*(Assumptions!$B$12+Assumptions!$B$13+IF((AL83)*AE83&gt;=Assumptions!$B$16,Assumptions!$B$17,IF((AL83)*AE83&gt;=Assumptions!$B$14,Assumptions!$B$15,0))))</f>
        <v>-431955.592999999</v>
      </c>
      <c r="AO83" s="47" t="n">
        <f aca="false">(AM83)*AE83-(((D83)+(AM83)*Assumptions!$B$4+IF(H83="Yes",Assumptions!$B$6*(D83),(AM83)*Assumptions!$B$5))*(1+Assumptions!$B$7*(Assumptions!$B$8*(IF(AM83&gt;AL83,Assumptions!$B$22,Assumptions!$B$21))*Assumptions!$B$9+Assumptions!$B$10))+(D83)*Assumptions!$B$11*(IF(AM83&gt;AL83,Assumptions!$B$22,Assumptions!$B$21))+(AM83)*AE83*(Assumptions!$B$12+Assumptions!$B$13+IF((AM83)*AE83&gt;=Assumptions!$B$16,Assumptions!$B$17,IF((AM83)*AE83&gt;=Assumptions!$B$14,Assumptions!$B$15,0))))</f>
        <v>-308534.762499997</v>
      </c>
      <c r="AP83" s="47" t="n">
        <f aca="false">Assumptions!$B$7*(Q83+R83+S83)</f>
        <v>5195937.5</v>
      </c>
    </row>
    <row r="84" customFormat="false" ht="15" hidden="false" customHeight="false" outlineLevel="0" collapsed="false">
      <c r="A84" s="40" t="n">
        <v>82</v>
      </c>
      <c r="B84" s="40" t="s">
        <v>216</v>
      </c>
      <c r="C84" s="40" t="s">
        <v>126</v>
      </c>
      <c r="D84" s="41" t="n">
        <v>4300000</v>
      </c>
      <c r="E84" s="42" t="n">
        <v>18307</v>
      </c>
      <c r="F84" s="42" t="n">
        <v>5817</v>
      </c>
      <c r="G84" s="42"/>
      <c r="H84" s="43" t="s">
        <v>71</v>
      </c>
      <c r="I84" s="43" t="s">
        <v>80</v>
      </c>
      <c r="J84" s="43" t="s">
        <v>71</v>
      </c>
      <c r="K84" s="44"/>
      <c r="L84" s="45" t="n">
        <f aca="false">IF(AO84&gt;AN84,AM84,AL84)</f>
        <v>6399</v>
      </c>
      <c r="M84" s="40" t="str">
        <f aca="false">IF(AO84&gt;AN84,"Zoning estimate",IF(H84="Yes","Approved plans",IF(G84&gt;0,"Listing claim","110% old house")))</f>
        <v>110% old house</v>
      </c>
      <c r="N84" s="45" t="n">
        <f aca="false">IF(AO84&gt;AN84,IF(AM84&gt;AL84,Assumptions!$B$22,Assumptions!$B$21),Assumptions!$B$21)</f>
        <v>2</v>
      </c>
      <c r="O84" s="46" t="n">
        <f aca="false">(INDEX(Assumptions!$B$36:$B$48,MATCH(AK84,Assumptions!$A$36:$A$48,0))+IF(I84="Yes",Assumptions!$B$23,0)+IF(J84="Yes",Assumptions!$B$24,0))*(1+IF(UPPER(Assumptions!$B$31)="WORST",Assumptions!$B$28,IF(UPPER(Assumptions!$B$31)="BEST",Assumptions!$B$30,Assumptions!$B$29)))</f>
        <v>1540</v>
      </c>
      <c r="P84" s="47" t="n">
        <f aca="false">L84*O84</f>
        <v>9854460</v>
      </c>
      <c r="Q84" s="47" t="n">
        <f aca="false">D84</f>
        <v>4300000</v>
      </c>
      <c r="R84" s="47" t="n">
        <f aca="false">L84*Assumptions!$B$4</f>
        <v>4479300</v>
      </c>
      <c r="S84" s="47" t="n">
        <f aca="false">IF(H84="Yes",Assumptions!$B$6*(D84),(L84)*Assumptions!$B$5)</f>
        <v>479925</v>
      </c>
      <c r="T84" s="47" t="n">
        <f aca="false">AP84*(Assumptions!$B$8*N84*Assumptions!$B$9+Assumptions!$B$10)</f>
        <v>812496.99375</v>
      </c>
      <c r="U84" s="47" t="n">
        <f aca="false">Q84*Assumptions!$B$11*N84</f>
        <v>103200</v>
      </c>
      <c r="V84" s="47" t="n">
        <f aca="false">P84*(Assumptions!$B$12+Assumptions!$B$13)</f>
        <v>400091.076</v>
      </c>
      <c r="W84" s="47" t="n">
        <f aca="false">P84*IF(P84&gt;=Assumptions!$B$16,Assumptions!$B$17,IF(P84&gt;=Assumptions!$B$14,Assumptions!$B$15,0))</f>
        <v>394178.4</v>
      </c>
      <c r="X84" s="48" t="n">
        <f aca="false">SUM(Q84:W84)</f>
        <v>10969191.46975</v>
      </c>
      <c r="Y84" s="48" t="n">
        <f aca="false">P84-X84</f>
        <v>-1114731.46975</v>
      </c>
      <c r="Z84" s="49" t="n">
        <f aca="false">IF(X84=0,0,Y84/X84)</f>
        <v>-0.101623850110021</v>
      </c>
      <c r="AA84" s="47" t="n">
        <f aca="false">MAX(0,(P84/(1+Assumptions!$B$27)-(L84*(Assumptions!$B$4+IF(H84="Yes",0,Assumptions!$B$5)))*(1+(Assumptions!$B$7*(Assumptions!$B$8*N84*Assumptions!$B$9+Assumptions!$B$10)))-P84*(Assumptions!$B$12+Assumptions!$B$13+IF(P84&gt;=Assumptions!$B$16,Assumptions!$B$17,IF(P84&gt;=Assumptions!$B$14,Assumptions!$B$15,0))))/((1+IF(H84="Yes",Assumptions!$B$6,0))*(1+(Assumptions!$B$7*(Assumptions!$B$8*N84*Assumptions!$B$9+Assumptions!$B$10)))+Assumptions!$B$11*N84))</f>
        <v>2141155.09999902</v>
      </c>
      <c r="AB84" s="50" t="n">
        <f aca="false">IF(AA84&lt;=0,"no price works",D84/AA84)</f>
        <v>2.00826180224028</v>
      </c>
      <c r="AC84" s="46" t="n">
        <f aca="false">(INDEX(Assumptions!$B$36:$B$48,MATCH(AK84,Assumptions!$A$36:$A$48,0))+IF(I84="Yes",Assumptions!$B$23,0)+IF(J84="Yes",Assumptions!$B$24,0))*(1+Assumptions!$B$28)</f>
        <v>1400</v>
      </c>
      <c r="AD84" s="47" t="n">
        <f aca="false">(L84)*AC84-(((D84)+(L84)*Assumptions!$B$4+IF(H84="Yes",Assumptions!$B$6*(D84),(L84)*Assumptions!$B$5))*(1+Assumptions!$B$7*(Assumptions!$B$8*(N84)*Assumptions!$B$9+Assumptions!$B$10))+(D84)*Assumptions!$B$11*(N84)+(L84)*AC84*(Assumptions!$B$12+Assumptions!$B$13+IF((L84)*AC84&gt;=Assumptions!$B$16,Assumptions!$B$17,IF((L84)*AC84&gt;=Assumptions!$B$14,Assumptions!$B$15,0))))</f>
        <v>-1938385.15375</v>
      </c>
      <c r="AE84" s="46" t="n">
        <f aca="false">(INDEX(Assumptions!$B$36:$B$48,MATCH(AK84,Assumptions!$A$36:$A$48,0))+IF(I84="Yes",Assumptions!$B$23,0)+IF(J84="Yes",Assumptions!$B$24,0))*(1+Assumptions!$B$29)</f>
        <v>1540</v>
      </c>
      <c r="AF84" s="47" t="n">
        <f aca="false">(L84)*AE84-(((D84)+(L84)*Assumptions!$B$4+IF(H84="Yes",Assumptions!$B$6*(D84),(L84)*Assumptions!$B$5))*(1+Assumptions!$B$7*(Assumptions!$B$8*(N84)*Assumptions!$B$9+Assumptions!$B$10))+(D84)*Assumptions!$B$11*(N84)+(L84)*AE84*(Assumptions!$B$12+Assumptions!$B$13+IF((L84)*AE84&gt;=Assumptions!$B$16,Assumptions!$B$17,IF((L84)*AE84&gt;=Assumptions!$B$14,Assumptions!$B$15,0))))</f>
        <v>-1114731.46975</v>
      </c>
      <c r="AG84" s="46" t="n">
        <f aca="false">(INDEX(Assumptions!$B$36:$B$48,MATCH(AK84,Assumptions!$A$36:$A$48,0))+IF(I84="Yes",Assumptions!$B$23,0)+IF(J84="Yes",Assumptions!$B$24,0))*(1+Assumptions!$B$30)</f>
        <v>1680</v>
      </c>
      <c r="AH84" s="47" t="n">
        <f aca="false">(L84)*AG84-(((D84)+(L84)*Assumptions!$B$4+IF(H84="Yes",Assumptions!$B$6*(D84),(L84)*Assumptions!$B$5))*(1+Assumptions!$B$7*(Assumptions!$B$8*(N84)*Assumptions!$B$9+Assumptions!$B$10))+(D84)*Assumptions!$B$11*(N84)+(L84)*AG84*(Assumptions!$B$12+Assumptions!$B$13+IF((L84)*AG84&gt;=Assumptions!$B$16,Assumptions!$B$17,IF((L84)*AG84&gt;=Assumptions!$B$14,Assumptions!$B$15,0))))</f>
        <v>-291077.78575</v>
      </c>
      <c r="AI84" s="47" t="n">
        <f aca="false">(L84)*AE84-(((D84)+(L84)*Assumptions!$B$25+IF(H84="Yes",Assumptions!$B$6*(D84),(L84)*Assumptions!$B$5))*(1+Assumptions!$B$7*(Assumptions!$B$8*(N84)*Assumptions!$B$9+Assumptions!$B$10))+(D84)*Assumptions!$B$11*(N84)+(L84)*AE84*(Assumptions!$B$12+Assumptions!$B$13+IF((L84)*AE84&gt;=Assumptions!$B$16,Assumptions!$B$17,IF((L84)*AE84&gt;=Assumptions!$B$14,Assumptions!$B$15,0))))</f>
        <v>-766705.857249998</v>
      </c>
      <c r="AJ84" s="47" t="n">
        <f aca="false">(L84)*AE84-(((D84)+(L84)*Assumptions!$B$26+IF(H84="Yes",Assumptions!$B$6*(D84),(L84)*Assumptions!$B$5))*(1+Assumptions!$B$7*(Assumptions!$B$8*(N84)*Assumptions!$B$9+Assumptions!$B$10))+(D84)*Assumptions!$B$11*(N84)+(L84)*AE84*(Assumptions!$B$12+Assumptions!$B$13+IF((L84)*AE84&gt;=Assumptions!$B$16,Assumptions!$B$17,IF((L84)*AE84&gt;=Assumptions!$B$14,Assumptions!$B$15,0))))</f>
        <v>-418680.244749999</v>
      </c>
      <c r="AK84" s="40" t="s">
        <v>128</v>
      </c>
      <c r="AL84" s="45" t="n">
        <f aca="false">IF(G84&gt;0,G84,ROUND(F84*Assumptions!$B$18,0))</f>
        <v>6399</v>
      </c>
      <c r="AM84" s="45" t="n">
        <f aca="false">IF(H84="Yes",AL84,MAX(AL84,MIN(Assumptions!$B$20,ROUND(E84*Assumptions!$B$19,0))))</f>
        <v>7323</v>
      </c>
      <c r="AN84" s="47" t="n">
        <f aca="false">(AL84)*AE84-(((D84)+(AL84)*Assumptions!$B$4+IF(H84="Yes",Assumptions!$B$6*(D84),(AL84)*Assumptions!$B$5))*(1+Assumptions!$B$7*(Assumptions!$B$8*(Assumptions!$B$21)*Assumptions!$B$9+Assumptions!$B$10))+(D84)*Assumptions!$B$11*(Assumptions!$B$21)+(AL84)*AE84*(Assumptions!$B$12+Assumptions!$B$13+IF((AL84)*AE84&gt;=Assumptions!$B$16,Assumptions!$B$17,IF((AL84)*AE84&gt;=Assumptions!$B$14,Assumptions!$B$15,0))))</f>
        <v>-1114731.46975</v>
      </c>
      <c r="AO84" s="47" t="n">
        <f aca="false">(AM84)*AE84-(((D84)+(AM84)*Assumptions!$B$4+IF(H84="Yes",Assumptions!$B$6*(D84),(AM84)*Assumptions!$B$5))*(1+Assumptions!$B$7*(Assumptions!$B$8*(IF(AM84&gt;AL84,Assumptions!$B$22,Assumptions!$B$21))*Assumptions!$B$9+Assumptions!$B$10))+(D84)*Assumptions!$B$11*(IF(AM84&gt;AL84,Assumptions!$B$22,Assumptions!$B$21))+(AM84)*AE84*(Assumptions!$B$12+Assumptions!$B$13+IF((AM84)*AE84&gt;=Assumptions!$B$16,Assumptions!$B$17,IF((AM84)*AE84&gt;=Assumptions!$B$14,Assumptions!$B$15,0))))</f>
        <v>-1195198.79575</v>
      </c>
      <c r="AP84" s="47" t="n">
        <f aca="false">Assumptions!$B$7*(Q84+R84+S84)</f>
        <v>6018496.25</v>
      </c>
    </row>
    <row r="85" customFormat="false" ht="15" hidden="false" customHeight="false" outlineLevel="0" collapsed="false">
      <c r="A85" s="40" t="n">
        <v>83</v>
      </c>
      <c r="B85" s="40" t="s">
        <v>217</v>
      </c>
      <c r="C85" s="40" t="s">
        <v>102</v>
      </c>
      <c r="D85" s="41" t="n">
        <v>2898000</v>
      </c>
      <c r="E85" s="42" t="n">
        <v>9631</v>
      </c>
      <c r="F85" s="42" t="n">
        <v>4603</v>
      </c>
      <c r="G85" s="42"/>
      <c r="H85" s="43" t="s">
        <v>71</v>
      </c>
      <c r="I85" s="43" t="s">
        <v>71</v>
      </c>
      <c r="J85" s="43" t="s">
        <v>71</v>
      </c>
      <c r="K85" s="44"/>
      <c r="L85" s="45" t="n">
        <f aca="false">IF(AO85&gt;AN85,AM85,AL85)</f>
        <v>5063</v>
      </c>
      <c r="M85" s="40" t="str">
        <f aca="false">IF(AO85&gt;AN85,"Zoning estimate",IF(H85="Yes","Approved plans",IF(G85&gt;0,"Listing claim","110% old house")))</f>
        <v>110% old house</v>
      </c>
      <c r="N85" s="45" t="n">
        <f aca="false">IF(AO85&gt;AN85,IF(AM85&gt;AL85,Assumptions!$B$22,Assumptions!$B$21),Assumptions!$B$21)</f>
        <v>2</v>
      </c>
      <c r="O85" s="46" t="n">
        <f aca="false">(INDEX(Assumptions!$B$36:$B$48,MATCH(AK85,Assumptions!$A$36:$A$48,0))+IF(I85="Yes",Assumptions!$B$23,0)+IF(J85="Yes",Assumptions!$B$24,0))*(1+IF(UPPER(Assumptions!$B$31)="WORST",Assumptions!$B$28,IF(UPPER(Assumptions!$B$31)="BEST",Assumptions!$B$30,Assumptions!$B$29)))</f>
        <v>1375</v>
      </c>
      <c r="P85" s="47" t="n">
        <f aca="false">L85*O85</f>
        <v>6961625</v>
      </c>
      <c r="Q85" s="47" t="n">
        <f aca="false">D85</f>
        <v>2898000</v>
      </c>
      <c r="R85" s="47" t="n">
        <f aca="false">L85*Assumptions!$B$4</f>
        <v>3544100</v>
      </c>
      <c r="S85" s="47" t="n">
        <f aca="false">IF(H85="Yes",Assumptions!$B$6*(D85),(L85)*Assumptions!$B$5)</f>
        <v>379725</v>
      </c>
      <c r="T85" s="47" t="n">
        <f aca="false">AP85*(Assumptions!$B$8*N85*Assumptions!$B$9+Assumptions!$B$10)</f>
        <v>598615.14375</v>
      </c>
      <c r="U85" s="47" t="n">
        <f aca="false">Q85*Assumptions!$B$11*N85</f>
        <v>69552</v>
      </c>
      <c r="V85" s="47" t="n">
        <f aca="false">P85*(Assumptions!$B$12+Assumptions!$B$13)</f>
        <v>282641.975</v>
      </c>
      <c r="W85" s="47" t="n">
        <f aca="false">P85*IF(P85&gt;=Assumptions!$B$16,Assumptions!$B$17,IF(P85&gt;=Assumptions!$B$14,Assumptions!$B$15,0))</f>
        <v>278465</v>
      </c>
      <c r="X85" s="48" t="n">
        <f aca="false">SUM(Q85:W85)</f>
        <v>8051099.11875</v>
      </c>
      <c r="Y85" s="48" t="n">
        <f aca="false">P85-X85</f>
        <v>-1089474.11875</v>
      </c>
      <c r="Z85" s="49" t="n">
        <f aca="false">IF(X85=0,0,Y85/X85)</f>
        <v>-0.135319923737214</v>
      </c>
      <c r="AA85" s="47" t="n">
        <f aca="false">MAX(0,(P85/(1+Assumptions!$B$27)-(L85*(Assumptions!$B$4+IF(H85="Yes",0,Assumptions!$B$5)))*(1+(Assumptions!$B$7*(Assumptions!$B$8*N85*Assumptions!$B$9+Assumptions!$B$10)))-P85*(Assumptions!$B$12+Assumptions!$B$13+IF(P85&gt;=Assumptions!$B$16,Assumptions!$B$17,IF(P85&gt;=Assumptions!$B$14,Assumptions!$B$15,0))))/((1+IF(H85="Yes",Assumptions!$B$6,0))*(1+(Assumptions!$B$7*(Assumptions!$B$8*N85*Assumptions!$B$9+Assumptions!$B$10)))+Assumptions!$B$11*N85))</f>
        <v>1101272.17249538</v>
      </c>
      <c r="AB85" s="50" t="n">
        <f aca="false">IF(AA85&lt;=0,"no price works",D85/AA85)</f>
        <v>2.63150206858801</v>
      </c>
      <c r="AC85" s="46" t="n">
        <f aca="false">(INDEX(Assumptions!$B$36:$B$48,MATCH(AK85,Assumptions!$A$36:$A$48,0))+IF(I85="Yes",Assumptions!$B$23,0)+IF(J85="Yes",Assumptions!$B$24,0))*(1+Assumptions!$B$28)</f>
        <v>1250</v>
      </c>
      <c r="AD85" s="47" t="n">
        <f aca="false">(L85)*AC85-(((D85)+(L85)*Assumptions!$B$4+IF(H85="Yes",Assumptions!$B$6*(D85),(L85)*Assumptions!$B$5))*(1+Assumptions!$B$7*(Assumptions!$B$8*(N85)*Assumptions!$B$9+Assumptions!$B$10))+(D85)*Assumptions!$B$11*(N85)+(L85)*AC85*(Assumptions!$B$12+Assumptions!$B$13+IF((L85)*AC85&gt;=Assumptions!$B$16,Assumptions!$B$17,IF((L85)*AC85&gt;=Assumptions!$B$14,Assumptions!$B$15,0))))</f>
        <v>-1671339.39375</v>
      </c>
      <c r="AE85" s="46" t="n">
        <f aca="false">(INDEX(Assumptions!$B$36:$B$48,MATCH(AK85,Assumptions!$A$36:$A$48,0))+IF(I85="Yes",Assumptions!$B$23,0)+IF(J85="Yes",Assumptions!$B$24,0))*(1+Assumptions!$B$29)</f>
        <v>1375</v>
      </c>
      <c r="AF85" s="47" t="n">
        <f aca="false">(L85)*AE85-(((D85)+(L85)*Assumptions!$B$4+IF(H85="Yes",Assumptions!$B$6*(D85),(L85)*Assumptions!$B$5))*(1+Assumptions!$B$7*(Assumptions!$B$8*(N85)*Assumptions!$B$9+Assumptions!$B$10))+(D85)*Assumptions!$B$11*(N85)+(L85)*AE85*(Assumptions!$B$12+Assumptions!$B$13+IF((L85)*AE85&gt;=Assumptions!$B$16,Assumptions!$B$17,IF((L85)*AE85&gt;=Assumptions!$B$14,Assumptions!$B$15,0))))</f>
        <v>-1089474.11875</v>
      </c>
      <c r="AG85" s="46" t="n">
        <f aca="false">(INDEX(Assumptions!$B$36:$B$48,MATCH(AK85,Assumptions!$A$36:$A$48,0))+IF(I85="Yes",Assumptions!$B$23,0)+IF(J85="Yes",Assumptions!$B$24,0))*(1+Assumptions!$B$30)</f>
        <v>1500</v>
      </c>
      <c r="AH85" s="47" t="n">
        <f aca="false">(L85)*AG85-(((D85)+(L85)*Assumptions!$B$4+IF(H85="Yes",Assumptions!$B$6*(D85),(L85)*Assumptions!$B$5))*(1+Assumptions!$B$7*(Assumptions!$B$8*(N85)*Assumptions!$B$9+Assumptions!$B$10))+(D85)*Assumptions!$B$11*(N85)+(L85)*AG85*(Assumptions!$B$12+Assumptions!$B$13+IF((L85)*AG85&gt;=Assumptions!$B$16,Assumptions!$B$17,IF((L85)*AG85&gt;=Assumptions!$B$14,Assumptions!$B$15,0))))</f>
        <v>-507608.84375</v>
      </c>
      <c r="AI85" s="47" t="n">
        <f aca="false">(L85)*AE85-(((D85)+(L85)*Assumptions!$B$25+IF(H85="Yes",Assumptions!$B$6*(D85),(L85)*Assumptions!$B$5))*(1+Assumptions!$B$7*(Assumptions!$B$8*(N85)*Assumptions!$B$9+Assumptions!$B$10))+(D85)*Assumptions!$B$11*(N85)+(L85)*AE85*(Assumptions!$B$12+Assumptions!$B$13+IF((L85)*AE85&gt;=Assumptions!$B$16,Assumptions!$B$17,IF((L85)*AE85&gt;=Assumptions!$B$14,Assumptions!$B$15,0))))</f>
        <v>-814110.20625</v>
      </c>
      <c r="AJ85" s="47" t="n">
        <f aca="false">(L85)*AE85-(((D85)+(L85)*Assumptions!$B$26+IF(H85="Yes",Assumptions!$B$6*(D85),(L85)*Assumptions!$B$5))*(1+Assumptions!$B$7*(Assumptions!$B$8*(N85)*Assumptions!$B$9+Assumptions!$B$10))+(D85)*Assumptions!$B$11*(N85)+(L85)*AE85*(Assumptions!$B$12+Assumptions!$B$13+IF((L85)*AE85&gt;=Assumptions!$B$16,Assumptions!$B$17,IF((L85)*AE85&gt;=Assumptions!$B$14,Assumptions!$B$15,0))))</f>
        <v>-538746.293749999</v>
      </c>
      <c r="AK85" s="40" t="s">
        <v>104</v>
      </c>
      <c r="AL85" s="45" t="n">
        <f aca="false">IF(G85&gt;0,G85,ROUND(F85*Assumptions!$B$18,0))</f>
        <v>5063</v>
      </c>
      <c r="AM85" s="45" t="n">
        <f aca="false">IF(H85="Yes",AL85,MAX(AL85,MIN(Assumptions!$B$20,ROUND(E85*Assumptions!$B$19,0))))</f>
        <v>5063</v>
      </c>
      <c r="AN85" s="47" t="n">
        <f aca="false">(AL85)*AE85-(((D85)+(AL85)*Assumptions!$B$4+IF(H85="Yes",Assumptions!$B$6*(D85),(AL85)*Assumptions!$B$5))*(1+Assumptions!$B$7*(Assumptions!$B$8*(Assumptions!$B$21)*Assumptions!$B$9+Assumptions!$B$10))+(D85)*Assumptions!$B$11*(Assumptions!$B$21)+(AL85)*AE85*(Assumptions!$B$12+Assumptions!$B$13+IF((AL85)*AE85&gt;=Assumptions!$B$16,Assumptions!$B$17,IF((AL85)*AE85&gt;=Assumptions!$B$14,Assumptions!$B$15,0))))</f>
        <v>-1089474.11875</v>
      </c>
      <c r="AO85" s="47" t="n">
        <f aca="false">(AM85)*AE85-(((D85)+(AM85)*Assumptions!$B$4+IF(H85="Yes",Assumptions!$B$6*(D85),(AM85)*Assumptions!$B$5))*(1+Assumptions!$B$7*(Assumptions!$B$8*(IF(AM85&gt;AL85,Assumptions!$B$22,Assumptions!$B$21))*Assumptions!$B$9+Assumptions!$B$10))+(D85)*Assumptions!$B$11*(IF(AM85&gt;AL85,Assumptions!$B$22,Assumptions!$B$21))+(AM85)*AE85*(Assumptions!$B$12+Assumptions!$B$13+IF((AM85)*AE85&gt;=Assumptions!$B$16,Assumptions!$B$17,IF((AM85)*AE85&gt;=Assumptions!$B$14,Assumptions!$B$15,0))))</f>
        <v>-1089474.11875</v>
      </c>
      <c r="AP85" s="47" t="n">
        <f aca="false">Assumptions!$B$7*(Q85+R85+S85)</f>
        <v>4434186.25</v>
      </c>
    </row>
    <row r="86" customFormat="false" ht="15" hidden="false" customHeight="false" outlineLevel="0" collapsed="false">
      <c r="A86" s="40" t="n">
        <v>84</v>
      </c>
      <c r="B86" s="40" t="s">
        <v>218</v>
      </c>
      <c r="C86" s="40" t="s">
        <v>126</v>
      </c>
      <c r="D86" s="41" t="n">
        <v>2350000</v>
      </c>
      <c r="E86" s="42" t="n">
        <v>8135</v>
      </c>
      <c r="F86" s="42" t="n">
        <v>2269</v>
      </c>
      <c r="G86" s="42"/>
      <c r="H86" s="43" t="s">
        <v>71</v>
      </c>
      <c r="I86" s="43" t="s">
        <v>80</v>
      </c>
      <c r="J86" s="43" t="s">
        <v>71</v>
      </c>
      <c r="K86" s="44" t="s">
        <v>219</v>
      </c>
      <c r="L86" s="45" t="n">
        <f aca="false">IF(AO86&gt;AN86,AM86,AL86)</f>
        <v>3254</v>
      </c>
      <c r="M86" s="40" t="str">
        <f aca="false">IF(AO86&gt;AN86,"Zoning estimate",IF(H86="Yes","Approved plans",IF(G86&gt;0,"Listing claim","110% old house")))</f>
        <v>Zoning estimate</v>
      </c>
      <c r="N86" s="45" t="n">
        <f aca="false">IF(AO86&gt;AN86,IF(AM86&gt;AL86,Assumptions!$B$22,Assumptions!$B$21),Assumptions!$B$21)</f>
        <v>3</v>
      </c>
      <c r="O86" s="46" t="n">
        <f aca="false">(INDEX(Assumptions!$B$36:$B$48,MATCH(AK86,Assumptions!$A$36:$A$48,0))+IF(I86="Yes",Assumptions!$B$23,0)+IF(J86="Yes",Assumptions!$B$24,0))*(1+IF(UPPER(Assumptions!$B$31)="WORST",Assumptions!$B$28,IF(UPPER(Assumptions!$B$31)="BEST",Assumptions!$B$30,Assumptions!$B$29)))</f>
        <v>1540</v>
      </c>
      <c r="P86" s="47" t="n">
        <f aca="false">L86*O86</f>
        <v>5011160</v>
      </c>
      <c r="Q86" s="47" t="n">
        <f aca="false">D86</f>
        <v>2350000</v>
      </c>
      <c r="R86" s="47" t="n">
        <f aca="false">L86*Assumptions!$B$4</f>
        <v>2277800</v>
      </c>
      <c r="S86" s="47" t="n">
        <f aca="false">IF(H86="Yes",Assumptions!$B$6*(D86),(L86)*Assumptions!$B$5)</f>
        <v>244050</v>
      </c>
      <c r="T86" s="47" t="n">
        <f aca="false">AP86*(Assumptions!$B$8*N86*Assumptions!$B$9+Assumptions!$B$10)</f>
        <v>617506.9875</v>
      </c>
      <c r="U86" s="47" t="n">
        <f aca="false">Q86*Assumptions!$B$11*N86</f>
        <v>84600</v>
      </c>
      <c r="V86" s="47" t="n">
        <f aca="false">P86*(Assumptions!$B$12+Assumptions!$B$13)</f>
        <v>203453.096</v>
      </c>
      <c r="W86" s="47" t="n">
        <f aca="false">P86*IF(P86&gt;=Assumptions!$B$16,Assumptions!$B$17,IF(P86&gt;=Assumptions!$B$14,Assumptions!$B$15,0))</f>
        <v>0</v>
      </c>
      <c r="X86" s="48" t="n">
        <f aca="false">SUM(Q86:W86)</f>
        <v>5777410.0835</v>
      </c>
      <c r="Y86" s="48" t="n">
        <f aca="false">P86-X86</f>
        <v>-766250.083499999</v>
      </c>
      <c r="Z86" s="49" t="n">
        <f aca="false">IF(X86=0,0,Y86/X86)</f>
        <v>-0.132628647166378</v>
      </c>
      <c r="AA86" s="47" t="n">
        <f aca="false">MAX(0,(P86/(1+Assumptions!$B$27)-(L86*(Assumptions!$B$4+IF(H86="Yes",0,Assumptions!$B$5)))*(1+(Assumptions!$B$7*(Assumptions!$B$8*N86*Assumptions!$B$9+Assumptions!$B$10)))-P86*(Assumptions!$B$12+Assumptions!$B$13+IF(P86&gt;=Assumptions!$B$16,Assumptions!$B$17,IF(P86&gt;=Assumptions!$B$14,Assumptions!$B$15,0))))/((1+IF(H86="Yes",Assumptions!$B$6,0))*(1+(Assumptions!$B$7*(Assumptions!$B$8*N86*Assumptions!$B$9+Assumptions!$B$10)))+Assumptions!$B$11*N86))</f>
        <v>1128860.76222972</v>
      </c>
      <c r="AB86" s="50" t="n">
        <f aca="false">IF(AA86&lt;=0,"no price works",D86/AA86)</f>
        <v>2.08174478078083</v>
      </c>
      <c r="AC86" s="46" t="n">
        <f aca="false">(INDEX(Assumptions!$B$36:$B$48,MATCH(AK86,Assumptions!$A$36:$A$48,0))+IF(I86="Yes",Assumptions!$B$23,0)+IF(J86="Yes",Assumptions!$B$24,0))*(1+Assumptions!$B$28)</f>
        <v>1400</v>
      </c>
      <c r="AD86" s="47" t="n">
        <f aca="false">(L86)*AC86-(((D86)+(L86)*Assumptions!$B$4+IF(H86="Yes",Assumptions!$B$6*(D86),(L86)*Assumptions!$B$5))*(1+Assumptions!$B$7*(Assumptions!$B$8*(N86)*Assumptions!$B$9+Assumptions!$B$10))+(D86)*Assumptions!$B$11*(N86)+(L86)*AC86*(Assumptions!$B$12+Assumptions!$B$13+IF((L86)*AC86&gt;=Assumptions!$B$16,Assumptions!$B$17,IF((L86)*AC86&gt;=Assumptions!$B$14,Assumptions!$B$15,0))))</f>
        <v>-1203314.3475</v>
      </c>
      <c r="AE86" s="46" t="n">
        <f aca="false">(INDEX(Assumptions!$B$36:$B$48,MATCH(AK86,Assumptions!$A$36:$A$48,0))+IF(I86="Yes",Assumptions!$B$23,0)+IF(J86="Yes",Assumptions!$B$24,0))*(1+Assumptions!$B$29)</f>
        <v>1540</v>
      </c>
      <c r="AF86" s="47" t="n">
        <f aca="false">(L86)*AE86-(((D86)+(L86)*Assumptions!$B$4+IF(H86="Yes",Assumptions!$B$6*(D86),(L86)*Assumptions!$B$5))*(1+Assumptions!$B$7*(Assumptions!$B$8*(N86)*Assumptions!$B$9+Assumptions!$B$10))+(D86)*Assumptions!$B$11*(N86)+(L86)*AE86*(Assumptions!$B$12+Assumptions!$B$13+IF((L86)*AE86&gt;=Assumptions!$B$16,Assumptions!$B$17,IF((L86)*AE86&gt;=Assumptions!$B$14,Assumptions!$B$15,0))))</f>
        <v>-766250.083499999</v>
      </c>
      <c r="AG86" s="46" t="n">
        <f aca="false">(INDEX(Assumptions!$B$36:$B$48,MATCH(AK86,Assumptions!$A$36:$A$48,0))+IF(I86="Yes",Assumptions!$B$23,0)+IF(J86="Yes",Assumptions!$B$24,0))*(1+Assumptions!$B$30)</f>
        <v>1680</v>
      </c>
      <c r="AH86" s="47" t="n">
        <f aca="false">(L86)*AG86-(((D86)+(L86)*Assumptions!$B$4+IF(H86="Yes",Assumptions!$B$6*(D86),(L86)*Assumptions!$B$5))*(1+Assumptions!$B$7*(Assumptions!$B$8*(N86)*Assumptions!$B$9+Assumptions!$B$10))+(D86)*Assumptions!$B$11*(N86)+(L86)*AG86*(Assumptions!$B$12+Assumptions!$B$13+IF((L86)*AG86&gt;=Assumptions!$B$16,Assumptions!$B$17,IF((L86)*AG86&gt;=Assumptions!$B$14,Assumptions!$B$15,0))))</f>
        <v>-547854.6195</v>
      </c>
      <c r="AI86" s="47" t="n">
        <f aca="false">(L86)*AE86-(((D86)+(L86)*Assumptions!$B$25+IF(H86="Yes",Assumptions!$B$6*(D86),(L86)*Assumptions!$B$5))*(1+Assumptions!$B$7*(Assumptions!$B$8*(N86)*Assumptions!$B$9+Assumptions!$B$10))+(D86)*Assumptions!$B$11*(N86)+(L86)*AE86*(Assumptions!$B$12+Assumptions!$B$13+IF((L86)*AE86&gt;=Assumptions!$B$16,Assumptions!$B$17,IF((L86)*AE86&gt;=Assumptions!$B$14,Assumptions!$B$15,0))))</f>
        <v>-582927.858499998</v>
      </c>
      <c r="AJ86" s="47" t="n">
        <f aca="false">(L86)*AE86-(((D86)+(L86)*Assumptions!$B$26+IF(H86="Yes",Assumptions!$B$6*(D86),(L86)*Assumptions!$B$5))*(1+Assumptions!$B$7*(Assumptions!$B$8*(N86)*Assumptions!$B$9+Assumptions!$B$10))+(D86)*Assumptions!$B$11*(N86)+(L86)*AE86*(Assumptions!$B$12+Assumptions!$B$13+IF((L86)*AE86&gt;=Assumptions!$B$16,Assumptions!$B$17,IF((L86)*AE86&gt;=Assumptions!$B$14,Assumptions!$B$15,0))))</f>
        <v>-399605.633499999</v>
      </c>
      <c r="AK86" s="40" t="s">
        <v>128</v>
      </c>
      <c r="AL86" s="45" t="n">
        <f aca="false">IF(G86&gt;0,G86,ROUND(F86*Assumptions!$B$18,0))</f>
        <v>2496</v>
      </c>
      <c r="AM86" s="45" t="n">
        <f aca="false">IF(H86="Yes",AL86,MAX(AL86,MIN(Assumptions!$B$20,ROUND(E86*Assumptions!$B$19,0))))</f>
        <v>3254</v>
      </c>
      <c r="AN86" s="47" t="n">
        <f aca="false">(AL86)*AE86-(((D86)+(AL86)*Assumptions!$B$4+IF(H86="Yes",Assumptions!$B$6*(D86),(AL86)*Assumptions!$B$5))*(1+Assumptions!$B$7*(Assumptions!$B$8*(Assumptions!$B$21)*Assumptions!$B$9+Assumptions!$B$10))+(D86)*Assumptions!$B$11*(Assumptions!$B$21)+(AL86)*AE86*(Assumptions!$B$12+Assumptions!$B$13+IF((AL86)*AE86&gt;=Assumptions!$B$16,Assumptions!$B$17,IF((AL86)*AE86&gt;=Assumptions!$B$14,Assumptions!$B$15,0))))</f>
        <v>-1028976.004</v>
      </c>
      <c r="AO86" s="47" t="n">
        <f aca="false">(AM86)*AE86-(((D86)+(AM86)*Assumptions!$B$4+IF(H86="Yes",Assumptions!$B$6*(D86),(AM86)*Assumptions!$B$5))*(1+Assumptions!$B$7*(Assumptions!$B$8*(IF(AM86&gt;AL86,Assumptions!$B$22,Assumptions!$B$21))*Assumptions!$B$9+Assumptions!$B$10))+(D86)*Assumptions!$B$11*(IF(AM86&gt;AL86,Assumptions!$B$22,Assumptions!$B$21))+(AM86)*AE86*(Assumptions!$B$12+Assumptions!$B$13+IF((AM86)*AE86&gt;=Assumptions!$B$16,Assumptions!$B$17,IF((AM86)*AE86&gt;=Assumptions!$B$14,Assumptions!$B$15,0))))</f>
        <v>-766250.083499999</v>
      </c>
      <c r="AP86" s="47" t="n">
        <f aca="false">Assumptions!$B$7*(Q86+R86+S86)</f>
        <v>3166702.5</v>
      </c>
    </row>
    <row r="87" customFormat="false" ht="15" hidden="false" customHeight="false" outlineLevel="0" collapsed="false">
      <c r="A87" s="40" t="n">
        <v>85</v>
      </c>
      <c r="B87" s="40" t="s">
        <v>220</v>
      </c>
      <c r="C87" s="40" t="s">
        <v>102</v>
      </c>
      <c r="D87" s="41" t="n">
        <v>2595000</v>
      </c>
      <c r="E87" s="42" t="n">
        <v>13564</v>
      </c>
      <c r="F87" s="42" t="n">
        <v>3465</v>
      </c>
      <c r="G87" s="42"/>
      <c r="H87" s="43" t="s">
        <v>71</v>
      </c>
      <c r="I87" s="43" t="s">
        <v>80</v>
      </c>
      <c r="J87" s="43" t="s">
        <v>71</v>
      </c>
      <c r="K87" s="44" t="s">
        <v>215</v>
      </c>
      <c r="L87" s="45" t="n">
        <f aca="false">IF(AO87&gt;AN87,AM87,AL87)</f>
        <v>5426</v>
      </c>
      <c r="M87" s="40" t="str">
        <f aca="false">IF(AO87&gt;AN87,"Zoning estimate",IF(H87="Yes","Approved plans",IF(G87&gt;0,"Listing claim","110% old house")))</f>
        <v>Zoning estimate</v>
      </c>
      <c r="N87" s="45" t="n">
        <f aca="false">IF(AO87&gt;AN87,IF(AM87&gt;AL87,Assumptions!$B$22,Assumptions!$B$21),Assumptions!$B$21)</f>
        <v>3</v>
      </c>
      <c r="O87" s="46" t="n">
        <f aca="false">(INDEX(Assumptions!$B$36:$B$48,MATCH(AK87,Assumptions!$A$36:$A$48,0))+IF(I87="Yes",Assumptions!$B$23,0)+IF(J87="Yes",Assumptions!$B$24,0))*(1+IF(UPPER(Assumptions!$B$31)="WORST",Assumptions!$B$28,IF(UPPER(Assumptions!$B$31)="BEST",Assumptions!$B$30,Assumptions!$B$29)))</f>
        <v>1485</v>
      </c>
      <c r="P87" s="47" t="n">
        <f aca="false">L87*O87</f>
        <v>8057610</v>
      </c>
      <c r="Q87" s="47" t="n">
        <f aca="false">D87</f>
        <v>2595000</v>
      </c>
      <c r="R87" s="47" t="n">
        <f aca="false">L87*Assumptions!$B$4</f>
        <v>3798200</v>
      </c>
      <c r="S87" s="47" t="n">
        <f aca="false">IF(H87="Yes",Assumptions!$B$6*(D87),(L87)*Assumptions!$B$5)</f>
        <v>406950</v>
      </c>
      <c r="T87" s="47" t="n">
        <f aca="false">AP87*(Assumptions!$B$8*N87*Assumptions!$B$9+Assumptions!$B$10)</f>
        <v>861919.0125</v>
      </c>
      <c r="U87" s="47" t="n">
        <f aca="false">Q87*Assumptions!$B$11*N87</f>
        <v>93420</v>
      </c>
      <c r="V87" s="47" t="n">
        <f aca="false">P87*(Assumptions!$B$12+Assumptions!$B$13)</f>
        <v>327138.966</v>
      </c>
      <c r="W87" s="47" t="n">
        <f aca="false">P87*IF(P87&gt;=Assumptions!$B$16,Assumptions!$B$17,IF(P87&gt;=Assumptions!$B$14,Assumptions!$B$15,0))</f>
        <v>322304.4</v>
      </c>
      <c r="X87" s="48" t="n">
        <f aca="false">SUM(Q87:W87)</f>
        <v>8404932.3785</v>
      </c>
      <c r="Y87" s="48" t="n">
        <f aca="false">P87-X87</f>
        <v>-347322.378499999</v>
      </c>
      <c r="Z87" s="49" t="n">
        <f aca="false">IF(X87=0,0,Y87/X87)</f>
        <v>-0.0413236374617905</v>
      </c>
      <c r="AA87" s="47" t="n">
        <f aca="false">MAX(0,(P87/(1+Assumptions!$B$27)-(L87*(Assumptions!$B$4+IF(H87="Yes",0,Assumptions!$B$5)))*(1+(Assumptions!$B$7*(Assumptions!$B$8*N87*Assumptions!$B$9+Assumptions!$B$10)))-P87*(Assumptions!$B$12+Assumptions!$B$13+IF(P87&gt;=Assumptions!$B$16,Assumptions!$B$17,IF(P87&gt;=Assumptions!$B$14,Assumptions!$B$15,0))))/((1+IF(H87="Yes",Assumptions!$B$6,0))*(1+(Assumptions!$B$7*(Assumptions!$B$8*N87*Assumptions!$B$9+Assumptions!$B$10)))+Assumptions!$B$11*N87))</f>
        <v>1392407.02025745</v>
      </c>
      <c r="AB87" s="50" t="n">
        <f aca="false">IF(AA87&lt;=0,"no price works",D87/AA87)</f>
        <v>1.86367919885968</v>
      </c>
      <c r="AC87" s="46" t="n">
        <f aca="false">(INDEX(Assumptions!$B$36:$B$48,MATCH(AK87,Assumptions!$A$36:$A$48,0))+IF(I87="Yes",Assumptions!$B$23,0)+IF(J87="Yes",Assumptions!$B$24,0))*(1+Assumptions!$B$28)</f>
        <v>1350</v>
      </c>
      <c r="AD87" s="47" t="n">
        <f aca="false">(L87)*AC87-(((D87)+(L87)*Assumptions!$B$4+IF(H87="Yes",Assumptions!$B$6*(D87),(L87)*Assumptions!$B$5))*(1+Assumptions!$B$7*(Assumptions!$B$8*(N87)*Assumptions!$B$9+Assumptions!$B$10))+(D87)*Assumptions!$B$11*(N87)+(L87)*AC87*(Assumptions!$B$12+Assumptions!$B$13+IF((L87)*AC87&gt;=Assumptions!$B$16,Assumptions!$B$17,IF((L87)*AC87&gt;=Assumptions!$B$14,Assumptions!$B$15,0))))</f>
        <v>-1020792.0725</v>
      </c>
      <c r="AE87" s="46" t="n">
        <f aca="false">(INDEX(Assumptions!$B$36:$B$48,MATCH(AK87,Assumptions!$A$36:$A$48,0))+IF(I87="Yes",Assumptions!$B$23,0)+IF(J87="Yes",Assumptions!$B$24,0))*(1+Assumptions!$B$29)</f>
        <v>1485</v>
      </c>
      <c r="AF87" s="47" t="n">
        <f aca="false">(L87)*AE87-(((D87)+(L87)*Assumptions!$B$4+IF(H87="Yes",Assumptions!$B$6*(D87),(L87)*Assumptions!$B$5))*(1+Assumptions!$B$7*(Assumptions!$B$8*(N87)*Assumptions!$B$9+Assumptions!$B$10))+(D87)*Assumptions!$B$11*(N87)+(L87)*AE87*(Assumptions!$B$12+Assumptions!$B$13+IF((L87)*AE87&gt;=Assumptions!$B$16,Assumptions!$B$17,IF((L87)*AE87&gt;=Assumptions!$B$14,Assumptions!$B$15,0))))</f>
        <v>-347322.378499999</v>
      </c>
      <c r="AG87" s="46" t="n">
        <f aca="false">(INDEX(Assumptions!$B$36:$B$48,MATCH(AK87,Assumptions!$A$36:$A$48,0))+IF(I87="Yes",Assumptions!$B$23,0)+IF(J87="Yes",Assumptions!$B$24,0))*(1+Assumptions!$B$30)</f>
        <v>1620</v>
      </c>
      <c r="AH87" s="47" t="n">
        <f aca="false">(L87)*AG87-(((D87)+(L87)*Assumptions!$B$4+IF(H87="Yes",Assumptions!$B$6*(D87),(L87)*Assumptions!$B$5))*(1+Assumptions!$B$7*(Assumptions!$B$8*(N87)*Assumptions!$B$9+Assumptions!$B$10))+(D87)*Assumptions!$B$11*(N87)+(L87)*AG87*(Assumptions!$B$12+Assumptions!$B$13+IF((L87)*AG87&gt;=Assumptions!$B$16,Assumptions!$B$17,IF((L87)*AG87&gt;=Assumptions!$B$14,Assumptions!$B$15,0))))</f>
        <v>326147.315500001</v>
      </c>
      <c r="AI87" s="47" t="n">
        <f aca="false">(L87)*AE87-(((D87)+(L87)*Assumptions!$B$25+IF(H87="Yes",Assumptions!$B$6*(D87),(L87)*Assumptions!$B$5))*(1+Assumptions!$B$7*(Assumptions!$B$8*(N87)*Assumptions!$B$9+Assumptions!$B$10))+(D87)*Assumptions!$B$11*(N87)+(L87)*AE87*(Assumptions!$B$12+Assumptions!$B$13+IF((L87)*AE87&gt;=Assumptions!$B$16,Assumptions!$B$17,IF((L87)*AE87&gt;=Assumptions!$B$14,Assumptions!$B$15,0))))</f>
        <v>-41635.1034999993</v>
      </c>
      <c r="AJ87" s="47" t="n">
        <f aca="false">(L87)*AE87-(((D87)+(L87)*Assumptions!$B$26+IF(H87="Yes",Assumptions!$B$6*(D87),(L87)*Assumptions!$B$5))*(1+Assumptions!$B$7*(Assumptions!$B$8*(N87)*Assumptions!$B$9+Assumptions!$B$10))+(D87)*Assumptions!$B$11*(N87)+(L87)*AE87*(Assumptions!$B$12+Assumptions!$B$13+IF((L87)*AE87&gt;=Assumptions!$B$16,Assumptions!$B$17,IF((L87)*AE87&gt;=Assumptions!$B$14,Assumptions!$B$15,0))))</f>
        <v>264052.171500001</v>
      </c>
      <c r="AK87" s="40" t="s">
        <v>104</v>
      </c>
      <c r="AL87" s="45" t="n">
        <f aca="false">IF(G87&gt;0,G87,ROUND(F87*Assumptions!$B$18,0))</f>
        <v>3812</v>
      </c>
      <c r="AM87" s="45" t="n">
        <f aca="false">IF(H87="Yes",AL87,MAX(AL87,MIN(Assumptions!$B$20,ROUND(E87*Assumptions!$B$19,0))))</f>
        <v>5426</v>
      </c>
      <c r="AN87" s="47" t="n">
        <f aca="false">(AL87)*AE87-(((D87)+(AL87)*Assumptions!$B$4+IF(H87="Yes",Assumptions!$B$6*(D87),(AL87)*Assumptions!$B$5))*(1+Assumptions!$B$7*(Assumptions!$B$8*(Assumptions!$B$21)*Assumptions!$B$9+Assumptions!$B$10))+(D87)*Assumptions!$B$11*(Assumptions!$B$21)+(AL87)*AE87*(Assumptions!$B$12+Assumptions!$B$13+IF((AL87)*AE87&gt;=Assumptions!$B$16,Assumptions!$B$17,IF((AL87)*AE87&gt;=Assumptions!$B$14,Assumptions!$B$15,0))))</f>
        <v>-893973.166999999</v>
      </c>
      <c r="AO87" s="47" t="n">
        <f aca="false">(AM87)*AE87-(((D87)+(AM87)*Assumptions!$B$4+IF(H87="Yes",Assumptions!$B$6*(D87),(AM87)*Assumptions!$B$5))*(1+Assumptions!$B$7*(Assumptions!$B$8*(IF(AM87&gt;AL87,Assumptions!$B$22,Assumptions!$B$21))*Assumptions!$B$9+Assumptions!$B$10))+(D87)*Assumptions!$B$11*(IF(AM87&gt;AL87,Assumptions!$B$22,Assumptions!$B$21))+(AM87)*AE87*(Assumptions!$B$12+Assumptions!$B$13+IF((AM87)*AE87&gt;=Assumptions!$B$16,Assumptions!$B$17,IF((AM87)*AE87&gt;=Assumptions!$B$14,Assumptions!$B$15,0))))</f>
        <v>-347322.378499999</v>
      </c>
      <c r="AP87" s="47" t="n">
        <f aca="false">Assumptions!$B$7*(Q87+R87+S87)</f>
        <v>4420097.5</v>
      </c>
    </row>
    <row r="88" customFormat="false" ht="15" hidden="false" customHeight="false" outlineLevel="0" collapsed="false">
      <c r="A88" s="40" t="n">
        <v>86</v>
      </c>
      <c r="B88" s="40" t="s">
        <v>221</v>
      </c>
      <c r="C88" s="40" t="s">
        <v>102</v>
      </c>
      <c r="D88" s="41" t="n">
        <v>2495000</v>
      </c>
      <c r="E88" s="42" t="n">
        <v>12784</v>
      </c>
      <c r="F88" s="42" t="n">
        <v>2080</v>
      </c>
      <c r="G88" s="42"/>
      <c r="H88" s="43" t="s">
        <v>71</v>
      </c>
      <c r="I88" s="43" t="s">
        <v>80</v>
      </c>
      <c r="J88" s="43" t="s">
        <v>71</v>
      </c>
      <c r="K88" s="44"/>
      <c r="L88" s="45" t="n">
        <f aca="false">IF(AO88&gt;AN88,AM88,AL88)</f>
        <v>5114</v>
      </c>
      <c r="M88" s="40" t="str">
        <f aca="false">IF(AO88&gt;AN88,"Zoning estimate",IF(H88="Yes","Approved plans",IF(G88&gt;0,"Listing claim","110% old house")))</f>
        <v>Zoning estimate</v>
      </c>
      <c r="N88" s="45" t="n">
        <f aca="false">IF(AO88&gt;AN88,IF(AM88&gt;AL88,Assumptions!$B$22,Assumptions!$B$21),Assumptions!$B$21)</f>
        <v>3</v>
      </c>
      <c r="O88" s="46" t="n">
        <f aca="false">(INDEX(Assumptions!$B$36:$B$48,MATCH(AK88,Assumptions!$A$36:$A$48,0))+IF(I88="Yes",Assumptions!$B$23,0)+IF(J88="Yes",Assumptions!$B$24,0))*(1+IF(UPPER(Assumptions!$B$31)="WORST",Assumptions!$B$28,IF(UPPER(Assumptions!$B$31)="BEST",Assumptions!$B$30,Assumptions!$B$29)))</f>
        <v>1485</v>
      </c>
      <c r="P88" s="47" t="n">
        <f aca="false">L88*O88</f>
        <v>7594290</v>
      </c>
      <c r="Q88" s="47" t="n">
        <f aca="false">D88</f>
        <v>2495000</v>
      </c>
      <c r="R88" s="47" t="n">
        <f aca="false">L88*Assumptions!$B$4</f>
        <v>3579800</v>
      </c>
      <c r="S88" s="47" t="n">
        <f aca="false">IF(H88="Yes",Assumptions!$B$6*(D88),(L88)*Assumptions!$B$5)</f>
        <v>383550</v>
      </c>
      <c r="T88" s="47" t="n">
        <f aca="false">AP88*(Assumptions!$B$8*N88*Assumptions!$B$9+Assumptions!$B$10)</f>
        <v>818595.8625</v>
      </c>
      <c r="U88" s="47" t="n">
        <f aca="false">Q88*Assumptions!$B$11*N88</f>
        <v>89820</v>
      </c>
      <c r="V88" s="47" t="n">
        <f aca="false">P88*(Assumptions!$B$12+Assumptions!$B$13)</f>
        <v>308328.174</v>
      </c>
      <c r="W88" s="47" t="n">
        <f aca="false">P88*IF(P88&gt;=Assumptions!$B$16,Assumptions!$B$17,IF(P88&gt;=Assumptions!$B$14,Assumptions!$B$15,0))</f>
        <v>303771.6</v>
      </c>
      <c r="X88" s="48" t="n">
        <f aca="false">SUM(Q88:W88)</f>
        <v>7978865.6365</v>
      </c>
      <c r="Y88" s="48" t="n">
        <f aca="false">P88-X88</f>
        <v>-384575.636499999</v>
      </c>
      <c r="Z88" s="49" t="n">
        <f aca="false">IF(X88=0,0,Y88/X88)</f>
        <v>-0.0481992872195673</v>
      </c>
      <c r="AA88" s="47" t="n">
        <f aca="false">MAX(0,(P88/(1+Assumptions!$B$27)-(L88*(Assumptions!$B$4+IF(H88="Yes",0,Assumptions!$B$5)))*(1+(Assumptions!$B$7*(Assumptions!$B$8*N88*Assumptions!$B$9+Assumptions!$B$10)))-P88*(Assumptions!$B$12+Assumptions!$B$13+IF(P88&gt;=Assumptions!$B$16,Assumptions!$B$17,IF(P88&gt;=Assumptions!$B$14,Assumptions!$B$15,0))))/((1+IF(H88="Yes",Assumptions!$B$6,0))*(1+(Assumptions!$B$7*(Assumptions!$B$8*N88*Assumptions!$B$9+Assumptions!$B$10)))+Assumptions!$B$11*N88))</f>
        <v>1312342.33350472</v>
      </c>
      <c r="AB88" s="50" t="n">
        <f aca="false">IF(AA88&lt;=0,"no price works",D88/AA88)</f>
        <v>1.90118076381557</v>
      </c>
      <c r="AC88" s="46" t="n">
        <f aca="false">(INDEX(Assumptions!$B$36:$B$48,MATCH(AK88,Assumptions!$A$36:$A$48,0))+IF(I88="Yes",Assumptions!$B$23,0)+IF(J88="Yes",Assumptions!$B$24,0))*(1+Assumptions!$B$28)</f>
        <v>1350</v>
      </c>
      <c r="AD88" s="47" t="n">
        <f aca="false">(L88)*AC88-(((D88)+(L88)*Assumptions!$B$4+IF(H88="Yes",Assumptions!$B$6*(D88),(L88)*Assumptions!$B$5))*(1+Assumptions!$B$7*(Assumptions!$B$8*(N88)*Assumptions!$B$9+Assumptions!$B$10))+(D88)*Assumptions!$B$11*(N88)+(L88)*AC88*(Assumptions!$B$12+Assumptions!$B$13+IF((L88)*AC88&gt;=Assumptions!$B$16,Assumptions!$B$17,IF((L88)*AC88&gt;=Assumptions!$B$14,Assumptions!$B$15,0))))</f>
        <v>-1019320.2025</v>
      </c>
      <c r="AE88" s="46" t="n">
        <f aca="false">(INDEX(Assumptions!$B$36:$B$48,MATCH(AK88,Assumptions!$A$36:$A$48,0))+IF(I88="Yes",Assumptions!$B$23,0)+IF(J88="Yes",Assumptions!$B$24,0))*(1+Assumptions!$B$29)</f>
        <v>1485</v>
      </c>
      <c r="AF88" s="47" t="n">
        <f aca="false">(L88)*AE88-(((D88)+(L88)*Assumptions!$B$4+IF(H88="Yes",Assumptions!$B$6*(D88),(L88)*Assumptions!$B$5))*(1+Assumptions!$B$7*(Assumptions!$B$8*(N88)*Assumptions!$B$9+Assumptions!$B$10))+(D88)*Assumptions!$B$11*(N88)+(L88)*AE88*(Assumptions!$B$12+Assumptions!$B$13+IF((L88)*AE88&gt;=Assumptions!$B$16,Assumptions!$B$17,IF((L88)*AE88&gt;=Assumptions!$B$14,Assumptions!$B$15,0))))</f>
        <v>-384575.636499999</v>
      </c>
      <c r="AG88" s="46" t="n">
        <f aca="false">(INDEX(Assumptions!$B$36:$B$48,MATCH(AK88,Assumptions!$A$36:$A$48,0))+IF(I88="Yes",Assumptions!$B$23,0)+IF(J88="Yes",Assumptions!$B$24,0))*(1+Assumptions!$B$30)</f>
        <v>1620</v>
      </c>
      <c r="AH88" s="47" t="n">
        <f aca="false">(L88)*AG88-(((D88)+(L88)*Assumptions!$B$4+IF(H88="Yes",Assumptions!$B$6*(D88),(L88)*Assumptions!$B$5))*(1+Assumptions!$B$7*(Assumptions!$B$8*(N88)*Assumptions!$B$9+Assumptions!$B$10))+(D88)*Assumptions!$B$11*(N88)+(L88)*AG88*(Assumptions!$B$12+Assumptions!$B$13+IF((L88)*AG88&gt;=Assumptions!$B$16,Assumptions!$B$17,IF((L88)*AG88&gt;=Assumptions!$B$14,Assumptions!$B$15,0))))</f>
        <v>250168.929500001</v>
      </c>
      <c r="AI88" s="47" t="n">
        <f aca="false">(L88)*AE88-(((D88)+(L88)*Assumptions!$B$25+IF(H88="Yes",Assumptions!$B$6*(D88),(L88)*Assumptions!$B$5))*(1+Assumptions!$B$7*(Assumptions!$B$8*(N88)*Assumptions!$B$9+Assumptions!$B$10))+(D88)*Assumptions!$B$11*(N88)+(L88)*AE88*(Assumptions!$B$12+Assumptions!$B$13+IF((L88)*AE88&gt;=Assumptions!$B$16,Assumptions!$B$17,IF((L88)*AE88&gt;=Assumptions!$B$14,Assumptions!$B$15,0))))</f>
        <v>-96465.6614999985</v>
      </c>
      <c r="AJ88" s="47" t="n">
        <f aca="false">(L88)*AE88-(((D88)+(L88)*Assumptions!$B$26+IF(H88="Yes",Assumptions!$B$6*(D88),(L88)*Assumptions!$B$5))*(1+Assumptions!$B$7*(Assumptions!$B$8*(N88)*Assumptions!$B$9+Assumptions!$B$10))+(D88)*Assumptions!$B$11*(N88)+(L88)*AE88*(Assumptions!$B$12+Assumptions!$B$13+IF((L88)*AE88&gt;=Assumptions!$B$16,Assumptions!$B$17,IF((L88)*AE88&gt;=Assumptions!$B$14,Assumptions!$B$15,0))))</f>
        <v>191644.313500001</v>
      </c>
      <c r="AK88" s="40" t="s">
        <v>104</v>
      </c>
      <c r="AL88" s="45" t="n">
        <f aca="false">IF(G88&gt;0,G88,ROUND(F88*Assumptions!$B$18,0))</f>
        <v>2288</v>
      </c>
      <c r="AM88" s="45" t="n">
        <f aca="false">IF(H88="Yes",AL88,MAX(AL88,MIN(Assumptions!$B$20,ROUND(E88*Assumptions!$B$19,0))))</f>
        <v>5114</v>
      </c>
      <c r="AN88" s="47" t="n">
        <f aca="false">(AL88)*AE88-(((D88)+(AL88)*Assumptions!$B$4+IF(H88="Yes",Assumptions!$B$6*(D88),(AL88)*Assumptions!$B$5))*(1+Assumptions!$B$7*(Assumptions!$B$8*(Assumptions!$B$21)*Assumptions!$B$9+Assumptions!$B$10))+(D88)*Assumptions!$B$11*(Assumptions!$B$21)+(AL88)*AE88*(Assumptions!$B$12+Assumptions!$B$13+IF((AL88)*AE88&gt;=Assumptions!$B$16,Assumptions!$B$17,IF((AL88)*AE88&gt;=Assumptions!$B$14,Assumptions!$B$15,0))))</f>
        <v>-1442880.358</v>
      </c>
      <c r="AO88" s="47" t="n">
        <f aca="false">(AM88)*AE88-(((D88)+(AM88)*Assumptions!$B$4+IF(H88="Yes",Assumptions!$B$6*(D88),(AM88)*Assumptions!$B$5))*(1+Assumptions!$B$7*(Assumptions!$B$8*(IF(AM88&gt;AL88,Assumptions!$B$22,Assumptions!$B$21))*Assumptions!$B$9+Assumptions!$B$10))+(D88)*Assumptions!$B$11*(IF(AM88&gt;AL88,Assumptions!$B$22,Assumptions!$B$21))+(AM88)*AE88*(Assumptions!$B$12+Assumptions!$B$13+IF((AM88)*AE88&gt;=Assumptions!$B$16,Assumptions!$B$17,IF((AM88)*AE88&gt;=Assumptions!$B$14,Assumptions!$B$15,0))))</f>
        <v>-384575.636499999</v>
      </c>
      <c r="AP88" s="47" t="n">
        <f aca="false">Assumptions!$B$7*(Q88+R88+S88)</f>
        <v>4197927.5</v>
      </c>
    </row>
    <row r="89" customFormat="false" ht="15" hidden="false" customHeight="false" outlineLevel="0" collapsed="false">
      <c r="A89" s="40" t="n">
        <v>87</v>
      </c>
      <c r="B89" s="40" t="s">
        <v>222</v>
      </c>
      <c r="C89" s="40" t="s">
        <v>126</v>
      </c>
      <c r="D89" s="41" t="n">
        <v>2345000</v>
      </c>
      <c r="E89" s="42" t="n">
        <v>6503</v>
      </c>
      <c r="F89" s="42" t="n">
        <v>2447</v>
      </c>
      <c r="G89" s="42"/>
      <c r="H89" s="43" t="s">
        <v>71</v>
      </c>
      <c r="I89" s="43" t="s">
        <v>80</v>
      </c>
      <c r="J89" s="43" t="s">
        <v>71</v>
      </c>
      <c r="K89" s="44" t="s">
        <v>223</v>
      </c>
      <c r="L89" s="45" t="n">
        <f aca="false">IF(AO89&gt;AN89,AM89,AL89)</f>
        <v>2692</v>
      </c>
      <c r="M89" s="40" t="str">
        <f aca="false">IF(AO89&gt;AN89,"Zoning estimate",IF(H89="Yes","Approved plans",IF(G89&gt;0,"Listing claim","110% old house")))</f>
        <v>110% old house</v>
      </c>
      <c r="N89" s="45" t="n">
        <f aca="false">IF(AO89&gt;AN89,IF(AM89&gt;AL89,Assumptions!$B$22,Assumptions!$B$21),Assumptions!$B$21)</f>
        <v>2</v>
      </c>
      <c r="O89" s="46" t="n">
        <f aca="false">(INDEX(Assumptions!$B$36:$B$48,MATCH(AK89,Assumptions!$A$36:$A$48,0))+IF(I89="Yes",Assumptions!$B$23,0)+IF(J89="Yes",Assumptions!$B$24,0))*(1+IF(UPPER(Assumptions!$B$31)="WORST",Assumptions!$B$28,IF(UPPER(Assumptions!$B$31)="BEST",Assumptions!$B$30,Assumptions!$B$29)))</f>
        <v>1540</v>
      </c>
      <c r="P89" s="47" t="n">
        <f aca="false">L89*O89</f>
        <v>4145680</v>
      </c>
      <c r="Q89" s="47" t="n">
        <f aca="false">D89</f>
        <v>2345000</v>
      </c>
      <c r="R89" s="47" t="n">
        <f aca="false">L89*Assumptions!$B$4</f>
        <v>1884400</v>
      </c>
      <c r="S89" s="47" t="n">
        <f aca="false">IF(H89="Yes",Assumptions!$B$6*(D89),(L89)*Assumptions!$B$5)</f>
        <v>201900</v>
      </c>
      <c r="T89" s="47" t="n">
        <f aca="false">AP89*(Assumptions!$B$8*N89*Assumptions!$B$9+Assumptions!$B$10)</f>
        <v>388846.575</v>
      </c>
      <c r="U89" s="47" t="n">
        <f aca="false">Q89*Assumptions!$B$11*N89</f>
        <v>56280</v>
      </c>
      <c r="V89" s="47" t="n">
        <f aca="false">P89*(Assumptions!$B$12+Assumptions!$B$13)</f>
        <v>168314.608</v>
      </c>
      <c r="W89" s="47" t="n">
        <f aca="false">P89*IF(P89&gt;=Assumptions!$B$16,Assumptions!$B$17,IF(P89&gt;=Assumptions!$B$14,Assumptions!$B$15,0))</f>
        <v>0</v>
      </c>
      <c r="X89" s="48" t="n">
        <f aca="false">SUM(Q89:W89)</f>
        <v>5044741.183</v>
      </c>
      <c r="Y89" s="48" t="n">
        <f aca="false">P89-X89</f>
        <v>-899061.183</v>
      </c>
      <c r="Z89" s="49" t="n">
        <f aca="false">IF(X89=0,0,Y89/X89)</f>
        <v>-0.178217504206102</v>
      </c>
      <c r="AA89" s="47" t="n">
        <f aca="false">MAX(0,(P89/(1+Assumptions!$B$27)-(L89*(Assumptions!$B$4+IF(H89="Yes",0,Assumptions!$B$5)))*(1+(Assumptions!$B$7*(Assumptions!$B$8*N89*Assumptions!$B$9+Assumptions!$B$10)))-P89*(Assumptions!$B$12+Assumptions!$B$13+IF(P89&gt;=Assumptions!$B$16,Assumptions!$B$17,IF(P89&gt;=Assumptions!$B$14,Assumptions!$B$15,0))))/((1+IF(H89="Yes",Assumptions!$B$6,0))*(1+(Assumptions!$B$7*(Assumptions!$B$8*N89*Assumptions!$B$9+Assumptions!$B$10)))+Assumptions!$B$11*N89))</f>
        <v>1049922.82206862</v>
      </c>
      <c r="AB89" s="50" t="n">
        <f aca="false">IF(AA89&lt;=0,"no price works",D89/AA89)</f>
        <v>2.23349750163517</v>
      </c>
      <c r="AC89" s="46" t="n">
        <f aca="false">(INDEX(Assumptions!$B$36:$B$48,MATCH(AK89,Assumptions!$A$36:$A$48,0))+IF(I89="Yes",Assumptions!$B$23,0)+IF(J89="Yes",Assumptions!$B$24,0))*(1+Assumptions!$B$28)</f>
        <v>1400</v>
      </c>
      <c r="AD89" s="47" t="n">
        <f aca="false">(L89)*AC89-(((D89)+(L89)*Assumptions!$B$4+IF(H89="Yes",Assumptions!$B$6*(D89),(L89)*Assumptions!$B$5))*(1+Assumptions!$B$7*(Assumptions!$B$8*(N89)*Assumptions!$B$9+Assumptions!$B$10))+(D89)*Assumptions!$B$11*(N89)+(L89)*AC89*(Assumptions!$B$12+Assumptions!$B$13+IF((L89)*AC89&gt;=Assumptions!$B$16,Assumptions!$B$17,IF((L89)*AC89&gt;=Assumptions!$B$14,Assumptions!$B$15,0))))</f>
        <v>-1260639.855</v>
      </c>
      <c r="AE89" s="46" t="n">
        <f aca="false">(INDEX(Assumptions!$B$36:$B$48,MATCH(AK89,Assumptions!$A$36:$A$48,0))+IF(I89="Yes",Assumptions!$B$23,0)+IF(J89="Yes",Assumptions!$B$24,0))*(1+Assumptions!$B$29)</f>
        <v>1540</v>
      </c>
      <c r="AF89" s="47" t="n">
        <f aca="false">(L89)*AE89-(((D89)+(L89)*Assumptions!$B$4+IF(H89="Yes",Assumptions!$B$6*(D89),(L89)*Assumptions!$B$5))*(1+Assumptions!$B$7*(Assumptions!$B$8*(N89)*Assumptions!$B$9+Assumptions!$B$10))+(D89)*Assumptions!$B$11*(N89)+(L89)*AE89*(Assumptions!$B$12+Assumptions!$B$13+IF((L89)*AE89&gt;=Assumptions!$B$16,Assumptions!$B$17,IF((L89)*AE89&gt;=Assumptions!$B$14,Assumptions!$B$15,0))))</f>
        <v>-899061.183</v>
      </c>
      <c r="AG89" s="46" t="n">
        <f aca="false">(INDEX(Assumptions!$B$36:$B$48,MATCH(AK89,Assumptions!$A$36:$A$48,0))+IF(I89="Yes",Assumptions!$B$23,0)+IF(J89="Yes",Assumptions!$B$24,0))*(1+Assumptions!$B$30)</f>
        <v>1680</v>
      </c>
      <c r="AH89" s="47" t="n">
        <f aca="false">(L89)*AG89-(((D89)+(L89)*Assumptions!$B$4+IF(H89="Yes",Assumptions!$B$6*(D89),(L89)*Assumptions!$B$5))*(1+Assumptions!$B$7*(Assumptions!$B$8*(N89)*Assumptions!$B$9+Assumptions!$B$10))+(D89)*Assumptions!$B$11*(N89)+(L89)*AG89*(Assumptions!$B$12+Assumptions!$B$13+IF((L89)*AG89&gt;=Assumptions!$B$16,Assumptions!$B$17,IF((L89)*AG89&gt;=Assumptions!$B$14,Assumptions!$B$15,0))))</f>
        <v>-537482.511</v>
      </c>
      <c r="AI89" s="47" t="n">
        <f aca="false">(L89)*AE89-(((D89)+(L89)*Assumptions!$B$25+IF(H89="Yes",Assumptions!$B$6*(D89),(L89)*Assumptions!$B$5))*(1+Assumptions!$B$7*(Assumptions!$B$8*(N89)*Assumptions!$B$9+Assumptions!$B$10))+(D89)*Assumptions!$B$11*(N89)+(L89)*AE89*(Assumptions!$B$12+Assumptions!$B$13+IF((L89)*AE89&gt;=Assumptions!$B$16,Assumptions!$B$17,IF((L89)*AE89&gt;=Assumptions!$B$14,Assumptions!$B$15,0))))</f>
        <v>-752650.032999999</v>
      </c>
      <c r="AJ89" s="47" t="n">
        <f aca="false">(L89)*AE89-(((D89)+(L89)*Assumptions!$B$26+IF(H89="Yes",Assumptions!$B$6*(D89),(L89)*Assumptions!$B$5))*(1+Assumptions!$B$7*(Assumptions!$B$8*(N89)*Assumptions!$B$9+Assumptions!$B$10))+(D89)*Assumptions!$B$11*(N89)+(L89)*AE89*(Assumptions!$B$12+Assumptions!$B$13+IF((L89)*AE89&gt;=Assumptions!$B$16,Assumptions!$B$17,IF((L89)*AE89&gt;=Assumptions!$B$14,Assumptions!$B$15,0))))</f>
        <v>-606238.883</v>
      </c>
      <c r="AK89" s="40" t="s">
        <v>128</v>
      </c>
      <c r="AL89" s="45" t="n">
        <f aca="false">IF(G89&gt;0,G89,ROUND(F89*Assumptions!$B$18,0))</f>
        <v>2692</v>
      </c>
      <c r="AM89" s="45" t="n">
        <f aca="false">IF(H89="Yes",AL89,MAX(AL89,MIN(Assumptions!$B$20,ROUND(E89*Assumptions!$B$19,0))))</f>
        <v>2692</v>
      </c>
      <c r="AN89" s="47" t="n">
        <f aca="false">(AL89)*AE89-(((D89)+(AL89)*Assumptions!$B$4+IF(H89="Yes",Assumptions!$B$6*(D89),(AL89)*Assumptions!$B$5))*(1+Assumptions!$B$7*(Assumptions!$B$8*(Assumptions!$B$21)*Assumptions!$B$9+Assumptions!$B$10))+(D89)*Assumptions!$B$11*(Assumptions!$B$21)+(AL89)*AE89*(Assumptions!$B$12+Assumptions!$B$13+IF((AL89)*AE89&gt;=Assumptions!$B$16,Assumptions!$B$17,IF((AL89)*AE89&gt;=Assumptions!$B$14,Assumptions!$B$15,0))))</f>
        <v>-899061.183</v>
      </c>
      <c r="AO89" s="47" t="n">
        <f aca="false">(AM89)*AE89-(((D89)+(AM89)*Assumptions!$B$4+IF(H89="Yes",Assumptions!$B$6*(D89),(AM89)*Assumptions!$B$5))*(1+Assumptions!$B$7*(Assumptions!$B$8*(IF(AM89&gt;AL89,Assumptions!$B$22,Assumptions!$B$21))*Assumptions!$B$9+Assumptions!$B$10))+(D89)*Assumptions!$B$11*(IF(AM89&gt;AL89,Assumptions!$B$22,Assumptions!$B$21))+(AM89)*AE89*(Assumptions!$B$12+Assumptions!$B$13+IF((AM89)*AE89&gt;=Assumptions!$B$16,Assumptions!$B$17,IF((AM89)*AE89&gt;=Assumptions!$B$14,Assumptions!$B$15,0))))</f>
        <v>-899061.183</v>
      </c>
      <c r="AP89" s="47" t="n">
        <f aca="false">Assumptions!$B$7*(Q89+R89+S89)</f>
        <v>2880345</v>
      </c>
    </row>
    <row r="90" customFormat="false" ht="15" hidden="false" customHeight="false" outlineLevel="0" collapsed="false">
      <c r="A90" s="40" t="n">
        <v>88</v>
      </c>
      <c r="B90" s="40" t="s">
        <v>224</v>
      </c>
      <c r="C90" s="40" t="s">
        <v>117</v>
      </c>
      <c r="D90" s="41" t="n">
        <v>3185000</v>
      </c>
      <c r="E90" s="42" t="n">
        <v>7952</v>
      </c>
      <c r="F90" s="42" t="n">
        <v>1653</v>
      </c>
      <c r="G90" s="42"/>
      <c r="H90" s="43" t="s">
        <v>71</v>
      </c>
      <c r="I90" s="43" t="s">
        <v>80</v>
      </c>
      <c r="J90" s="43" t="s">
        <v>71</v>
      </c>
      <c r="K90" s="44" t="s">
        <v>225</v>
      </c>
      <c r="L90" s="45" t="n">
        <f aca="false">IF(AO90&gt;AN90,AM90,AL90)</f>
        <v>3181</v>
      </c>
      <c r="M90" s="40" t="str">
        <f aca="false">IF(AO90&gt;AN90,"Zoning estimate",IF(H90="Yes","Approved plans",IF(G90&gt;0,"Listing claim","110% old house")))</f>
        <v>Zoning estimate</v>
      </c>
      <c r="N90" s="45" t="n">
        <f aca="false">IF(AO90&gt;AN90,IF(AM90&gt;AL90,Assumptions!$B$22,Assumptions!$B$21),Assumptions!$B$21)</f>
        <v>3</v>
      </c>
      <c r="O90" s="46" t="n">
        <f aca="false">(INDEX(Assumptions!$B$36:$B$48,MATCH(AK90,Assumptions!$A$36:$A$48,0))+IF(I90="Yes",Assumptions!$B$23,0)+IF(J90="Yes",Assumptions!$B$24,0))*(1+IF(UPPER(Assumptions!$B$31)="WORST",Assumptions!$B$28,IF(UPPER(Assumptions!$B$31)="BEST",Assumptions!$B$30,Assumptions!$B$29)))</f>
        <v>1650</v>
      </c>
      <c r="P90" s="47" t="n">
        <f aca="false">L90*O90</f>
        <v>5248650</v>
      </c>
      <c r="Q90" s="47" t="n">
        <f aca="false">D90</f>
        <v>3185000</v>
      </c>
      <c r="R90" s="47" t="n">
        <f aca="false">L90*Assumptions!$B$4</f>
        <v>2226700</v>
      </c>
      <c r="S90" s="47" t="n">
        <f aca="false">IF(H90="Yes",Assumptions!$B$6*(D90),(L90)*Assumptions!$B$5)</f>
        <v>238575</v>
      </c>
      <c r="T90" s="47" t="n">
        <f aca="false">AP90*(Assumptions!$B$8*N90*Assumptions!$B$9+Assumptions!$B$10)</f>
        <v>716172.35625</v>
      </c>
      <c r="U90" s="47" t="n">
        <f aca="false">Q90*Assumptions!$B$11*N90</f>
        <v>114660</v>
      </c>
      <c r="V90" s="47" t="n">
        <f aca="false">P90*(Assumptions!$B$12+Assumptions!$B$13)</f>
        <v>213095.19</v>
      </c>
      <c r="W90" s="47" t="n">
        <f aca="false">P90*IF(P90&gt;=Assumptions!$B$16,Assumptions!$B$17,IF(P90&gt;=Assumptions!$B$14,Assumptions!$B$15,0))</f>
        <v>0</v>
      </c>
      <c r="X90" s="48" t="n">
        <f aca="false">SUM(Q90:W90)</f>
        <v>6694202.54625</v>
      </c>
      <c r="Y90" s="48" t="n">
        <f aca="false">P90-X90</f>
        <v>-1445552.54625</v>
      </c>
      <c r="Z90" s="49" t="n">
        <f aca="false">IF(X90=0,0,Y90/X90)</f>
        <v>-0.215940963283189</v>
      </c>
      <c r="AA90" s="47" t="n">
        <f aca="false">MAX(0,(P90/(1+Assumptions!$B$27)-(L90*(Assumptions!$B$4+IF(H90="Yes",0,Assumptions!$B$5)))*(1+(Assumptions!$B$7*(Assumptions!$B$8*N90*Assumptions!$B$9+Assumptions!$B$10)))-P90*(Assumptions!$B$12+Assumptions!$B$13+IF(P90&gt;=Assumptions!$B$16,Assumptions!$B$17,IF(P90&gt;=Assumptions!$B$14,Assumptions!$B$15,0))))/((1+IF(H90="Yes",Assumptions!$B$6,0))*(1+(Assumptions!$B$7*(Assumptions!$B$8*N90*Assumptions!$B$9+Assumptions!$B$10)))+Assumptions!$B$11*N90))</f>
        <v>1352999.0814972</v>
      </c>
      <c r="AB90" s="50" t="n">
        <f aca="false">IF(AA90&lt;=0,"no price works",D90/AA90)</f>
        <v>2.35402968380107</v>
      </c>
      <c r="AC90" s="46" t="n">
        <f aca="false">(INDEX(Assumptions!$B$36:$B$48,MATCH(AK90,Assumptions!$A$36:$A$48,0))+IF(I90="Yes",Assumptions!$B$23,0)+IF(J90="Yes",Assumptions!$B$24,0))*(1+Assumptions!$B$28)</f>
        <v>1500</v>
      </c>
      <c r="AD90" s="47" t="n">
        <f aca="false">(L90)*AC90-(((D90)+(L90)*Assumptions!$B$4+IF(H90="Yes",Assumptions!$B$6*(D90),(L90)*Assumptions!$B$5))*(1+Assumptions!$B$7*(Assumptions!$B$8*(N90)*Assumptions!$B$9+Assumptions!$B$10))+(D90)*Assumptions!$B$11*(N90)+(L90)*AC90*(Assumptions!$B$12+Assumptions!$B$13+IF((L90)*AC90&gt;=Assumptions!$B$16,Assumptions!$B$17,IF((L90)*AC90&gt;=Assumptions!$B$14,Assumptions!$B$15,0))))</f>
        <v>-1903330.25625</v>
      </c>
      <c r="AE90" s="46" t="n">
        <f aca="false">(INDEX(Assumptions!$B$36:$B$48,MATCH(AK90,Assumptions!$A$36:$A$48,0))+IF(I90="Yes",Assumptions!$B$23,0)+IF(J90="Yes",Assumptions!$B$24,0))*(1+Assumptions!$B$29)</f>
        <v>1650</v>
      </c>
      <c r="AF90" s="47" t="n">
        <f aca="false">(L90)*AE90-(((D90)+(L90)*Assumptions!$B$4+IF(H90="Yes",Assumptions!$B$6*(D90),(L90)*Assumptions!$B$5))*(1+Assumptions!$B$7*(Assumptions!$B$8*(N90)*Assumptions!$B$9+Assumptions!$B$10))+(D90)*Assumptions!$B$11*(N90)+(L90)*AE90*(Assumptions!$B$12+Assumptions!$B$13+IF((L90)*AE90&gt;=Assumptions!$B$16,Assumptions!$B$17,IF((L90)*AE90&gt;=Assumptions!$B$14,Assumptions!$B$15,0))))</f>
        <v>-1445552.54625</v>
      </c>
      <c r="AG90" s="46" t="n">
        <f aca="false">(INDEX(Assumptions!$B$36:$B$48,MATCH(AK90,Assumptions!$A$36:$A$48,0))+IF(I90="Yes",Assumptions!$B$23,0)+IF(J90="Yes",Assumptions!$B$24,0))*(1+Assumptions!$B$30)</f>
        <v>1800</v>
      </c>
      <c r="AH90" s="47" t="n">
        <f aca="false">(L90)*AG90-(((D90)+(L90)*Assumptions!$B$4+IF(H90="Yes",Assumptions!$B$6*(D90),(L90)*Assumptions!$B$5))*(1+Assumptions!$B$7*(Assumptions!$B$8*(N90)*Assumptions!$B$9+Assumptions!$B$10))+(D90)*Assumptions!$B$11*(N90)+(L90)*AG90*(Assumptions!$B$12+Assumptions!$B$13+IF((L90)*AG90&gt;=Assumptions!$B$16,Assumptions!$B$17,IF((L90)*AG90&gt;=Assumptions!$B$14,Assumptions!$B$15,0))))</f>
        <v>-1216806.83625</v>
      </c>
      <c r="AI90" s="47" t="n">
        <f aca="false">(L90)*AE90-(((D90)+(L90)*Assumptions!$B$25+IF(H90="Yes",Assumptions!$B$6*(D90),(L90)*Assumptions!$B$5))*(1+Assumptions!$B$7*(Assumptions!$B$8*(N90)*Assumptions!$B$9+Assumptions!$B$10))+(D90)*Assumptions!$B$11*(N90)+(L90)*AE90*(Assumptions!$B$12+Assumptions!$B$13+IF((L90)*AE90&gt;=Assumptions!$B$16,Assumptions!$B$17,IF((L90)*AE90&gt;=Assumptions!$B$14,Assumptions!$B$15,0))))</f>
        <v>-1266342.95875</v>
      </c>
      <c r="AJ90" s="47" t="n">
        <f aca="false">(L90)*AE90-(((D90)+(L90)*Assumptions!$B$26+IF(H90="Yes",Assumptions!$B$6*(D90),(L90)*Assumptions!$B$5))*(1+Assumptions!$B$7*(Assumptions!$B$8*(N90)*Assumptions!$B$9+Assumptions!$B$10))+(D90)*Assumptions!$B$11*(N90)+(L90)*AE90*(Assumptions!$B$12+Assumptions!$B$13+IF((L90)*AE90&gt;=Assumptions!$B$16,Assumptions!$B$17,IF((L90)*AE90&gt;=Assumptions!$B$14,Assumptions!$B$15,0))))</f>
        <v>-1087133.37125</v>
      </c>
      <c r="AK90" s="40" t="s">
        <v>119</v>
      </c>
      <c r="AL90" s="45" t="n">
        <f aca="false">IF(G90&gt;0,G90,ROUND(F90*Assumptions!$B$18,0))</f>
        <v>1818</v>
      </c>
      <c r="AM90" s="45" t="n">
        <f aca="false">IF(H90="Yes",AL90,MAX(AL90,MIN(Assumptions!$B$20,ROUND(E90*Assumptions!$B$19,0))))</f>
        <v>3181</v>
      </c>
      <c r="AN90" s="47" t="n">
        <f aca="false">(AL90)*AE90-(((D90)+(AL90)*Assumptions!$B$4+IF(H90="Yes",Assumptions!$B$6*(D90),(AL90)*Assumptions!$B$5))*(1+Assumptions!$B$7*(Assumptions!$B$8*(Assumptions!$B$21)*Assumptions!$B$9+Assumptions!$B$10))+(D90)*Assumptions!$B$11*(Assumptions!$B$21)+(AL90)*AE90*(Assumptions!$B$12+Assumptions!$B$13+IF((AL90)*AE90&gt;=Assumptions!$B$16,Assumptions!$B$17,IF((AL90)*AE90&gt;=Assumptions!$B$14,Assumptions!$B$15,0))))</f>
        <v>-2195596.9325</v>
      </c>
      <c r="AO90" s="47" t="n">
        <f aca="false">(AM90)*AE90-(((D90)+(AM90)*Assumptions!$B$4+IF(H90="Yes",Assumptions!$B$6*(D90),(AM90)*Assumptions!$B$5))*(1+Assumptions!$B$7*(Assumptions!$B$8*(IF(AM90&gt;AL90,Assumptions!$B$22,Assumptions!$B$21))*Assumptions!$B$9+Assumptions!$B$10))+(D90)*Assumptions!$B$11*(IF(AM90&gt;AL90,Assumptions!$B$22,Assumptions!$B$21))+(AM90)*AE90*(Assumptions!$B$12+Assumptions!$B$13+IF((AM90)*AE90&gt;=Assumptions!$B$16,Assumptions!$B$17,IF((AM90)*AE90&gt;=Assumptions!$B$14,Assumptions!$B$15,0))))</f>
        <v>-1445552.54625</v>
      </c>
      <c r="AP90" s="47" t="n">
        <f aca="false">Assumptions!$B$7*(Q90+R90+S90)</f>
        <v>3672678.75</v>
      </c>
    </row>
    <row r="91" customFormat="false" ht="15" hidden="false" customHeight="false" outlineLevel="0" collapsed="false">
      <c r="A91" s="40" t="n">
        <v>89</v>
      </c>
      <c r="B91" s="40" t="s">
        <v>226</v>
      </c>
      <c r="C91" s="40" t="s">
        <v>126</v>
      </c>
      <c r="D91" s="41" t="n">
        <v>2795000</v>
      </c>
      <c r="E91" s="42" t="n">
        <v>7802</v>
      </c>
      <c r="F91" s="42" t="n">
        <v>2828</v>
      </c>
      <c r="G91" s="42"/>
      <c r="H91" s="43" t="s">
        <v>71</v>
      </c>
      <c r="I91" s="43" t="s">
        <v>80</v>
      </c>
      <c r="J91" s="43" t="s">
        <v>71</v>
      </c>
      <c r="K91" s="44"/>
      <c r="L91" s="45" t="n">
        <f aca="false">IF(AO91&gt;AN91,AM91,AL91)</f>
        <v>3111</v>
      </c>
      <c r="M91" s="40" t="str">
        <f aca="false">IF(AO91&gt;AN91,"Zoning estimate",IF(H91="Yes","Approved plans",IF(G91&gt;0,"Listing claim","110% old house")))</f>
        <v>110% old house</v>
      </c>
      <c r="N91" s="45" t="n">
        <f aca="false">IF(AO91&gt;AN91,IF(AM91&gt;AL91,Assumptions!$B$22,Assumptions!$B$21),Assumptions!$B$21)</f>
        <v>2</v>
      </c>
      <c r="O91" s="46" t="n">
        <f aca="false">(INDEX(Assumptions!$B$36:$B$48,MATCH(AK91,Assumptions!$A$36:$A$48,0))+IF(I91="Yes",Assumptions!$B$23,0)+IF(J91="Yes",Assumptions!$B$24,0))*(1+IF(UPPER(Assumptions!$B$31)="WORST",Assumptions!$B$28,IF(UPPER(Assumptions!$B$31)="BEST",Assumptions!$B$30,Assumptions!$B$29)))</f>
        <v>1540</v>
      </c>
      <c r="P91" s="47" t="n">
        <f aca="false">L91*O91</f>
        <v>4790940</v>
      </c>
      <c r="Q91" s="47" t="n">
        <f aca="false">D91</f>
        <v>2795000</v>
      </c>
      <c r="R91" s="47" t="n">
        <f aca="false">L91*Assumptions!$B$4</f>
        <v>2177700</v>
      </c>
      <c r="S91" s="47" t="n">
        <f aca="false">IF(H91="Yes",Assumptions!$B$6*(D91),(L91)*Assumptions!$B$5)</f>
        <v>233325</v>
      </c>
      <c r="T91" s="47" t="n">
        <f aca="false">AP91*(Assumptions!$B$8*N91*Assumptions!$B$9+Assumptions!$B$10)</f>
        <v>456828.69375</v>
      </c>
      <c r="U91" s="47" t="n">
        <f aca="false">Q91*Assumptions!$B$11*N91</f>
        <v>67080</v>
      </c>
      <c r="V91" s="47" t="n">
        <f aca="false">P91*(Assumptions!$B$12+Assumptions!$B$13)</f>
        <v>194512.164</v>
      </c>
      <c r="W91" s="47" t="n">
        <f aca="false">P91*IF(P91&gt;=Assumptions!$B$16,Assumptions!$B$17,IF(P91&gt;=Assumptions!$B$14,Assumptions!$B$15,0))</f>
        <v>0</v>
      </c>
      <c r="X91" s="48" t="n">
        <f aca="false">SUM(Q91:W91)</f>
        <v>5924445.85775</v>
      </c>
      <c r="Y91" s="48" t="n">
        <f aca="false">P91-X91</f>
        <v>-1133505.85775</v>
      </c>
      <c r="Z91" s="49" t="n">
        <f aca="false">IF(X91=0,0,Y91/X91)</f>
        <v>-0.191326899589641</v>
      </c>
      <c r="AA91" s="47" t="n">
        <f aca="false">MAX(0,(P91/(1+Assumptions!$B$27)-(L91*(Assumptions!$B$4+IF(H91="Yes",0,Assumptions!$B$5)))*(1+(Assumptions!$B$7*(Assumptions!$B$8*N91*Assumptions!$B$9+Assumptions!$B$10)))-P91*(Assumptions!$B$12+Assumptions!$B$13+IF(P91&gt;=Assumptions!$B$16,Assumptions!$B$17,IF(P91&gt;=Assumptions!$B$14,Assumptions!$B$15,0))))/((1+IF(H91="Yes",Assumptions!$B$6,0))*(1+(Assumptions!$B$7*(Assumptions!$B$8*N91*Assumptions!$B$9+Assumptions!$B$10)))+Assumptions!$B$11*N91))</f>
        <v>1213339.48716771</v>
      </c>
      <c r="AB91" s="50" t="n">
        <f aca="false">IF(AA91&lt;=0,"no price works",D91/AA91)</f>
        <v>2.30355974528148</v>
      </c>
      <c r="AC91" s="46" t="n">
        <f aca="false">(INDEX(Assumptions!$B$36:$B$48,MATCH(AK91,Assumptions!$A$36:$A$48,0))+IF(I91="Yes",Assumptions!$B$23,0)+IF(J91="Yes",Assumptions!$B$24,0))*(1+Assumptions!$B$28)</f>
        <v>1400</v>
      </c>
      <c r="AD91" s="47" t="n">
        <f aca="false">(L91)*AC91-(((D91)+(L91)*Assumptions!$B$4+IF(H91="Yes",Assumptions!$B$6*(D91),(L91)*Assumptions!$B$5))*(1+Assumptions!$B$7*(Assumptions!$B$8*(N91)*Assumptions!$B$9+Assumptions!$B$10))+(D91)*Assumptions!$B$11*(N91)+(L91)*AC91*(Assumptions!$B$12+Assumptions!$B$13+IF((L91)*AC91&gt;=Assumptions!$B$16,Assumptions!$B$17,IF((L91)*AC91&gt;=Assumptions!$B$14,Assumptions!$B$15,0))))</f>
        <v>-1551362.93375</v>
      </c>
      <c r="AE91" s="46" t="n">
        <f aca="false">(INDEX(Assumptions!$B$36:$B$48,MATCH(AK91,Assumptions!$A$36:$A$48,0))+IF(I91="Yes",Assumptions!$B$23,0)+IF(J91="Yes",Assumptions!$B$24,0))*(1+Assumptions!$B$29)</f>
        <v>1540</v>
      </c>
      <c r="AF91" s="47" t="n">
        <f aca="false">(L91)*AE91-(((D91)+(L91)*Assumptions!$B$4+IF(H91="Yes",Assumptions!$B$6*(D91),(L91)*Assumptions!$B$5))*(1+Assumptions!$B$7*(Assumptions!$B$8*(N91)*Assumptions!$B$9+Assumptions!$B$10))+(D91)*Assumptions!$B$11*(N91)+(L91)*AE91*(Assumptions!$B$12+Assumptions!$B$13+IF((L91)*AE91&gt;=Assumptions!$B$16,Assumptions!$B$17,IF((L91)*AE91&gt;=Assumptions!$B$14,Assumptions!$B$15,0))))</f>
        <v>-1133505.85775</v>
      </c>
      <c r="AG91" s="46" t="n">
        <f aca="false">(INDEX(Assumptions!$B$36:$B$48,MATCH(AK91,Assumptions!$A$36:$A$48,0))+IF(I91="Yes",Assumptions!$B$23,0)+IF(J91="Yes",Assumptions!$B$24,0))*(1+Assumptions!$B$30)</f>
        <v>1680</v>
      </c>
      <c r="AH91" s="47" t="n">
        <f aca="false">(L91)*AG91-(((D91)+(L91)*Assumptions!$B$4+IF(H91="Yes",Assumptions!$B$6*(D91),(L91)*Assumptions!$B$5))*(1+Assumptions!$B$7*(Assumptions!$B$8*(N91)*Assumptions!$B$9+Assumptions!$B$10))+(D91)*Assumptions!$B$11*(N91)+(L91)*AG91*(Assumptions!$B$12+Assumptions!$B$13+IF((L91)*AG91&gt;=Assumptions!$B$16,Assumptions!$B$17,IF((L91)*AG91&gt;=Assumptions!$B$14,Assumptions!$B$15,0))))</f>
        <v>-715648.78175</v>
      </c>
      <c r="AI91" s="47" t="n">
        <f aca="false">(L91)*AE91-(((D91)+(L91)*Assumptions!$B$25+IF(H91="Yes",Assumptions!$B$6*(D91),(L91)*Assumptions!$B$5))*(1+Assumptions!$B$7*(Assumptions!$B$8*(N91)*Assumptions!$B$9+Assumptions!$B$10))+(D91)*Assumptions!$B$11*(N91)+(L91)*AE91*(Assumptions!$B$12+Assumptions!$B$13+IF((L91)*AE91&gt;=Assumptions!$B$16,Assumptions!$B$17,IF((L91)*AE91&gt;=Assumptions!$B$14,Assumptions!$B$15,0))))</f>
        <v>-964306.345249999</v>
      </c>
      <c r="AJ91" s="47" t="n">
        <f aca="false">(L91)*AE91-(((D91)+(L91)*Assumptions!$B$26+IF(H91="Yes",Assumptions!$B$6*(D91),(L91)*Assumptions!$B$5))*(1+Assumptions!$B$7*(Assumptions!$B$8*(N91)*Assumptions!$B$9+Assumptions!$B$10))+(D91)*Assumptions!$B$11*(N91)+(L91)*AE91*(Assumptions!$B$12+Assumptions!$B$13+IF((L91)*AE91&gt;=Assumptions!$B$16,Assumptions!$B$17,IF((L91)*AE91&gt;=Assumptions!$B$14,Assumptions!$B$15,0))))</f>
        <v>-795106.832749999</v>
      </c>
      <c r="AK91" s="40" t="s">
        <v>128</v>
      </c>
      <c r="AL91" s="45" t="n">
        <f aca="false">IF(G91&gt;0,G91,ROUND(F91*Assumptions!$B$18,0))</f>
        <v>3111</v>
      </c>
      <c r="AM91" s="45" t="n">
        <f aca="false">IF(H91="Yes",AL91,MAX(AL91,MIN(Assumptions!$B$20,ROUND(E91*Assumptions!$B$19,0))))</f>
        <v>3121</v>
      </c>
      <c r="AN91" s="47" t="n">
        <f aca="false">(AL91)*AE91-(((D91)+(AL91)*Assumptions!$B$4+IF(H91="Yes",Assumptions!$B$6*(D91),(AL91)*Assumptions!$B$5))*(1+Assumptions!$B$7*(Assumptions!$B$8*(Assumptions!$B$21)*Assumptions!$B$9+Assumptions!$B$10))+(D91)*Assumptions!$B$11*(Assumptions!$B$21)+(AL91)*AE91*(Assumptions!$B$12+Assumptions!$B$13+IF((AL91)*AE91&gt;=Assumptions!$B$16,Assumptions!$B$17,IF((AL91)*AE91&gt;=Assumptions!$B$14,Assumptions!$B$15,0))))</f>
        <v>-1133505.85775</v>
      </c>
      <c r="AO91" s="47" t="n">
        <f aca="false">(AM91)*AE91-(((D91)+(AM91)*Assumptions!$B$4+IF(H91="Yes",Assumptions!$B$6*(D91),(AM91)*Assumptions!$B$5))*(1+Assumptions!$B$7*(Assumptions!$B$8*(IF(AM91&gt;AL91,Assumptions!$B$22,Assumptions!$B$21))*Assumptions!$B$9+Assumptions!$B$10))+(D91)*Assumptions!$B$11*(IF(AM91&gt;AL91,Assumptions!$B$22,Assumptions!$B$21))+(AM91)*AE91*(Assumptions!$B$12+Assumptions!$B$13+IF((AM91)*AE91&gt;=Assumptions!$B$16,Assumptions!$B$17,IF((AM91)*AE91&gt;=Assumptions!$B$14,Assumptions!$B$15,0))))</f>
        <v>-1364038.38525</v>
      </c>
      <c r="AP91" s="47" t="n">
        <f aca="false">Assumptions!$B$7*(Q91+R91+S91)</f>
        <v>3383916.25</v>
      </c>
    </row>
    <row r="92" customFormat="false" ht="15" hidden="false" customHeight="false" outlineLevel="0" collapsed="false">
      <c r="A92" s="40" t="n">
        <v>90</v>
      </c>
      <c r="B92" s="40" t="s">
        <v>227</v>
      </c>
      <c r="C92" s="40" t="s">
        <v>132</v>
      </c>
      <c r="D92" s="41" t="n">
        <v>4995000</v>
      </c>
      <c r="E92" s="42" t="n">
        <v>63540</v>
      </c>
      <c r="F92" s="42" t="n">
        <v>8043</v>
      </c>
      <c r="G92" s="42"/>
      <c r="H92" s="43" t="s">
        <v>71</v>
      </c>
      <c r="I92" s="43" t="s">
        <v>80</v>
      </c>
      <c r="J92" s="43" t="s">
        <v>80</v>
      </c>
      <c r="K92" s="44"/>
      <c r="L92" s="45" t="n">
        <f aca="false">IF(AO92&gt;AN92,AM92,AL92)</f>
        <v>8847</v>
      </c>
      <c r="M92" s="40" t="str">
        <f aca="false">IF(AO92&gt;AN92,"Zoning estimate",IF(H92="Yes","Approved plans",IF(G92&gt;0,"Listing claim","110% old house")))</f>
        <v>110% old house</v>
      </c>
      <c r="N92" s="45" t="n">
        <f aca="false">IF(AO92&gt;AN92,IF(AM92&gt;AL92,Assumptions!$B$22,Assumptions!$B$21),Assumptions!$B$21)</f>
        <v>2</v>
      </c>
      <c r="O92" s="46" t="n">
        <f aca="false">(INDEX(Assumptions!$B$36:$B$48,MATCH(AK92,Assumptions!$A$36:$A$48,0))+IF(I92="Yes",Assumptions!$B$23,0)+IF(J92="Yes",Assumptions!$B$24,0))*(1+IF(UPPER(Assumptions!$B$31)="WORST",Assumptions!$B$28,IF(UPPER(Assumptions!$B$31)="BEST",Assumptions!$B$30,Assumptions!$B$29)))</f>
        <v>1485</v>
      </c>
      <c r="P92" s="47" t="n">
        <f aca="false">L92*O92</f>
        <v>13137795</v>
      </c>
      <c r="Q92" s="47" t="n">
        <f aca="false">D92</f>
        <v>4995000</v>
      </c>
      <c r="R92" s="47" t="n">
        <f aca="false">L92*Assumptions!$B$4</f>
        <v>6192900</v>
      </c>
      <c r="S92" s="47" t="n">
        <f aca="false">IF(H92="Yes",Assumptions!$B$6*(D92),(L92)*Assumptions!$B$5)</f>
        <v>663525</v>
      </c>
      <c r="T92" s="47" t="n">
        <f aca="false">AP92*(Assumptions!$B$8*N92*Assumptions!$B$9+Assumptions!$B$10)</f>
        <v>1039962.54375</v>
      </c>
      <c r="U92" s="47" t="n">
        <f aca="false">Q92*Assumptions!$B$11*N92</f>
        <v>119880</v>
      </c>
      <c r="V92" s="47" t="n">
        <f aca="false">P92*(Assumptions!$B$12+Assumptions!$B$13)</f>
        <v>533394.477</v>
      </c>
      <c r="W92" s="47" t="n">
        <f aca="false">P92*IF(P92&gt;=Assumptions!$B$16,Assumptions!$B$17,IF(P92&gt;=Assumptions!$B$14,Assumptions!$B$15,0))</f>
        <v>722578.725</v>
      </c>
      <c r="X92" s="48" t="n">
        <f aca="false">SUM(Q92:W92)</f>
        <v>14267240.74575</v>
      </c>
      <c r="Y92" s="48" t="n">
        <f aca="false">P92-X92</f>
        <v>-1129445.74575</v>
      </c>
      <c r="Z92" s="49" t="n">
        <f aca="false">IF(X92=0,0,Y92/X92)</f>
        <v>-0.0791635724017935</v>
      </c>
      <c r="AA92" s="47" t="n">
        <f aca="false">MAX(0,(P92/(1+Assumptions!$B$27)-(L92*(Assumptions!$B$4+IF(H92="Yes",0,Assumptions!$B$5)))*(1+(Assumptions!$B$7*(Assumptions!$B$8*N92*Assumptions!$B$9+Assumptions!$B$10)))-P92*(Assumptions!$B$12+Assumptions!$B$13+IF(P92&gt;=Assumptions!$B$16,Assumptions!$B$17,IF(P92&gt;=Assumptions!$B$14,Assumptions!$B$15,0))))/((1+IF(H92="Yes",Assumptions!$B$6,0))*(1+(Assumptions!$B$7*(Assumptions!$B$8*N92*Assumptions!$B$9+Assumptions!$B$10)))+Assumptions!$B$11*N92))</f>
        <v>2437706.38135138</v>
      </c>
      <c r="AB92" s="50" t="n">
        <f aca="false">IF(AA92&lt;=0,"no price works",D92/AA92)</f>
        <v>2.0490572770421</v>
      </c>
      <c r="AC92" s="46" t="n">
        <f aca="false">(INDEX(Assumptions!$B$36:$B$48,MATCH(AK92,Assumptions!$A$36:$A$48,0))+IF(I92="Yes",Assumptions!$B$23,0)+IF(J92="Yes",Assumptions!$B$24,0))*(1+Assumptions!$B$28)</f>
        <v>1350</v>
      </c>
      <c r="AD92" s="47" t="n">
        <f aca="false">(L92)*AC92-(((D92)+(L92)*Assumptions!$B$4+IF(H92="Yes",Assumptions!$B$6*(D92),(L92)*Assumptions!$B$5))*(1+Assumptions!$B$7*(Assumptions!$B$8*(N92)*Assumptions!$B$9+Assumptions!$B$10))+(D92)*Assumptions!$B$11*(N92)+(L92)*AC92*(Assumptions!$B$12+Assumptions!$B$13+IF((L92)*AC92&gt;=Assumptions!$B$16,Assumptions!$B$17,IF((L92)*AC92&gt;=Assumptions!$B$14,Assumptions!$B$15,0))))</f>
        <v>-2209611.36375</v>
      </c>
      <c r="AE92" s="46" t="n">
        <f aca="false">(INDEX(Assumptions!$B$36:$B$48,MATCH(AK92,Assumptions!$A$36:$A$48,0))+IF(I92="Yes",Assumptions!$B$23,0)+IF(J92="Yes",Assumptions!$B$24,0))*(1+Assumptions!$B$29)</f>
        <v>1485</v>
      </c>
      <c r="AF92" s="47" t="n">
        <f aca="false">(L92)*AE92-(((D92)+(L92)*Assumptions!$B$4+IF(H92="Yes",Assumptions!$B$6*(D92),(L92)*Assumptions!$B$5))*(1+Assumptions!$B$7*(Assumptions!$B$8*(N92)*Assumptions!$B$9+Assumptions!$B$10))+(D92)*Assumptions!$B$11*(N92)+(L92)*AE92*(Assumptions!$B$12+Assumptions!$B$13+IF((L92)*AE92&gt;=Assumptions!$B$16,Assumptions!$B$17,IF((L92)*AE92&gt;=Assumptions!$B$14,Assumptions!$B$15,0))))</f>
        <v>-1129445.74575</v>
      </c>
      <c r="AG92" s="46" t="n">
        <f aca="false">(INDEX(Assumptions!$B$36:$B$48,MATCH(AK92,Assumptions!$A$36:$A$48,0))+IF(I92="Yes",Assumptions!$B$23,0)+IF(J92="Yes",Assumptions!$B$24,0))*(1+Assumptions!$B$30)</f>
        <v>1620</v>
      </c>
      <c r="AH92" s="47" t="n">
        <f aca="false">(L92)*AG92-(((D92)+(L92)*Assumptions!$B$4+IF(H92="Yes",Assumptions!$B$6*(D92),(L92)*Assumptions!$B$5))*(1+Assumptions!$B$7*(Assumptions!$B$8*(N92)*Assumptions!$B$9+Assumptions!$B$10))+(D92)*Assumptions!$B$11*(N92)+(L92)*AG92*(Assumptions!$B$12+Assumptions!$B$13+IF((L92)*AG92&gt;=Assumptions!$B$16,Assumptions!$B$17,IF((L92)*AG92&gt;=Assumptions!$B$14,Assumptions!$B$15,0))))</f>
        <v>-49280.12775</v>
      </c>
      <c r="AI92" s="47" t="n">
        <f aca="false">(L92)*AE92-(((D92)+(L92)*Assumptions!$B$25+IF(H92="Yes",Assumptions!$B$6*(D92),(L92)*Assumptions!$B$5))*(1+Assumptions!$B$7*(Assumptions!$B$8*(N92)*Assumptions!$B$9+Assumptions!$B$10))+(D92)*Assumptions!$B$11*(N92)+(L92)*AE92*(Assumptions!$B$12+Assumptions!$B$13+IF((L92)*AE92&gt;=Assumptions!$B$16,Assumptions!$B$17,IF((L92)*AE92&gt;=Assumptions!$B$14,Assumptions!$B$15,0))))</f>
        <v>-648279.533249999</v>
      </c>
      <c r="AJ92" s="47" t="n">
        <f aca="false">(L92)*AE92-(((D92)+(L92)*Assumptions!$B$26+IF(H92="Yes",Assumptions!$B$6*(D92),(L92)*Assumptions!$B$5))*(1+Assumptions!$B$7*(Assumptions!$B$8*(N92)*Assumptions!$B$9+Assumptions!$B$10))+(D92)*Assumptions!$B$11*(N92)+(L92)*AE92*(Assumptions!$B$12+Assumptions!$B$13+IF((L92)*AE92&gt;=Assumptions!$B$16,Assumptions!$B$17,IF((L92)*AE92&gt;=Assumptions!$B$14,Assumptions!$B$15,0))))</f>
        <v>-167113.320749998</v>
      </c>
      <c r="AK92" s="40" t="s">
        <v>134</v>
      </c>
      <c r="AL92" s="45" t="n">
        <f aca="false">IF(G92&gt;0,G92,ROUND(F92*Assumptions!$B$18,0))</f>
        <v>8847</v>
      </c>
      <c r="AM92" s="45" t="n">
        <f aca="false">IF(H92="Yes",AL92,MAX(AL92,MIN(Assumptions!$B$20,ROUND(E92*Assumptions!$B$19,0))))</f>
        <v>8847</v>
      </c>
      <c r="AN92" s="47" t="n">
        <f aca="false">(AL92)*AE92-(((D92)+(AL92)*Assumptions!$B$4+IF(H92="Yes",Assumptions!$B$6*(D92),(AL92)*Assumptions!$B$5))*(1+Assumptions!$B$7*(Assumptions!$B$8*(Assumptions!$B$21)*Assumptions!$B$9+Assumptions!$B$10))+(D92)*Assumptions!$B$11*(Assumptions!$B$21)+(AL92)*AE92*(Assumptions!$B$12+Assumptions!$B$13+IF((AL92)*AE92&gt;=Assumptions!$B$16,Assumptions!$B$17,IF((AL92)*AE92&gt;=Assumptions!$B$14,Assumptions!$B$15,0))))</f>
        <v>-1129445.74575</v>
      </c>
      <c r="AO92" s="47" t="n">
        <f aca="false">(AM92)*AE92-(((D92)+(AM92)*Assumptions!$B$4+IF(H92="Yes",Assumptions!$B$6*(D92),(AM92)*Assumptions!$B$5))*(1+Assumptions!$B$7*(Assumptions!$B$8*(IF(AM92&gt;AL92,Assumptions!$B$22,Assumptions!$B$21))*Assumptions!$B$9+Assumptions!$B$10))+(D92)*Assumptions!$B$11*(IF(AM92&gt;AL92,Assumptions!$B$22,Assumptions!$B$21))+(AM92)*AE92*(Assumptions!$B$12+Assumptions!$B$13+IF((AM92)*AE92&gt;=Assumptions!$B$16,Assumptions!$B$17,IF((AM92)*AE92&gt;=Assumptions!$B$14,Assumptions!$B$15,0))))</f>
        <v>-1129445.74575</v>
      </c>
      <c r="AP92" s="47" t="n">
        <f aca="false">Assumptions!$B$7*(Q92+R92+S92)</f>
        <v>7703426.25</v>
      </c>
    </row>
    <row r="93" customFormat="false" ht="15" hidden="false" customHeight="false" outlineLevel="0" collapsed="false">
      <c r="A93" s="40" t="n">
        <v>91</v>
      </c>
      <c r="B93" s="40" t="s">
        <v>228</v>
      </c>
      <c r="C93" s="40" t="s">
        <v>102</v>
      </c>
      <c r="D93" s="41" t="n">
        <v>2149000</v>
      </c>
      <c r="E93" s="42" t="n">
        <v>8071</v>
      </c>
      <c r="F93" s="42" t="n">
        <v>1505</v>
      </c>
      <c r="G93" s="42"/>
      <c r="H93" s="43" t="s">
        <v>71</v>
      </c>
      <c r="I93" s="43" t="s">
        <v>80</v>
      </c>
      <c r="J93" s="43" t="s">
        <v>71</v>
      </c>
      <c r="K93" s="44"/>
      <c r="L93" s="45" t="n">
        <f aca="false">IF(AO93&gt;AN93,AM93,AL93)</f>
        <v>3228</v>
      </c>
      <c r="M93" s="40" t="str">
        <f aca="false">IF(AO93&gt;AN93,"Zoning estimate",IF(H93="Yes","Approved plans",IF(G93&gt;0,"Listing claim","110% old house")))</f>
        <v>Zoning estimate</v>
      </c>
      <c r="N93" s="45" t="n">
        <f aca="false">IF(AO93&gt;AN93,IF(AM93&gt;AL93,Assumptions!$B$22,Assumptions!$B$21),Assumptions!$B$21)</f>
        <v>3</v>
      </c>
      <c r="O93" s="46" t="n">
        <f aca="false">(INDEX(Assumptions!$B$36:$B$48,MATCH(AK93,Assumptions!$A$36:$A$48,0))+IF(I93="Yes",Assumptions!$B$23,0)+IF(J93="Yes",Assumptions!$B$24,0))*(1+IF(UPPER(Assumptions!$B$31)="WORST",Assumptions!$B$28,IF(UPPER(Assumptions!$B$31)="BEST",Assumptions!$B$30,Assumptions!$B$29)))</f>
        <v>1485</v>
      </c>
      <c r="P93" s="47" t="n">
        <f aca="false">L93*O93</f>
        <v>4793580</v>
      </c>
      <c r="Q93" s="47" t="n">
        <f aca="false">D93</f>
        <v>2149000</v>
      </c>
      <c r="R93" s="47" t="n">
        <f aca="false">L93*Assumptions!$B$4</f>
        <v>2259600</v>
      </c>
      <c r="S93" s="47" t="n">
        <f aca="false">IF(H93="Yes",Assumptions!$B$6*(D93),(L93)*Assumptions!$B$5)</f>
        <v>242100</v>
      </c>
      <c r="T93" s="47" t="n">
        <f aca="false">AP93*(Assumptions!$B$8*N93*Assumptions!$B$9+Assumptions!$B$10)</f>
        <v>589476.225</v>
      </c>
      <c r="U93" s="47" t="n">
        <f aca="false">Q93*Assumptions!$B$11*N93</f>
        <v>77364</v>
      </c>
      <c r="V93" s="47" t="n">
        <f aca="false">P93*(Assumptions!$B$12+Assumptions!$B$13)</f>
        <v>194619.348</v>
      </c>
      <c r="W93" s="47" t="n">
        <f aca="false">P93*IF(P93&gt;=Assumptions!$B$16,Assumptions!$B$17,IF(P93&gt;=Assumptions!$B$14,Assumptions!$B$15,0))</f>
        <v>0</v>
      </c>
      <c r="X93" s="48" t="n">
        <f aca="false">SUM(Q93:W93)</f>
        <v>5512159.573</v>
      </c>
      <c r="Y93" s="48" t="n">
        <f aca="false">P93-X93</f>
        <v>-718579.572999999</v>
      </c>
      <c r="Z93" s="49" t="n">
        <f aca="false">IF(X93=0,0,Y93/X93)</f>
        <v>-0.13036262167006</v>
      </c>
      <c r="AA93" s="47" t="n">
        <f aca="false">MAX(0,(P93/(1+Assumptions!$B$27)-(L93*(Assumptions!$B$4+IF(H93="Yes",0,Assumptions!$B$5)))*(1+(Assumptions!$B$7*(Assumptions!$B$8*N93*Assumptions!$B$9+Assumptions!$B$10)))-P93*(Assumptions!$B$12+Assumptions!$B$13+IF(P93&gt;=Assumptions!$B$16,Assumptions!$B$17,IF(P93&gt;=Assumptions!$B$14,Assumptions!$B$15,0))))/((1+IF(H93="Yes",Assumptions!$B$6,0))*(1+(Assumptions!$B$7*(Assumptions!$B$8*N93*Assumptions!$B$9+Assumptions!$B$10)))+Assumptions!$B$11*N93))</f>
        <v>993266.490460211</v>
      </c>
      <c r="AB93" s="50" t="n">
        <f aca="false">IF(AA93&lt;=0,"no price works",D93/AA93)</f>
        <v>2.16356840851875</v>
      </c>
      <c r="AC93" s="46" t="n">
        <f aca="false">(INDEX(Assumptions!$B$36:$B$48,MATCH(AK93,Assumptions!$A$36:$A$48,0))+IF(I93="Yes",Assumptions!$B$23,0)+IF(J93="Yes",Assumptions!$B$24,0))*(1+Assumptions!$B$28)</f>
        <v>1350</v>
      </c>
      <c r="AD93" s="47" t="n">
        <f aca="false">(L93)*AC93-(((D93)+(L93)*Assumptions!$B$4+IF(H93="Yes",Assumptions!$B$6*(D93),(L93)*Assumptions!$B$5))*(1+Assumptions!$B$7*(Assumptions!$B$8*(N93)*Assumptions!$B$9+Assumptions!$B$10))+(D93)*Assumptions!$B$11*(N93)+(L93)*AC93*(Assumptions!$B$12+Assumptions!$B$13+IF((L93)*AC93&gt;=Assumptions!$B$16,Assumptions!$B$17,IF((L93)*AC93&gt;=Assumptions!$B$14,Assumptions!$B$15,0))))</f>
        <v>-1136666.905</v>
      </c>
      <c r="AE93" s="46" t="n">
        <f aca="false">(INDEX(Assumptions!$B$36:$B$48,MATCH(AK93,Assumptions!$A$36:$A$48,0))+IF(I93="Yes",Assumptions!$B$23,0)+IF(J93="Yes",Assumptions!$B$24,0))*(1+Assumptions!$B$29)</f>
        <v>1485</v>
      </c>
      <c r="AF93" s="47" t="n">
        <f aca="false">(L93)*AE93-(((D93)+(L93)*Assumptions!$B$4+IF(H93="Yes",Assumptions!$B$6*(D93),(L93)*Assumptions!$B$5))*(1+Assumptions!$B$7*(Assumptions!$B$8*(N93)*Assumptions!$B$9+Assumptions!$B$10))+(D93)*Assumptions!$B$11*(N93)+(L93)*AE93*(Assumptions!$B$12+Assumptions!$B$13+IF((L93)*AE93&gt;=Assumptions!$B$16,Assumptions!$B$17,IF((L93)*AE93&gt;=Assumptions!$B$14,Assumptions!$B$15,0))))</f>
        <v>-718579.572999999</v>
      </c>
      <c r="AG93" s="46" t="n">
        <f aca="false">(INDEX(Assumptions!$B$36:$B$48,MATCH(AK93,Assumptions!$A$36:$A$48,0))+IF(I93="Yes",Assumptions!$B$23,0)+IF(J93="Yes",Assumptions!$B$24,0))*(1+Assumptions!$B$30)</f>
        <v>1620</v>
      </c>
      <c r="AH93" s="47" t="n">
        <f aca="false">(L93)*AG93-(((D93)+(L93)*Assumptions!$B$4+IF(H93="Yes",Assumptions!$B$6*(D93),(L93)*Assumptions!$B$5))*(1+Assumptions!$B$7*(Assumptions!$B$8*(N93)*Assumptions!$B$9+Assumptions!$B$10))+(D93)*Assumptions!$B$11*(N93)+(L93)*AG93*(Assumptions!$B$12+Assumptions!$B$13+IF((L93)*AG93&gt;=Assumptions!$B$16,Assumptions!$B$17,IF((L93)*AG93&gt;=Assumptions!$B$14,Assumptions!$B$15,0))))</f>
        <v>-300492.240999999</v>
      </c>
      <c r="AI93" s="47" t="n">
        <f aca="false">(L93)*AE93-(((D93)+(L93)*Assumptions!$B$25+IF(H93="Yes",Assumptions!$B$6*(D93),(L93)*Assumptions!$B$5))*(1+Assumptions!$B$7*(Assumptions!$B$8*(N93)*Assumptions!$B$9+Assumptions!$B$10))+(D93)*Assumptions!$B$11*(N93)+(L93)*AE93*(Assumptions!$B$12+Assumptions!$B$13+IF((L93)*AE93&gt;=Assumptions!$B$16,Assumptions!$B$17,IF((L93)*AE93&gt;=Assumptions!$B$14,Assumptions!$B$15,0))))</f>
        <v>-536722.122999999</v>
      </c>
      <c r="AJ93" s="47" t="n">
        <f aca="false">(L93)*AE93-(((D93)+(L93)*Assumptions!$B$26+IF(H93="Yes",Assumptions!$B$6*(D93),(L93)*Assumptions!$B$5))*(1+Assumptions!$B$7*(Assumptions!$B$8*(N93)*Assumptions!$B$9+Assumptions!$B$10))+(D93)*Assumptions!$B$11*(N93)+(L93)*AE93*(Assumptions!$B$12+Assumptions!$B$13+IF((L93)*AE93&gt;=Assumptions!$B$16,Assumptions!$B$17,IF((L93)*AE93&gt;=Assumptions!$B$14,Assumptions!$B$15,0))))</f>
        <v>-354864.672999999</v>
      </c>
      <c r="AK93" s="40" t="s">
        <v>104</v>
      </c>
      <c r="AL93" s="45" t="n">
        <f aca="false">IF(G93&gt;0,G93,ROUND(F93*Assumptions!$B$18,0))</f>
        <v>1656</v>
      </c>
      <c r="AM93" s="45" t="n">
        <f aca="false">IF(H93="Yes",AL93,MAX(AL93,MIN(Assumptions!$B$20,ROUND(E93*Assumptions!$B$19,0))))</f>
        <v>3228</v>
      </c>
      <c r="AN93" s="47" t="n">
        <f aca="false">(AL93)*AE93-(((D93)+(AL93)*Assumptions!$B$4+IF(H93="Yes",Assumptions!$B$6*(D93),(AL93)*Assumptions!$B$5))*(1+Assumptions!$B$7*(Assumptions!$B$8*(Assumptions!$B$21)*Assumptions!$B$9+Assumptions!$B$10))+(D93)*Assumptions!$B$11*(Assumptions!$B$21)+(AL93)*AE93*(Assumptions!$B$12+Assumptions!$B$13+IF((AL93)*AE93&gt;=Assumptions!$B$16,Assumptions!$B$17,IF((AL93)*AE93&gt;=Assumptions!$B$14,Assumptions!$B$15,0))))</f>
        <v>-1425850.996</v>
      </c>
      <c r="AO93" s="47" t="n">
        <f aca="false">(AM93)*AE93-(((D93)+(AM93)*Assumptions!$B$4+IF(H93="Yes",Assumptions!$B$6*(D93),(AM93)*Assumptions!$B$5))*(1+Assumptions!$B$7*(Assumptions!$B$8*(IF(AM93&gt;AL93,Assumptions!$B$22,Assumptions!$B$21))*Assumptions!$B$9+Assumptions!$B$10))+(D93)*Assumptions!$B$11*(IF(AM93&gt;AL93,Assumptions!$B$22,Assumptions!$B$21))+(AM93)*AE93*(Assumptions!$B$12+Assumptions!$B$13+IF((AM93)*AE93&gt;=Assumptions!$B$16,Assumptions!$B$17,IF((AM93)*AE93&gt;=Assumptions!$B$14,Assumptions!$B$15,0))))</f>
        <v>-718579.572999999</v>
      </c>
      <c r="AP93" s="47" t="n">
        <f aca="false">Assumptions!$B$7*(Q93+R93+S93)</f>
        <v>3022955</v>
      </c>
    </row>
    <row r="94" customFormat="false" ht="15" hidden="false" customHeight="false" outlineLevel="0" collapsed="false">
      <c r="A94" s="40" t="n">
        <v>92</v>
      </c>
      <c r="B94" s="40" t="s">
        <v>229</v>
      </c>
      <c r="C94" s="40" t="s">
        <v>117</v>
      </c>
      <c r="D94" s="41" t="n">
        <v>2150000</v>
      </c>
      <c r="E94" s="42" t="n">
        <v>4004</v>
      </c>
      <c r="F94" s="42" t="n">
        <v>1672</v>
      </c>
      <c r="G94" s="42"/>
      <c r="H94" s="43" t="s">
        <v>71</v>
      </c>
      <c r="I94" s="43" t="s">
        <v>80</v>
      </c>
      <c r="J94" s="43" t="s">
        <v>71</v>
      </c>
      <c r="K94" s="44" t="s">
        <v>76</v>
      </c>
      <c r="L94" s="45" t="n">
        <f aca="false">IF(AO94&gt;AN94,AM94,AL94)</f>
        <v>1839</v>
      </c>
      <c r="M94" s="40" t="str">
        <f aca="false">IF(AO94&gt;AN94,"Zoning estimate",IF(H94="Yes","Approved plans",IF(G94&gt;0,"Listing claim","110% old house")))</f>
        <v>110% old house</v>
      </c>
      <c r="N94" s="45" t="n">
        <f aca="false">IF(AO94&gt;AN94,IF(AM94&gt;AL94,Assumptions!$B$22,Assumptions!$B$21),Assumptions!$B$21)</f>
        <v>2</v>
      </c>
      <c r="O94" s="46" t="n">
        <f aca="false">(INDEX(Assumptions!$B$36:$B$48,MATCH(AK94,Assumptions!$A$36:$A$48,0))+IF(I94="Yes",Assumptions!$B$23,0)+IF(J94="Yes",Assumptions!$B$24,0))*(1+IF(UPPER(Assumptions!$B$31)="WORST",Assumptions!$B$28,IF(UPPER(Assumptions!$B$31)="BEST",Assumptions!$B$30,Assumptions!$B$29)))</f>
        <v>1650</v>
      </c>
      <c r="P94" s="47" t="n">
        <f aca="false">L94*O94</f>
        <v>3034350</v>
      </c>
      <c r="Q94" s="47" t="n">
        <f aca="false">D94</f>
        <v>2150000</v>
      </c>
      <c r="R94" s="47" t="n">
        <f aca="false">L94*Assumptions!$B$4</f>
        <v>1287300</v>
      </c>
      <c r="S94" s="47" t="n">
        <f aca="false">IF(H94="Yes",Assumptions!$B$6*(D94),(L94)*Assumptions!$B$5)</f>
        <v>137925</v>
      </c>
      <c r="T94" s="47" t="n">
        <f aca="false">AP94*(Assumptions!$B$8*N94*Assumptions!$B$9+Assumptions!$B$10)</f>
        <v>313725.99375</v>
      </c>
      <c r="U94" s="47" t="n">
        <f aca="false">Q94*Assumptions!$B$11*N94</f>
        <v>51600</v>
      </c>
      <c r="V94" s="47" t="n">
        <f aca="false">P94*(Assumptions!$B$12+Assumptions!$B$13)</f>
        <v>123194.61</v>
      </c>
      <c r="W94" s="47" t="n">
        <f aca="false">P94*IF(P94&gt;=Assumptions!$B$16,Assumptions!$B$17,IF(P94&gt;=Assumptions!$B$14,Assumptions!$B$15,0))</f>
        <v>0</v>
      </c>
      <c r="X94" s="48" t="n">
        <f aca="false">SUM(Q94:W94)</f>
        <v>4063745.60375</v>
      </c>
      <c r="Y94" s="48" t="n">
        <f aca="false">P94-X94</f>
        <v>-1029395.60375</v>
      </c>
      <c r="Z94" s="49" t="n">
        <f aca="false">IF(X94=0,0,Y94/X94)</f>
        <v>-0.253312019039794</v>
      </c>
      <c r="AA94" s="47" t="n">
        <f aca="false">MAX(0,(P94/(1+Assumptions!$B$27)-(L94*(Assumptions!$B$4+IF(H94="Yes",0,Assumptions!$B$5)))*(1+(Assumptions!$B$7*(Assumptions!$B$8*N94*Assumptions!$B$9+Assumptions!$B$10)))-P94*(Assumptions!$B$12+Assumptions!$B$13+IF(P94&gt;=Assumptions!$B$16,Assumptions!$B$17,IF(P94&gt;=Assumptions!$B$14,Assumptions!$B$15,0))))/((1+IF(H94="Yes",Assumptions!$B$6,0))*(1+(Assumptions!$B$7*(Assumptions!$B$8*N94*Assumptions!$B$9+Assumptions!$B$10)))+Assumptions!$B$11*N94))</f>
        <v>868074.759290583</v>
      </c>
      <c r="AB94" s="50" t="n">
        <f aca="false">IF(AA94&lt;=0,"no price works",D94/AA94)</f>
        <v>2.47674520770198</v>
      </c>
      <c r="AC94" s="46" t="n">
        <f aca="false">(INDEX(Assumptions!$B$36:$B$48,MATCH(AK94,Assumptions!$A$36:$A$48,0))+IF(I94="Yes",Assumptions!$B$23,0)+IF(J94="Yes",Assumptions!$B$24,0))*(1+Assumptions!$B$28)</f>
        <v>1500</v>
      </c>
      <c r="AD94" s="47" t="n">
        <f aca="false">(L94)*AC94-(((D94)+(L94)*Assumptions!$B$4+IF(H94="Yes",Assumptions!$B$6*(D94),(L94)*Assumptions!$B$5))*(1+Assumptions!$B$7*(Assumptions!$B$8*(N94)*Assumptions!$B$9+Assumptions!$B$10))+(D94)*Assumptions!$B$11*(N94)+(L94)*AC94*(Assumptions!$B$12+Assumptions!$B$13+IF((L94)*AC94&gt;=Assumptions!$B$16,Assumptions!$B$17,IF((L94)*AC94&gt;=Assumptions!$B$14,Assumptions!$B$15,0))))</f>
        <v>-1294046.09375</v>
      </c>
      <c r="AE94" s="46" t="n">
        <f aca="false">(INDEX(Assumptions!$B$36:$B$48,MATCH(AK94,Assumptions!$A$36:$A$48,0))+IF(I94="Yes",Assumptions!$B$23,0)+IF(J94="Yes",Assumptions!$B$24,0))*(1+Assumptions!$B$29)</f>
        <v>1650</v>
      </c>
      <c r="AF94" s="47" t="n">
        <f aca="false">(L94)*AE94-(((D94)+(L94)*Assumptions!$B$4+IF(H94="Yes",Assumptions!$B$6*(D94),(L94)*Assumptions!$B$5))*(1+Assumptions!$B$7*(Assumptions!$B$8*(N94)*Assumptions!$B$9+Assumptions!$B$10))+(D94)*Assumptions!$B$11*(N94)+(L94)*AE94*(Assumptions!$B$12+Assumptions!$B$13+IF((L94)*AE94&gt;=Assumptions!$B$16,Assumptions!$B$17,IF((L94)*AE94&gt;=Assumptions!$B$14,Assumptions!$B$15,0))))</f>
        <v>-1029395.60375</v>
      </c>
      <c r="AG94" s="46" t="n">
        <f aca="false">(INDEX(Assumptions!$B$36:$B$48,MATCH(AK94,Assumptions!$A$36:$A$48,0))+IF(I94="Yes",Assumptions!$B$23,0)+IF(J94="Yes",Assumptions!$B$24,0))*(1+Assumptions!$B$30)</f>
        <v>1800</v>
      </c>
      <c r="AH94" s="47" t="n">
        <f aca="false">(L94)*AG94-(((D94)+(L94)*Assumptions!$B$4+IF(H94="Yes",Assumptions!$B$6*(D94),(L94)*Assumptions!$B$5))*(1+Assumptions!$B$7*(Assumptions!$B$8*(N94)*Assumptions!$B$9+Assumptions!$B$10))+(D94)*Assumptions!$B$11*(N94)+(L94)*AG94*(Assumptions!$B$12+Assumptions!$B$13+IF((L94)*AG94&gt;=Assumptions!$B$16,Assumptions!$B$17,IF((L94)*AG94&gt;=Assumptions!$B$14,Assumptions!$B$15,0))))</f>
        <v>-764745.11375</v>
      </c>
      <c r="AI94" s="47" t="n">
        <f aca="false">(L94)*AE94-(((D94)+(L94)*Assumptions!$B$25+IF(H94="Yes",Assumptions!$B$6*(D94),(L94)*Assumptions!$B$5))*(1+Assumptions!$B$7*(Assumptions!$B$8*(N94)*Assumptions!$B$9+Assumptions!$B$10))+(D94)*Assumptions!$B$11*(N94)+(L94)*AE94*(Assumptions!$B$12+Assumptions!$B$13+IF((L94)*AE94&gt;=Assumptions!$B$16,Assumptions!$B$17,IF((L94)*AE94&gt;=Assumptions!$B$14,Assumptions!$B$15,0))))</f>
        <v>-929376.99125</v>
      </c>
      <c r="AJ94" s="47" t="n">
        <f aca="false">(L94)*AE94-(((D94)+(L94)*Assumptions!$B$26+IF(H94="Yes",Assumptions!$B$6*(D94),(L94)*Assumptions!$B$5))*(1+Assumptions!$B$7*(Assumptions!$B$8*(N94)*Assumptions!$B$9+Assumptions!$B$10))+(D94)*Assumptions!$B$11*(N94)+(L94)*AE94*(Assumptions!$B$12+Assumptions!$B$13+IF((L94)*AE94&gt;=Assumptions!$B$16,Assumptions!$B$17,IF((L94)*AE94&gt;=Assumptions!$B$14,Assumptions!$B$15,0))))</f>
        <v>-829358.378749999</v>
      </c>
      <c r="AK94" s="40" t="s">
        <v>119</v>
      </c>
      <c r="AL94" s="45" t="n">
        <f aca="false">IF(G94&gt;0,G94,ROUND(F94*Assumptions!$B$18,0))</f>
        <v>1839</v>
      </c>
      <c r="AM94" s="45" t="n">
        <f aca="false">IF(H94="Yes",AL94,MAX(AL94,MIN(Assumptions!$B$20,ROUND(E94*Assumptions!$B$19,0))))</f>
        <v>1839</v>
      </c>
      <c r="AN94" s="47" t="n">
        <f aca="false">(AL94)*AE94-(((D94)+(AL94)*Assumptions!$B$4+IF(H94="Yes",Assumptions!$B$6*(D94),(AL94)*Assumptions!$B$5))*(1+Assumptions!$B$7*(Assumptions!$B$8*(Assumptions!$B$21)*Assumptions!$B$9+Assumptions!$B$10))+(D94)*Assumptions!$B$11*(Assumptions!$B$21)+(AL94)*AE94*(Assumptions!$B$12+Assumptions!$B$13+IF((AL94)*AE94&gt;=Assumptions!$B$16,Assumptions!$B$17,IF((AL94)*AE94&gt;=Assumptions!$B$14,Assumptions!$B$15,0))))</f>
        <v>-1029395.60375</v>
      </c>
      <c r="AO94" s="47" t="n">
        <f aca="false">(AM94)*AE94-(((D94)+(AM94)*Assumptions!$B$4+IF(H94="Yes",Assumptions!$B$6*(D94),(AM94)*Assumptions!$B$5))*(1+Assumptions!$B$7*(Assumptions!$B$8*(IF(AM94&gt;AL94,Assumptions!$B$22,Assumptions!$B$21))*Assumptions!$B$9+Assumptions!$B$10))+(D94)*Assumptions!$B$11*(IF(AM94&gt;AL94,Assumptions!$B$22,Assumptions!$B$21))+(AM94)*AE94*(Assumptions!$B$12+Assumptions!$B$13+IF((AM94)*AE94&gt;=Assumptions!$B$16,Assumptions!$B$17,IF((AM94)*AE94&gt;=Assumptions!$B$14,Assumptions!$B$15,0))))</f>
        <v>-1029395.60375</v>
      </c>
      <c r="AP94" s="47" t="n">
        <f aca="false">Assumptions!$B$7*(Q94+R94+S94)</f>
        <v>2323896.25</v>
      </c>
    </row>
    <row r="95" customFormat="false" ht="15" hidden="false" customHeight="false" outlineLevel="0" collapsed="false">
      <c r="A95" s="40" t="n">
        <v>93</v>
      </c>
      <c r="B95" s="40" t="s">
        <v>230</v>
      </c>
      <c r="C95" s="40" t="s">
        <v>126</v>
      </c>
      <c r="D95" s="41" t="n">
        <v>2995000</v>
      </c>
      <c r="E95" s="42" t="n">
        <v>11316</v>
      </c>
      <c r="F95" s="42" t="n">
        <v>2318</v>
      </c>
      <c r="G95" s="42"/>
      <c r="H95" s="43" t="s">
        <v>71</v>
      </c>
      <c r="I95" s="43" t="s">
        <v>80</v>
      </c>
      <c r="J95" s="43" t="s">
        <v>71</v>
      </c>
      <c r="K95" s="44"/>
      <c r="L95" s="45" t="n">
        <f aca="false">IF(AO95&gt;AN95,AM95,AL95)</f>
        <v>4526</v>
      </c>
      <c r="M95" s="40" t="str">
        <f aca="false">IF(AO95&gt;AN95,"Zoning estimate",IF(H95="Yes","Approved plans",IF(G95&gt;0,"Listing claim","110% old house")))</f>
        <v>Zoning estimate</v>
      </c>
      <c r="N95" s="45" t="n">
        <f aca="false">IF(AO95&gt;AN95,IF(AM95&gt;AL95,Assumptions!$B$22,Assumptions!$B$21),Assumptions!$B$21)</f>
        <v>3</v>
      </c>
      <c r="O95" s="46" t="n">
        <f aca="false">(INDEX(Assumptions!$B$36:$B$48,MATCH(AK95,Assumptions!$A$36:$A$48,0))+IF(I95="Yes",Assumptions!$B$23,0)+IF(J95="Yes",Assumptions!$B$24,0))*(1+IF(UPPER(Assumptions!$B$31)="WORST",Assumptions!$B$28,IF(UPPER(Assumptions!$B$31)="BEST",Assumptions!$B$30,Assumptions!$B$29)))</f>
        <v>1540</v>
      </c>
      <c r="P95" s="47" t="n">
        <f aca="false">L95*O95</f>
        <v>6970040</v>
      </c>
      <c r="Q95" s="47" t="n">
        <f aca="false">D95</f>
        <v>2995000</v>
      </c>
      <c r="R95" s="47" t="n">
        <f aca="false">L95*Assumptions!$B$4</f>
        <v>3168200</v>
      </c>
      <c r="S95" s="47" t="n">
        <f aca="false">IF(H95="Yes",Assumptions!$B$6*(D95),(L95)*Assumptions!$B$5)</f>
        <v>339450</v>
      </c>
      <c r="T95" s="47" t="n">
        <f aca="false">AP95*(Assumptions!$B$8*N95*Assumptions!$B$9+Assumptions!$B$10)</f>
        <v>824210.8875</v>
      </c>
      <c r="U95" s="47" t="n">
        <f aca="false">Q95*Assumptions!$B$11*N95</f>
        <v>107820</v>
      </c>
      <c r="V95" s="47" t="n">
        <f aca="false">P95*(Assumptions!$B$12+Assumptions!$B$13)</f>
        <v>282983.624</v>
      </c>
      <c r="W95" s="47" t="n">
        <f aca="false">P95*IF(P95&gt;=Assumptions!$B$16,Assumptions!$B$17,IF(P95&gt;=Assumptions!$B$14,Assumptions!$B$15,0))</f>
        <v>278801.6</v>
      </c>
      <c r="X95" s="48" t="n">
        <f aca="false">SUM(Q95:W95)</f>
        <v>7996466.1115</v>
      </c>
      <c r="Y95" s="48" t="n">
        <f aca="false">P95-X95</f>
        <v>-1026426.1115</v>
      </c>
      <c r="Z95" s="49" t="n">
        <f aca="false">IF(X95=0,0,Y95/X95)</f>
        <v>-0.128359965163094</v>
      </c>
      <c r="AA95" s="47" t="n">
        <f aca="false">MAX(0,(P95/(1+Assumptions!$B$27)-(L95*(Assumptions!$B$4+IF(H95="Yes",0,Assumptions!$B$5)))*(1+(Assumptions!$B$7*(Assumptions!$B$8*N95*Assumptions!$B$9+Assumptions!$B$10)))-P95*(Assumptions!$B$12+Assumptions!$B$13+IF(P95&gt;=Assumptions!$B$16,Assumptions!$B$17,IF(P95&gt;=Assumptions!$B$14,Assumptions!$B$15,0))))/((1+IF(H95="Yes",Assumptions!$B$6,0))*(1+(Assumptions!$B$7*(Assumptions!$B$8*N95*Assumptions!$B$9+Assumptions!$B$10)))+Assumptions!$B$11*N95))</f>
        <v>1330358.62079216</v>
      </c>
      <c r="AB95" s="50" t="n">
        <f aca="false">IF(AA95&lt;=0,"no price works",D95/AA95)</f>
        <v>2.25127266677659</v>
      </c>
      <c r="AC95" s="46" t="n">
        <f aca="false">(INDEX(Assumptions!$B$36:$B$48,MATCH(AK95,Assumptions!$A$36:$A$48,0))+IF(I95="Yes",Assumptions!$B$23,0)+IF(J95="Yes",Assumptions!$B$24,0))*(1+Assumptions!$B$28)</f>
        <v>1400</v>
      </c>
      <c r="AD95" s="47" t="n">
        <f aca="false">(L95)*AC95-(((D95)+(L95)*Assumptions!$B$4+IF(H95="Yes",Assumptions!$B$6*(D95),(L95)*Assumptions!$B$5))*(1+Assumptions!$B$7*(Assumptions!$B$8*(N95)*Assumptions!$B$9+Assumptions!$B$10))+(D95)*Assumptions!$B$11*(N95)+(L95)*AC95*(Assumptions!$B$12+Assumptions!$B$13+IF((L95)*AC95&gt;=Assumptions!$B$16,Assumptions!$B$17,IF((L95)*AC95&gt;=Assumptions!$B$14,Assumptions!$B$15,0))))</f>
        <v>-1608994.7275</v>
      </c>
      <c r="AE95" s="46" t="n">
        <f aca="false">(INDEX(Assumptions!$B$36:$B$48,MATCH(AK95,Assumptions!$A$36:$A$48,0))+IF(I95="Yes",Assumptions!$B$23,0)+IF(J95="Yes",Assumptions!$B$24,0))*(1+Assumptions!$B$29)</f>
        <v>1540</v>
      </c>
      <c r="AF95" s="47" t="n">
        <f aca="false">(L95)*AE95-(((D95)+(L95)*Assumptions!$B$4+IF(H95="Yes",Assumptions!$B$6*(D95),(L95)*Assumptions!$B$5))*(1+Assumptions!$B$7*(Assumptions!$B$8*(N95)*Assumptions!$B$9+Assumptions!$B$10))+(D95)*Assumptions!$B$11*(N95)+(L95)*AE95*(Assumptions!$B$12+Assumptions!$B$13+IF((L95)*AE95&gt;=Assumptions!$B$16,Assumptions!$B$17,IF((L95)*AE95&gt;=Assumptions!$B$14,Assumptions!$B$15,0))))</f>
        <v>-1026426.1115</v>
      </c>
      <c r="AG95" s="46" t="n">
        <f aca="false">(INDEX(Assumptions!$B$36:$B$48,MATCH(AK95,Assumptions!$A$36:$A$48,0))+IF(I95="Yes",Assumptions!$B$23,0)+IF(J95="Yes",Assumptions!$B$24,0))*(1+Assumptions!$B$30)</f>
        <v>1680</v>
      </c>
      <c r="AH95" s="47" t="n">
        <f aca="false">(L95)*AG95-(((D95)+(L95)*Assumptions!$B$4+IF(H95="Yes",Assumptions!$B$6*(D95),(L95)*Assumptions!$B$5))*(1+Assumptions!$B$7*(Assumptions!$B$8*(N95)*Assumptions!$B$9+Assumptions!$B$10))+(D95)*Assumptions!$B$11*(N95)+(L95)*AG95*(Assumptions!$B$12+Assumptions!$B$13+IF((L95)*AG95&gt;=Assumptions!$B$16,Assumptions!$B$17,IF((L95)*AG95&gt;=Assumptions!$B$14,Assumptions!$B$15,0))))</f>
        <v>-443857.495499999</v>
      </c>
      <c r="AI95" s="47" t="n">
        <f aca="false">(L95)*AE95-(((D95)+(L95)*Assumptions!$B$25+IF(H95="Yes",Assumptions!$B$6*(D95),(L95)*Assumptions!$B$5))*(1+Assumptions!$B$7*(Assumptions!$B$8*(N95)*Assumptions!$B$9+Assumptions!$B$10))+(D95)*Assumptions!$B$11*(N95)+(L95)*AE95*(Assumptions!$B$12+Assumptions!$B$13+IF((L95)*AE95&gt;=Assumptions!$B$16,Assumptions!$B$17,IF((L95)*AE95&gt;=Assumptions!$B$14,Assumptions!$B$15,0))))</f>
        <v>-771442.586499999</v>
      </c>
      <c r="AJ95" s="47" t="n">
        <f aca="false">(L95)*AE95-(((D95)+(L95)*Assumptions!$B$26+IF(H95="Yes",Assumptions!$B$6*(D95),(L95)*Assumptions!$B$5))*(1+Assumptions!$B$7*(Assumptions!$B$8*(N95)*Assumptions!$B$9+Assumptions!$B$10))+(D95)*Assumptions!$B$11*(N95)+(L95)*AE95*(Assumptions!$B$12+Assumptions!$B$13+IF((L95)*AE95&gt;=Assumptions!$B$16,Assumptions!$B$17,IF((L95)*AE95&gt;=Assumptions!$B$14,Assumptions!$B$15,0))))</f>
        <v>-516459.061499999</v>
      </c>
      <c r="AK95" s="40" t="s">
        <v>128</v>
      </c>
      <c r="AL95" s="45" t="n">
        <f aca="false">IF(G95&gt;0,G95,ROUND(F95*Assumptions!$B$18,0))</f>
        <v>2550</v>
      </c>
      <c r="AM95" s="45" t="n">
        <f aca="false">IF(H95="Yes",AL95,MAX(AL95,MIN(Assumptions!$B$20,ROUND(E95*Assumptions!$B$19,0))))</f>
        <v>4526</v>
      </c>
      <c r="AN95" s="47" t="n">
        <f aca="false">(AL95)*AE95-(((D95)+(AL95)*Assumptions!$B$4+IF(H95="Yes",Assumptions!$B$6*(D95),(AL95)*Assumptions!$B$5))*(1+Assumptions!$B$7*(Assumptions!$B$8*(Assumptions!$B$21)*Assumptions!$B$9+Assumptions!$B$10))+(D95)*Assumptions!$B$11*(Assumptions!$B$21)+(AL95)*AE95*(Assumptions!$B$12+Assumptions!$B$13+IF((AL95)*AE95&gt;=Assumptions!$B$16,Assumptions!$B$17,IF((AL95)*AE95&gt;=Assumptions!$B$14,Assumptions!$B$15,0))))</f>
        <v>-1711793.3875</v>
      </c>
      <c r="AO95" s="47" t="n">
        <f aca="false">(AM95)*AE95-(((D95)+(AM95)*Assumptions!$B$4+IF(H95="Yes",Assumptions!$B$6*(D95),(AM95)*Assumptions!$B$5))*(1+Assumptions!$B$7*(Assumptions!$B$8*(IF(AM95&gt;AL95,Assumptions!$B$22,Assumptions!$B$21))*Assumptions!$B$9+Assumptions!$B$10))+(D95)*Assumptions!$B$11*(IF(AM95&gt;AL95,Assumptions!$B$22,Assumptions!$B$21))+(AM95)*AE95*(Assumptions!$B$12+Assumptions!$B$13+IF((AM95)*AE95&gt;=Assumptions!$B$16,Assumptions!$B$17,IF((AM95)*AE95&gt;=Assumptions!$B$14,Assumptions!$B$15,0))))</f>
        <v>-1026426.1115</v>
      </c>
      <c r="AP95" s="47" t="n">
        <f aca="false">Assumptions!$B$7*(Q95+R95+S95)</f>
        <v>4226722.5</v>
      </c>
    </row>
    <row r="96" customFormat="false" ht="15" hidden="false" customHeight="false" outlineLevel="0" collapsed="false">
      <c r="A96" s="40" t="n">
        <v>94</v>
      </c>
      <c r="B96" s="40" t="s">
        <v>231</v>
      </c>
      <c r="C96" s="40" t="s">
        <v>102</v>
      </c>
      <c r="D96" s="41" t="n">
        <v>2950000</v>
      </c>
      <c r="E96" s="42" t="n">
        <v>9052</v>
      </c>
      <c r="F96" s="42" t="n">
        <v>3268</v>
      </c>
      <c r="G96" s="42"/>
      <c r="H96" s="43" t="s">
        <v>71</v>
      </c>
      <c r="I96" s="43" t="s">
        <v>80</v>
      </c>
      <c r="J96" s="43" t="s">
        <v>71</v>
      </c>
      <c r="K96" s="44" t="s">
        <v>215</v>
      </c>
      <c r="L96" s="45" t="n">
        <f aca="false">IF(AO96&gt;AN96,AM96,AL96)</f>
        <v>3595</v>
      </c>
      <c r="M96" s="40" t="str">
        <f aca="false">IF(AO96&gt;AN96,"Zoning estimate",IF(H96="Yes","Approved plans",IF(G96&gt;0,"Listing claim","110% old house")))</f>
        <v>110% old house</v>
      </c>
      <c r="N96" s="45" t="n">
        <f aca="false">IF(AO96&gt;AN96,IF(AM96&gt;AL96,Assumptions!$B$22,Assumptions!$B$21),Assumptions!$B$21)</f>
        <v>2</v>
      </c>
      <c r="O96" s="46" t="n">
        <f aca="false">(INDEX(Assumptions!$B$36:$B$48,MATCH(AK96,Assumptions!$A$36:$A$48,0))+IF(I96="Yes",Assumptions!$B$23,0)+IF(J96="Yes",Assumptions!$B$24,0))*(1+IF(UPPER(Assumptions!$B$31)="WORST",Assumptions!$B$28,IF(UPPER(Assumptions!$B$31)="BEST",Assumptions!$B$30,Assumptions!$B$29)))</f>
        <v>1485</v>
      </c>
      <c r="P96" s="47" t="n">
        <f aca="false">L96*O96</f>
        <v>5338575</v>
      </c>
      <c r="Q96" s="47" t="n">
        <f aca="false">D96</f>
        <v>2950000</v>
      </c>
      <c r="R96" s="47" t="n">
        <f aca="false">L96*Assumptions!$B$4</f>
        <v>2516500</v>
      </c>
      <c r="S96" s="47" t="n">
        <f aca="false">IF(H96="Yes",Assumptions!$B$6*(D96),(L96)*Assumptions!$B$5)</f>
        <v>269625</v>
      </c>
      <c r="T96" s="47" t="n">
        <f aca="false">AP96*(Assumptions!$B$8*N96*Assumptions!$B$9+Assumptions!$B$10)</f>
        <v>503344.96875</v>
      </c>
      <c r="U96" s="47" t="n">
        <f aca="false">Q96*Assumptions!$B$11*N96</f>
        <v>70800</v>
      </c>
      <c r="V96" s="47" t="n">
        <f aca="false">P96*(Assumptions!$B$12+Assumptions!$B$13)</f>
        <v>216746.145</v>
      </c>
      <c r="W96" s="47" t="n">
        <f aca="false">P96*IF(P96&gt;=Assumptions!$B$16,Assumptions!$B$17,IF(P96&gt;=Assumptions!$B$14,Assumptions!$B$15,0))</f>
        <v>0</v>
      </c>
      <c r="X96" s="48" t="n">
        <f aca="false">SUM(Q96:W96)</f>
        <v>6527016.11375</v>
      </c>
      <c r="Y96" s="48" t="n">
        <f aca="false">P96-X96</f>
        <v>-1188441.11375</v>
      </c>
      <c r="Z96" s="49" t="n">
        <f aca="false">IF(X96=0,0,Y96/X96)</f>
        <v>-0.182080309445904</v>
      </c>
      <c r="AA96" s="47" t="n">
        <f aca="false">MAX(0,(P96/(1+Assumptions!$B$27)-(L96*(Assumptions!$B$4+IF(H96="Yes",0,Assumptions!$B$5)))*(1+(Assumptions!$B$7*(Assumptions!$B$8*N96*Assumptions!$B$9+Assumptions!$B$10)))-P96*(Assumptions!$B$12+Assumptions!$B$13+IF(P96&gt;=Assumptions!$B$16,Assumptions!$B$17,IF(P96&gt;=Assumptions!$B$14,Assumptions!$B$15,0))))/((1+IF(H96="Yes",Assumptions!$B$6,0))*(1+(Assumptions!$B$7*(Assumptions!$B$8*N96*Assumptions!$B$9+Assumptions!$B$10)))+Assumptions!$B$11*N96))</f>
        <v>1254675.52658852</v>
      </c>
      <c r="AB96" s="50" t="n">
        <f aca="false">IF(AA96&lt;=0,"no price works",D96/AA96)</f>
        <v>2.35120550093226</v>
      </c>
      <c r="AC96" s="46" t="n">
        <f aca="false">(INDEX(Assumptions!$B$36:$B$48,MATCH(AK96,Assumptions!$A$36:$A$48,0))+IF(I96="Yes",Assumptions!$B$23,0)+IF(J96="Yes",Assumptions!$B$24,0))*(1+Assumptions!$B$28)</f>
        <v>1350</v>
      </c>
      <c r="AD96" s="47" t="n">
        <f aca="false">(L96)*AC96-(((D96)+(L96)*Assumptions!$B$4+IF(H96="Yes",Assumptions!$B$6*(D96),(L96)*Assumptions!$B$5))*(1+Assumptions!$B$7*(Assumptions!$B$8*(N96)*Assumptions!$B$9+Assumptions!$B$10))+(D96)*Assumptions!$B$11*(N96)+(L96)*AC96*(Assumptions!$B$12+Assumptions!$B$13+IF((L96)*AC96&gt;=Assumptions!$B$16,Assumptions!$B$17,IF((L96)*AC96&gt;=Assumptions!$B$14,Assumptions!$B$15,0))))</f>
        <v>-1654061.91875</v>
      </c>
      <c r="AE96" s="46" t="n">
        <f aca="false">(INDEX(Assumptions!$B$36:$B$48,MATCH(AK96,Assumptions!$A$36:$A$48,0))+IF(I96="Yes",Assumptions!$B$23,0)+IF(J96="Yes",Assumptions!$B$24,0))*(1+Assumptions!$B$29)</f>
        <v>1485</v>
      </c>
      <c r="AF96" s="47" t="n">
        <f aca="false">(L96)*AE96-(((D96)+(L96)*Assumptions!$B$4+IF(H96="Yes",Assumptions!$B$6*(D96),(L96)*Assumptions!$B$5))*(1+Assumptions!$B$7*(Assumptions!$B$8*(N96)*Assumptions!$B$9+Assumptions!$B$10))+(D96)*Assumptions!$B$11*(N96)+(L96)*AE96*(Assumptions!$B$12+Assumptions!$B$13+IF((L96)*AE96&gt;=Assumptions!$B$16,Assumptions!$B$17,IF((L96)*AE96&gt;=Assumptions!$B$14,Assumptions!$B$15,0))))</f>
        <v>-1188441.11375</v>
      </c>
      <c r="AG96" s="46" t="n">
        <f aca="false">(INDEX(Assumptions!$B$36:$B$48,MATCH(AK96,Assumptions!$A$36:$A$48,0))+IF(I96="Yes",Assumptions!$B$23,0)+IF(J96="Yes",Assumptions!$B$24,0))*(1+Assumptions!$B$30)</f>
        <v>1620</v>
      </c>
      <c r="AH96" s="47" t="n">
        <f aca="false">(L96)*AG96-(((D96)+(L96)*Assumptions!$B$4+IF(H96="Yes",Assumptions!$B$6*(D96),(L96)*Assumptions!$B$5))*(1+Assumptions!$B$7*(Assumptions!$B$8*(N96)*Assumptions!$B$9+Assumptions!$B$10))+(D96)*Assumptions!$B$11*(N96)+(L96)*AG96*(Assumptions!$B$12+Assumptions!$B$13+IF((L96)*AG96&gt;=Assumptions!$B$16,Assumptions!$B$17,IF((L96)*AG96&gt;=Assumptions!$B$14,Assumptions!$B$15,0))))</f>
        <v>-955776.30875</v>
      </c>
      <c r="AI96" s="47" t="n">
        <f aca="false">(L96)*AE96-(((D96)+(L96)*Assumptions!$B$25+IF(H96="Yes",Assumptions!$B$6*(D96),(L96)*Assumptions!$B$5))*(1+Assumptions!$B$7*(Assumptions!$B$8*(N96)*Assumptions!$B$9+Assumptions!$B$10))+(D96)*Assumptions!$B$11*(N96)+(L96)*AE96*(Assumptions!$B$12+Assumptions!$B$13+IF((L96)*AE96&gt;=Assumptions!$B$16,Assumptions!$B$17,IF((L96)*AE96&gt;=Assumptions!$B$14,Assumptions!$B$15,0))))</f>
        <v>-992918.05125</v>
      </c>
      <c r="AJ96" s="47" t="n">
        <f aca="false">(L96)*AE96-(((D96)+(L96)*Assumptions!$B$26+IF(H96="Yes",Assumptions!$B$6*(D96),(L96)*Assumptions!$B$5))*(1+Assumptions!$B$7*(Assumptions!$B$8*(N96)*Assumptions!$B$9+Assumptions!$B$10))+(D96)*Assumptions!$B$11*(N96)+(L96)*AE96*(Assumptions!$B$12+Assumptions!$B$13+IF((L96)*AE96&gt;=Assumptions!$B$16,Assumptions!$B$17,IF((L96)*AE96&gt;=Assumptions!$B$14,Assumptions!$B$15,0))))</f>
        <v>-797394.98875</v>
      </c>
      <c r="AK96" s="40" t="s">
        <v>104</v>
      </c>
      <c r="AL96" s="45" t="n">
        <f aca="false">IF(G96&gt;0,G96,ROUND(F96*Assumptions!$B$18,0))</f>
        <v>3595</v>
      </c>
      <c r="AM96" s="45" t="n">
        <f aca="false">IF(H96="Yes",AL96,MAX(AL96,MIN(Assumptions!$B$20,ROUND(E96*Assumptions!$B$19,0))))</f>
        <v>3621</v>
      </c>
      <c r="AN96" s="47" t="n">
        <f aca="false">(AL96)*AE96-(((D96)+(AL96)*Assumptions!$B$4+IF(H96="Yes",Assumptions!$B$6*(D96),(AL96)*Assumptions!$B$5))*(1+Assumptions!$B$7*(Assumptions!$B$8*(Assumptions!$B$21)*Assumptions!$B$9+Assumptions!$B$10))+(D96)*Assumptions!$B$11*(Assumptions!$B$21)+(AL96)*AE96*(Assumptions!$B$12+Assumptions!$B$13+IF((AL96)*AE96&gt;=Assumptions!$B$16,Assumptions!$B$17,IF((AL96)*AE96&gt;=Assumptions!$B$14,Assumptions!$B$15,0))))</f>
        <v>-1188441.11375</v>
      </c>
      <c r="AO96" s="47" t="n">
        <f aca="false">(AM96)*AE96-(((D96)+(AM96)*Assumptions!$B$4+IF(H96="Yes",Assumptions!$B$6*(D96),(AM96)*Assumptions!$B$5))*(1+Assumptions!$B$7*(Assumptions!$B$8*(IF(AM96&gt;AL96,Assumptions!$B$22,Assumptions!$B$21))*Assumptions!$B$9+Assumptions!$B$10))+(D96)*Assumptions!$B$11*(IF(AM96&gt;AL96,Assumptions!$B$22,Assumptions!$B$21))+(AM96)*AE96*(Assumptions!$B$12+Assumptions!$B$13+IF((AM96)*AE96&gt;=Assumptions!$B$16,Assumptions!$B$17,IF((AM96)*AE96&gt;=Assumptions!$B$14,Assumptions!$B$15,0))))</f>
        <v>-1433211.56725</v>
      </c>
      <c r="AP96" s="47" t="n">
        <f aca="false">Assumptions!$B$7*(Q96+R96+S96)</f>
        <v>3728481.25</v>
      </c>
    </row>
    <row r="97" customFormat="false" ht="15" hidden="false" customHeight="false" outlineLevel="0" collapsed="false">
      <c r="A97" s="40" t="n">
        <v>95</v>
      </c>
      <c r="B97" s="40" t="s">
        <v>232</v>
      </c>
      <c r="C97" s="40" t="s">
        <v>202</v>
      </c>
      <c r="D97" s="41" t="n">
        <v>1575000</v>
      </c>
      <c r="E97" s="42" t="n">
        <v>3846</v>
      </c>
      <c r="F97" s="42" t="n">
        <v>2072</v>
      </c>
      <c r="G97" s="42"/>
      <c r="H97" s="43" t="s">
        <v>71</v>
      </c>
      <c r="I97" s="43" t="s">
        <v>80</v>
      </c>
      <c r="J97" s="43" t="s">
        <v>71</v>
      </c>
      <c r="K97" s="44" t="s">
        <v>233</v>
      </c>
      <c r="L97" s="45" t="n">
        <f aca="false">IF(AO97&gt;AN97,AM97,AL97)</f>
        <v>2279</v>
      </c>
      <c r="M97" s="40" t="str">
        <f aca="false">IF(AO97&gt;AN97,"Zoning estimate",IF(H97="Yes","Approved plans",IF(G97&gt;0,"Listing claim","110% old house")))</f>
        <v>110% old house</v>
      </c>
      <c r="N97" s="45" t="n">
        <f aca="false">IF(AO97&gt;AN97,IF(AM97&gt;AL97,Assumptions!$B$22,Assumptions!$B$21),Assumptions!$B$21)</f>
        <v>2</v>
      </c>
      <c r="O97" s="46" t="n">
        <f aca="false">(INDEX(Assumptions!$B$36:$B$48,MATCH(AK97,Assumptions!$A$36:$A$48,0))+IF(I97="Yes",Assumptions!$B$23,0)+IF(J97="Yes",Assumptions!$B$24,0))*(1+IF(UPPER(Assumptions!$B$31)="WORST",Assumptions!$B$28,IF(UPPER(Assumptions!$B$31)="BEST",Assumptions!$B$30,Assumptions!$B$29)))</f>
        <v>1430</v>
      </c>
      <c r="P97" s="47" t="n">
        <f aca="false">L97*O97</f>
        <v>3258970</v>
      </c>
      <c r="Q97" s="47" t="n">
        <f aca="false">D97</f>
        <v>1575000</v>
      </c>
      <c r="R97" s="47" t="n">
        <f aca="false">L97*Assumptions!$B$4</f>
        <v>1595300</v>
      </c>
      <c r="S97" s="47" t="n">
        <f aca="false">IF(H97="Yes",Assumptions!$B$6*(D97),(L97)*Assumptions!$B$5)</f>
        <v>170925</v>
      </c>
      <c r="T97" s="47" t="n">
        <f aca="false">AP97*(Assumptions!$B$8*N97*Assumptions!$B$9+Assumptions!$B$10)</f>
        <v>293192.49375</v>
      </c>
      <c r="U97" s="47" t="n">
        <f aca="false">Q97*Assumptions!$B$11*N97</f>
        <v>37800</v>
      </c>
      <c r="V97" s="47" t="n">
        <f aca="false">P97*(Assumptions!$B$12+Assumptions!$B$13)</f>
        <v>132314.182</v>
      </c>
      <c r="W97" s="47" t="n">
        <f aca="false">P97*IF(P97&gt;=Assumptions!$B$16,Assumptions!$B$17,IF(P97&gt;=Assumptions!$B$14,Assumptions!$B$15,0))</f>
        <v>0</v>
      </c>
      <c r="X97" s="48" t="n">
        <f aca="false">SUM(Q97:W97)</f>
        <v>3804531.67575</v>
      </c>
      <c r="Y97" s="48" t="n">
        <f aca="false">P97-X97</f>
        <v>-545561.67575</v>
      </c>
      <c r="Z97" s="49" t="n">
        <f aca="false">IF(X97=0,0,Y97/X97)</f>
        <v>-0.143397853467063</v>
      </c>
      <c r="AA97" s="47" t="n">
        <f aca="false">MAX(0,(P97/(1+Assumptions!$B$27)-(L97*(Assumptions!$B$4+IF(H97="Yes",0,Assumptions!$B$5)))*(1+(Assumptions!$B$7*(Assumptions!$B$8*N97*Assumptions!$B$9+Assumptions!$B$10)))-P97*(Assumptions!$B$12+Assumptions!$B$13+IF(P97&gt;=Assumptions!$B$16,Assumptions!$B$17,IF(P97&gt;=Assumptions!$B$14,Assumptions!$B$15,0))))/((1+IF(H97="Yes",Assumptions!$B$6,0))*(1+(Assumptions!$B$7*(Assumptions!$B$8*N97*Assumptions!$B$9+Assumptions!$B$10)))+Assumptions!$B$11*N97))</f>
        <v>701921.772675278</v>
      </c>
      <c r="AB97" s="50" t="n">
        <f aca="false">IF(AA97&lt;=0,"no price works",D97/AA97)</f>
        <v>2.24383978573154</v>
      </c>
      <c r="AC97" s="46" t="n">
        <f aca="false">(INDEX(Assumptions!$B$36:$B$48,MATCH(AK97,Assumptions!$A$36:$A$48,0))+IF(I97="Yes",Assumptions!$B$23,0)+IF(J97="Yes",Assumptions!$B$24,0))*(1+Assumptions!$B$28)</f>
        <v>1300</v>
      </c>
      <c r="AD97" s="47" t="n">
        <f aca="false">(L97)*AC97-(((D97)+(L97)*Assumptions!$B$4+IF(H97="Yes",Assumptions!$B$6*(D97),(L97)*Assumptions!$B$5))*(1+Assumptions!$B$7*(Assumptions!$B$8*(N97)*Assumptions!$B$9+Assumptions!$B$10))+(D97)*Assumptions!$B$11*(N97)+(L97)*AC97*(Assumptions!$B$12+Assumptions!$B$13+IF((L97)*AC97&gt;=Assumptions!$B$16,Assumptions!$B$17,IF((L97)*AC97&gt;=Assumptions!$B$14,Assumptions!$B$15,0))))</f>
        <v>-829803.11375</v>
      </c>
      <c r="AE97" s="46" t="n">
        <f aca="false">(INDEX(Assumptions!$B$36:$B$48,MATCH(AK97,Assumptions!$A$36:$A$48,0))+IF(I97="Yes",Assumptions!$B$23,0)+IF(J97="Yes",Assumptions!$B$24,0))*(1+Assumptions!$B$29)</f>
        <v>1430</v>
      </c>
      <c r="AF97" s="47" t="n">
        <f aca="false">(L97)*AE97-(((D97)+(L97)*Assumptions!$B$4+IF(H97="Yes",Assumptions!$B$6*(D97),(L97)*Assumptions!$B$5))*(1+Assumptions!$B$7*(Assumptions!$B$8*(N97)*Assumptions!$B$9+Assumptions!$B$10))+(D97)*Assumptions!$B$11*(N97)+(L97)*AE97*(Assumptions!$B$12+Assumptions!$B$13+IF((L97)*AE97&gt;=Assumptions!$B$16,Assumptions!$B$17,IF((L97)*AE97&gt;=Assumptions!$B$14,Assumptions!$B$15,0))))</f>
        <v>-545561.67575</v>
      </c>
      <c r="AG97" s="46" t="n">
        <f aca="false">(INDEX(Assumptions!$B$36:$B$48,MATCH(AK97,Assumptions!$A$36:$A$48,0))+IF(I97="Yes",Assumptions!$B$23,0)+IF(J97="Yes",Assumptions!$B$24,0))*(1+Assumptions!$B$30)</f>
        <v>1560</v>
      </c>
      <c r="AH97" s="47" t="n">
        <f aca="false">(L97)*AG97-(((D97)+(L97)*Assumptions!$B$4+IF(H97="Yes",Assumptions!$B$6*(D97),(L97)*Assumptions!$B$5))*(1+Assumptions!$B$7*(Assumptions!$B$8*(N97)*Assumptions!$B$9+Assumptions!$B$10))+(D97)*Assumptions!$B$11*(N97)+(L97)*AG97*(Assumptions!$B$12+Assumptions!$B$13+IF((L97)*AG97&gt;=Assumptions!$B$16,Assumptions!$B$17,IF((L97)*AG97&gt;=Assumptions!$B$14,Assumptions!$B$15,0))))</f>
        <v>-261320.23775</v>
      </c>
      <c r="AI97" s="47" t="n">
        <f aca="false">(L97)*AE97-(((D97)+(L97)*Assumptions!$B$25+IF(H97="Yes",Assumptions!$B$6*(D97),(L97)*Assumptions!$B$5))*(1+Assumptions!$B$7*(Assumptions!$B$8*(N97)*Assumptions!$B$9+Assumptions!$B$10))+(D97)*Assumptions!$B$11*(N97)+(L97)*AE97*(Assumptions!$B$12+Assumptions!$B$13+IF((L97)*AE97&gt;=Assumptions!$B$16,Assumptions!$B$17,IF((L97)*AE97&gt;=Assumptions!$B$14,Assumptions!$B$15,0))))</f>
        <v>-421612.56325</v>
      </c>
      <c r="AJ97" s="47" t="n">
        <f aca="false">(L97)*AE97-(((D97)+(L97)*Assumptions!$B$26+IF(H97="Yes",Assumptions!$B$6*(D97),(L97)*Assumptions!$B$5))*(1+Assumptions!$B$7*(Assumptions!$B$8*(N97)*Assumptions!$B$9+Assumptions!$B$10))+(D97)*Assumptions!$B$11*(N97)+(L97)*AE97*(Assumptions!$B$12+Assumptions!$B$13+IF((L97)*AE97&gt;=Assumptions!$B$16,Assumptions!$B$17,IF((L97)*AE97&gt;=Assumptions!$B$14,Assumptions!$B$15,0))))</f>
        <v>-297663.450749999</v>
      </c>
      <c r="AK97" s="40" t="s">
        <v>203</v>
      </c>
      <c r="AL97" s="45" t="n">
        <f aca="false">IF(G97&gt;0,G97,ROUND(F97*Assumptions!$B$18,0))</f>
        <v>2279</v>
      </c>
      <c r="AM97" s="45" t="n">
        <f aca="false">IF(H97="Yes",AL97,MAX(AL97,MIN(Assumptions!$B$20,ROUND(E97*Assumptions!$B$19,0))))</f>
        <v>2279</v>
      </c>
      <c r="AN97" s="47" t="n">
        <f aca="false">(AL97)*AE97-(((D97)+(AL97)*Assumptions!$B$4+IF(H97="Yes",Assumptions!$B$6*(D97),(AL97)*Assumptions!$B$5))*(1+Assumptions!$B$7*(Assumptions!$B$8*(Assumptions!$B$21)*Assumptions!$B$9+Assumptions!$B$10))+(D97)*Assumptions!$B$11*(Assumptions!$B$21)+(AL97)*AE97*(Assumptions!$B$12+Assumptions!$B$13+IF((AL97)*AE97&gt;=Assumptions!$B$16,Assumptions!$B$17,IF((AL97)*AE97&gt;=Assumptions!$B$14,Assumptions!$B$15,0))))</f>
        <v>-545561.67575</v>
      </c>
      <c r="AO97" s="47" t="n">
        <f aca="false">(AM97)*AE97-(((D97)+(AM97)*Assumptions!$B$4+IF(H97="Yes",Assumptions!$B$6*(D97),(AM97)*Assumptions!$B$5))*(1+Assumptions!$B$7*(Assumptions!$B$8*(IF(AM97&gt;AL97,Assumptions!$B$22,Assumptions!$B$21))*Assumptions!$B$9+Assumptions!$B$10))+(D97)*Assumptions!$B$11*(IF(AM97&gt;AL97,Assumptions!$B$22,Assumptions!$B$21))+(AM97)*AE97*(Assumptions!$B$12+Assumptions!$B$13+IF((AM97)*AE97&gt;=Assumptions!$B$16,Assumptions!$B$17,IF((AM97)*AE97&gt;=Assumptions!$B$14,Assumptions!$B$15,0))))</f>
        <v>-545561.67575</v>
      </c>
      <c r="AP97" s="47" t="n">
        <f aca="false">Assumptions!$B$7*(Q97+R97+S97)</f>
        <v>2171796.25</v>
      </c>
    </row>
    <row r="98" customFormat="false" ht="15" hidden="false" customHeight="false" outlineLevel="0" collapsed="false">
      <c r="A98" s="40" t="n">
        <v>96</v>
      </c>
      <c r="B98" s="40" t="s">
        <v>234</v>
      </c>
      <c r="C98" s="40" t="s">
        <v>126</v>
      </c>
      <c r="D98" s="41" t="n">
        <v>2150000</v>
      </c>
      <c r="E98" s="42" t="n">
        <v>6418</v>
      </c>
      <c r="F98" s="42" t="n">
        <v>1207</v>
      </c>
      <c r="G98" s="42"/>
      <c r="H98" s="43" t="s">
        <v>71</v>
      </c>
      <c r="I98" s="43" t="s">
        <v>71</v>
      </c>
      <c r="J98" s="43" t="s">
        <v>71</v>
      </c>
      <c r="K98" s="44" t="s">
        <v>235</v>
      </c>
      <c r="L98" s="45" t="n">
        <f aca="false">IF(AO98&gt;AN98,AM98,AL98)</f>
        <v>2567</v>
      </c>
      <c r="M98" s="40" t="str">
        <f aca="false">IF(AO98&gt;AN98,"Zoning estimate",IF(H98="Yes","Approved plans",IF(G98&gt;0,"Listing claim","110% old house")))</f>
        <v>Zoning estimate</v>
      </c>
      <c r="N98" s="45" t="n">
        <f aca="false">IF(AO98&gt;AN98,IF(AM98&gt;AL98,Assumptions!$B$22,Assumptions!$B$21),Assumptions!$B$21)</f>
        <v>3</v>
      </c>
      <c r="O98" s="46" t="n">
        <f aca="false">(INDEX(Assumptions!$B$36:$B$48,MATCH(AK98,Assumptions!$A$36:$A$48,0))+IF(I98="Yes",Assumptions!$B$23,0)+IF(J98="Yes",Assumptions!$B$24,0))*(1+IF(UPPER(Assumptions!$B$31)="WORST",Assumptions!$B$28,IF(UPPER(Assumptions!$B$31)="BEST",Assumptions!$B$30,Assumptions!$B$29)))</f>
        <v>1430</v>
      </c>
      <c r="P98" s="47" t="n">
        <f aca="false">L98*O98</f>
        <v>3670810</v>
      </c>
      <c r="Q98" s="47" t="n">
        <f aca="false">D98</f>
        <v>2150000</v>
      </c>
      <c r="R98" s="47" t="n">
        <f aca="false">L98*Assumptions!$B$4</f>
        <v>1796900</v>
      </c>
      <c r="S98" s="47" t="n">
        <f aca="false">IF(H98="Yes",Assumptions!$B$6*(D98),(L98)*Assumptions!$B$5)</f>
        <v>192525</v>
      </c>
      <c r="T98" s="47" t="n">
        <f aca="false">AP98*(Assumptions!$B$8*N98*Assumptions!$B$9+Assumptions!$B$10)</f>
        <v>524672.11875</v>
      </c>
      <c r="U98" s="47" t="n">
        <f aca="false">Q98*Assumptions!$B$11*N98</f>
        <v>77400</v>
      </c>
      <c r="V98" s="47" t="n">
        <f aca="false">P98*(Assumptions!$B$12+Assumptions!$B$13)</f>
        <v>149034.886</v>
      </c>
      <c r="W98" s="47" t="n">
        <f aca="false">P98*IF(P98&gt;=Assumptions!$B$16,Assumptions!$B$17,IF(P98&gt;=Assumptions!$B$14,Assumptions!$B$15,0))</f>
        <v>0</v>
      </c>
      <c r="X98" s="48" t="n">
        <f aca="false">SUM(Q98:W98)</f>
        <v>4890532.00475</v>
      </c>
      <c r="Y98" s="48" t="n">
        <f aca="false">P98-X98</f>
        <v>-1219722.00475</v>
      </c>
      <c r="Z98" s="49" t="n">
        <f aca="false">IF(X98=0,0,Y98/X98)</f>
        <v>-0.24940476896283</v>
      </c>
      <c r="AA98" s="47" t="n">
        <f aca="false">MAX(0,(P98/(1+Assumptions!$B$27)-(L98*(Assumptions!$B$4+IF(H98="Yes",0,Assumptions!$B$5)))*(1+(Assumptions!$B$7*(Assumptions!$B$8*N98*Assumptions!$B$9+Assumptions!$B$10)))-P98*(Assumptions!$B$12+Assumptions!$B$13+IF(P98&gt;=Assumptions!$B$16,Assumptions!$B$17,IF(P98&gt;=Assumptions!$B$14,Assumptions!$B$15,0))))/((1+IF(H98="Yes",Assumptions!$B$6,0))*(1+(Assumptions!$B$7*(Assumptions!$B$8*N98*Assumptions!$B$9+Assumptions!$B$10)))+Assumptions!$B$11*N98))</f>
        <v>689218.82683481</v>
      </c>
      <c r="AB98" s="50" t="n">
        <f aca="false">IF(AA98&lt;=0,"no price works",D98/AA98)</f>
        <v>3.1194736944052</v>
      </c>
      <c r="AC98" s="46" t="n">
        <f aca="false">(INDEX(Assumptions!$B$36:$B$48,MATCH(AK98,Assumptions!$A$36:$A$48,0))+IF(I98="Yes",Assumptions!$B$23,0)+IF(J98="Yes",Assumptions!$B$24,0))*(1+Assumptions!$B$28)</f>
        <v>1300</v>
      </c>
      <c r="AD98" s="47" t="n">
        <f aca="false">(L98)*AC98-(((D98)+(L98)*Assumptions!$B$4+IF(H98="Yes",Assumptions!$B$6*(D98),(L98)*Assumptions!$B$5))*(1+Assumptions!$B$7*(Assumptions!$B$8*(N98)*Assumptions!$B$9+Assumptions!$B$10))+(D98)*Assumptions!$B$11*(N98)+(L98)*AC98*(Assumptions!$B$12+Assumptions!$B$13+IF((L98)*AC98&gt;=Assumptions!$B$16,Assumptions!$B$17,IF((L98)*AC98&gt;=Assumptions!$B$14,Assumptions!$B$15,0))))</f>
        <v>-1539883.37875</v>
      </c>
      <c r="AE98" s="46" t="n">
        <f aca="false">(INDEX(Assumptions!$B$36:$B$48,MATCH(AK98,Assumptions!$A$36:$A$48,0))+IF(I98="Yes",Assumptions!$B$23,0)+IF(J98="Yes",Assumptions!$B$24,0))*(1+Assumptions!$B$29)</f>
        <v>1430</v>
      </c>
      <c r="AF98" s="47" t="n">
        <f aca="false">(L98)*AE98-(((D98)+(L98)*Assumptions!$B$4+IF(H98="Yes",Assumptions!$B$6*(D98),(L98)*Assumptions!$B$5))*(1+Assumptions!$B$7*(Assumptions!$B$8*(N98)*Assumptions!$B$9+Assumptions!$B$10))+(D98)*Assumptions!$B$11*(N98)+(L98)*AE98*(Assumptions!$B$12+Assumptions!$B$13+IF((L98)*AE98&gt;=Assumptions!$B$16,Assumptions!$B$17,IF((L98)*AE98&gt;=Assumptions!$B$14,Assumptions!$B$15,0))))</f>
        <v>-1219722.00475</v>
      </c>
      <c r="AG98" s="46" t="n">
        <f aca="false">(INDEX(Assumptions!$B$36:$B$48,MATCH(AK98,Assumptions!$A$36:$A$48,0))+IF(I98="Yes",Assumptions!$B$23,0)+IF(J98="Yes",Assumptions!$B$24,0))*(1+Assumptions!$B$30)</f>
        <v>1560</v>
      </c>
      <c r="AH98" s="47" t="n">
        <f aca="false">(L98)*AG98-(((D98)+(L98)*Assumptions!$B$4+IF(H98="Yes",Assumptions!$B$6*(D98),(L98)*Assumptions!$B$5))*(1+Assumptions!$B$7*(Assumptions!$B$8*(N98)*Assumptions!$B$9+Assumptions!$B$10))+(D98)*Assumptions!$B$11*(N98)+(L98)*AG98*(Assumptions!$B$12+Assumptions!$B$13+IF((L98)*AG98&gt;=Assumptions!$B$16,Assumptions!$B$17,IF((L98)*AG98&gt;=Assumptions!$B$14,Assumptions!$B$15,0))))</f>
        <v>-899560.63075</v>
      </c>
      <c r="AI98" s="47" t="n">
        <f aca="false">(L98)*AE98-(((D98)+(L98)*Assumptions!$B$25+IF(H98="Yes",Assumptions!$B$6*(D98),(L98)*Assumptions!$B$5))*(1+Assumptions!$B$7*(Assumptions!$B$8*(N98)*Assumptions!$B$9+Assumptions!$B$10))+(D98)*Assumptions!$B$11*(N98)+(L98)*AE98*(Assumptions!$B$12+Assumptions!$B$13+IF((L98)*AE98&gt;=Assumptions!$B$16,Assumptions!$B$17,IF((L98)*AE98&gt;=Assumptions!$B$14,Assumptions!$B$15,0))))</f>
        <v>-1075103.64225</v>
      </c>
      <c r="AJ98" s="47" t="n">
        <f aca="false">(L98)*AE98-(((D98)+(L98)*Assumptions!$B$26+IF(H98="Yes",Assumptions!$B$6*(D98),(L98)*Assumptions!$B$5))*(1+Assumptions!$B$7*(Assumptions!$B$8*(N98)*Assumptions!$B$9+Assumptions!$B$10))+(D98)*Assumptions!$B$11*(N98)+(L98)*AE98*(Assumptions!$B$12+Assumptions!$B$13+IF((L98)*AE98&gt;=Assumptions!$B$16,Assumptions!$B$17,IF((L98)*AE98&gt;=Assumptions!$B$14,Assumptions!$B$15,0))))</f>
        <v>-930485.279749999</v>
      </c>
      <c r="AK98" s="40" t="s">
        <v>128</v>
      </c>
      <c r="AL98" s="45" t="n">
        <f aca="false">IF(G98&gt;0,G98,ROUND(F98*Assumptions!$B$18,0))</f>
        <v>1328</v>
      </c>
      <c r="AM98" s="45" t="n">
        <f aca="false">IF(H98="Yes",AL98,MAX(AL98,MIN(Assumptions!$B$20,ROUND(E98*Assumptions!$B$19,0))))</f>
        <v>2567</v>
      </c>
      <c r="AN98" s="47" t="n">
        <f aca="false">(AL98)*AE98-(((D98)+(AL98)*Assumptions!$B$4+IF(H98="Yes",Assumptions!$B$6*(D98),(AL98)*Assumptions!$B$5))*(1+Assumptions!$B$7*(Assumptions!$B$8*(Assumptions!$B$21)*Assumptions!$B$9+Assumptions!$B$10))+(D98)*Assumptions!$B$11*(Assumptions!$B$21)+(AL98)*AE98*(Assumptions!$B$12+Assumptions!$B$13+IF((AL98)*AE98&gt;=Assumptions!$B$16,Assumptions!$B$17,IF((AL98)*AE98&gt;=Assumptions!$B$14,Assumptions!$B$15,0))))</f>
        <v>-1687835.824</v>
      </c>
      <c r="AO98" s="47" t="n">
        <f aca="false">(AM98)*AE98-(((D98)+(AM98)*Assumptions!$B$4+IF(H98="Yes",Assumptions!$B$6*(D98),(AM98)*Assumptions!$B$5))*(1+Assumptions!$B$7*(Assumptions!$B$8*(IF(AM98&gt;AL98,Assumptions!$B$22,Assumptions!$B$21))*Assumptions!$B$9+Assumptions!$B$10))+(D98)*Assumptions!$B$11*(IF(AM98&gt;AL98,Assumptions!$B$22,Assumptions!$B$21))+(AM98)*AE98*(Assumptions!$B$12+Assumptions!$B$13+IF((AM98)*AE98&gt;=Assumptions!$B$16,Assumptions!$B$17,IF((AM98)*AE98&gt;=Assumptions!$B$14,Assumptions!$B$15,0))))</f>
        <v>-1219722.00475</v>
      </c>
      <c r="AP98" s="47" t="n">
        <f aca="false">Assumptions!$B$7*(Q98+R98+S98)</f>
        <v>2690626.25</v>
      </c>
    </row>
    <row r="99" customFormat="false" ht="15" hidden="false" customHeight="false" outlineLevel="0" collapsed="false">
      <c r="A99" s="40" t="n">
        <v>97</v>
      </c>
      <c r="B99" s="40" t="s">
        <v>236</v>
      </c>
      <c r="C99" s="40" t="s">
        <v>126</v>
      </c>
      <c r="D99" s="41" t="n">
        <v>2850000</v>
      </c>
      <c r="E99" s="42" t="n">
        <v>10428</v>
      </c>
      <c r="F99" s="42" t="n">
        <v>2474</v>
      </c>
      <c r="G99" s="42"/>
      <c r="H99" s="43" t="s">
        <v>71</v>
      </c>
      <c r="I99" s="43" t="s">
        <v>71</v>
      </c>
      <c r="J99" s="43" t="s">
        <v>71</v>
      </c>
      <c r="K99" s="44" t="s">
        <v>237</v>
      </c>
      <c r="L99" s="45" t="n">
        <f aca="false">IF(AO99&gt;AN99,AM99,AL99)</f>
        <v>4171</v>
      </c>
      <c r="M99" s="40" t="str">
        <f aca="false">IF(AO99&gt;AN99,"Zoning estimate",IF(H99="Yes","Approved plans",IF(G99&gt;0,"Listing claim","110% old house")))</f>
        <v>Zoning estimate</v>
      </c>
      <c r="N99" s="45" t="n">
        <f aca="false">IF(AO99&gt;AN99,IF(AM99&gt;AL99,Assumptions!$B$22,Assumptions!$B$21),Assumptions!$B$21)</f>
        <v>3</v>
      </c>
      <c r="O99" s="46" t="n">
        <f aca="false">(INDEX(Assumptions!$B$36:$B$48,MATCH(AK99,Assumptions!$A$36:$A$48,0))+IF(I99="Yes",Assumptions!$B$23,0)+IF(J99="Yes",Assumptions!$B$24,0))*(1+IF(UPPER(Assumptions!$B$31)="WORST",Assumptions!$B$28,IF(UPPER(Assumptions!$B$31)="BEST",Assumptions!$B$30,Assumptions!$B$29)))</f>
        <v>1430</v>
      </c>
      <c r="P99" s="47" t="n">
        <f aca="false">L99*O99</f>
        <v>5964530</v>
      </c>
      <c r="Q99" s="47" t="n">
        <f aca="false">D99</f>
        <v>2850000</v>
      </c>
      <c r="R99" s="47" t="n">
        <f aca="false">L99*Assumptions!$B$4</f>
        <v>2919700</v>
      </c>
      <c r="S99" s="47" t="n">
        <f aca="false">IF(H99="Yes",Assumptions!$B$6*(D99),(L99)*Assumptions!$B$5)</f>
        <v>312825</v>
      </c>
      <c r="T99" s="47" t="n">
        <f aca="false">AP99*(Assumptions!$B$8*N99*Assumptions!$B$9+Assumptions!$B$10)</f>
        <v>770960.04375</v>
      </c>
      <c r="U99" s="47" t="n">
        <f aca="false">Q99*Assumptions!$B$11*N99</f>
        <v>102600</v>
      </c>
      <c r="V99" s="47" t="n">
        <f aca="false">P99*(Assumptions!$B$12+Assumptions!$B$13)</f>
        <v>242159.918</v>
      </c>
      <c r="W99" s="47" t="n">
        <f aca="false">P99*IF(P99&gt;=Assumptions!$B$16,Assumptions!$B$17,IF(P99&gt;=Assumptions!$B$14,Assumptions!$B$15,0))</f>
        <v>238581.2</v>
      </c>
      <c r="X99" s="48" t="n">
        <f aca="false">SUM(Q99:W99)</f>
        <v>7436826.16175</v>
      </c>
      <c r="Y99" s="48" t="n">
        <f aca="false">P99-X99</f>
        <v>-1472296.16175</v>
      </c>
      <c r="Z99" s="49" t="n">
        <f aca="false">IF(X99=0,0,Y99/X99)</f>
        <v>-0.197973722893039</v>
      </c>
      <c r="AA99" s="47" t="n">
        <f aca="false">MAX(0,(P99/(1+Assumptions!$B$27)-(L99*(Assumptions!$B$4+IF(H99="Yes",0,Assumptions!$B$5)))*(1+(Assumptions!$B$7*(Assumptions!$B$8*N99*Assumptions!$B$9+Assumptions!$B$10)))-P99*(Assumptions!$B$12+Assumptions!$B$13+IF(P99&gt;=Assumptions!$B$16,Assumptions!$B$17,IF(P99&gt;=Assumptions!$B$14,Assumptions!$B$15,0))))/((1+IF(H99="Yes",Assumptions!$B$6,0))*(1+(Assumptions!$B$7*(Assumptions!$B$8*N99*Assumptions!$B$9+Assumptions!$B$10)))+Assumptions!$B$11*N99))</f>
        <v>914692.895581129</v>
      </c>
      <c r="AB99" s="50" t="n">
        <f aca="false">IF(AA99&lt;=0,"no price works",D99/AA99)</f>
        <v>3.11579986437887</v>
      </c>
      <c r="AC99" s="46" t="n">
        <f aca="false">(INDEX(Assumptions!$B$36:$B$48,MATCH(AK99,Assumptions!$A$36:$A$48,0))+IF(I99="Yes",Assumptions!$B$23,0)+IF(J99="Yes",Assumptions!$B$24,0))*(1+Assumptions!$B$28)</f>
        <v>1300</v>
      </c>
      <c r="AD99" s="47" t="n">
        <f aca="false">(L99)*AC99-(((D99)+(L99)*Assumptions!$B$4+IF(H99="Yes",Assumptions!$B$6*(D99),(L99)*Assumptions!$B$5))*(1+Assumptions!$B$7*(Assumptions!$B$8*(N99)*Assumptions!$B$9+Assumptions!$B$10))+(D99)*Assumptions!$B$11*(N99)+(L99)*AC99*(Assumptions!$B$12+Assumptions!$B$13+IF((L99)*AC99&gt;=Assumptions!$B$16,Assumptions!$B$17,IF((L99)*AC99&gt;=Assumptions!$B$14,Assumptions!$B$15,0))))</f>
        <v>-1970822.42375</v>
      </c>
      <c r="AE99" s="46" t="n">
        <f aca="false">(INDEX(Assumptions!$B$36:$B$48,MATCH(AK99,Assumptions!$A$36:$A$48,0))+IF(I99="Yes",Assumptions!$B$23,0)+IF(J99="Yes",Assumptions!$B$24,0))*(1+Assumptions!$B$29)</f>
        <v>1430</v>
      </c>
      <c r="AF99" s="47" t="n">
        <f aca="false">(L99)*AE99-(((D99)+(L99)*Assumptions!$B$4+IF(H99="Yes",Assumptions!$B$6*(D99),(L99)*Assumptions!$B$5))*(1+Assumptions!$B$7*(Assumptions!$B$8*(N99)*Assumptions!$B$9+Assumptions!$B$10))+(D99)*Assumptions!$B$11*(N99)+(L99)*AE99*(Assumptions!$B$12+Assumptions!$B$13+IF((L99)*AE99&gt;=Assumptions!$B$16,Assumptions!$B$17,IF((L99)*AE99&gt;=Assumptions!$B$14,Assumptions!$B$15,0))))</f>
        <v>-1472296.16175</v>
      </c>
      <c r="AG99" s="46" t="n">
        <f aca="false">(INDEX(Assumptions!$B$36:$B$48,MATCH(AK99,Assumptions!$A$36:$A$48,0))+IF(I99="Yes",Assumptions!$B$23,0)+IF(J99="Yes",Assumptions!$B$24,0))*(1+Assumptions!$B$30)</f>
        <v>1560</v>
      </c>
      <c r="AH99" s="47" t="n">
        <f aca="false">(L99)*AG99-(((D99)+(L99)*Assumptions!$B$4+IF(H99="Yes",Assumptions!$B$6*(D99),(L99)*Assumptions!$B$5))*(1+Assumptions!$B$7*(Assumptions!$B$8*(N99)*Assumptions!$B$9+Assumptions!$B$10))+(D99)*Assumptions!$B$11*(N99)+(L99)*AG99*(Assumptions!$B$12+Assumptions!$B$13+IF((L99)*AG99&gt;=Assumptions!$B$16,Assumptions!$B$17,IF((L99)*AG99&gt;=Assumptions!$B$14,Assumptions!$B$15,0))))</f>
        <v>-973769.899749999</v>
      </c>
      <c r="AI99" s="47" t="n">
        <f aca="false">(L99)*AE99-(((D99)+(L99)*Assumptions!$B$25+IF(H99="Yes",Assumptions!$B$6*(D99),(L99)*Assumptions!$B$5))*(1+Assumptions!$B$7*(Assumptions!$B$8*(N99)*Assumptions!$B$9+Assumptions!$B$10))+(D99)*Assumptions!$B$11*(N99)+(L99)*AE99*(Assumptions!$B$12+Assumptions!$B$13+IF((L99)*AE99&gt;=Assumptions!$B$16,Assumptions!$B$17,IF((L99)*AE99&gt;=Assumptions!$B$14,Assumptions!$B$15,0))))</f>
        <v>-1237312.44925</v>
      </c>
      <c r="AJ99" s="47" t="n">
        <f aca="false">(L99)*AE99-(((D99)+(L99)*Assumptions!$B$26+IF(H99="Yes",Assumptions!$B$6*(D99),(L99)*Assumptions!$B$5))*(1+Assumptions!$B$7*(Assumptions!$B$8*(N99)*Assumptions!$B$9+Assumptions!$B$10))+(D99)*Assumptions!$B$11*(N99)+(L99)*AE99*(Assumptions!$B$12+Assumptions!$B$13+IF((L99)*AE99&gt;=Assumptions!$B$16,Assumptions!$B$17,IF((L99)*AE99&gt;=Assumptions!$B$14,Assumptions!$B$15,0))))</f>
        <v>-1002328.73675</v>
      </c>
      <c r="AK99" s="40" t="s">
        <v>128</v>
      </c>
      <c r="AL99" s="45" t="n">
        <f aca="false">IF(G99&gt;0,G99,ROUND(F99*Assumptions!$B$18,0))</f>
        <v>2721</v>
      </c>
      <c r="AM99" s="45" t="n">
        <f aca="false">IF(H99="Yes",AL99,MAX(AL99,MIN(Assumptions!$B$20,ROUND(E99*Assumptions!$B$19,0))))</f>
        <v>4171</v>
      </c>
      <c r="AN99" s="47" t="n">
        <f aca="false">(AL99)*AE99-(((D99)+(AL99)*Assumptions!$B$4+IF(H99="Yes",Assumptions!$B$6*(D99),(AL99)*Assumptions!$B$5))*(1+Assumptions!$B$7*(Assumptions!$B$8*(Assumptions!$B$21)*Assumptions!$B$9+Assumptions!$B$10))+(D99)*Assumptions!$B$11*(Assumptions!$B$21)+(AL99)*AE99*(Assumptions!$B$12+Assumptions!$B$13+IF((AL99)*AE99&gt;=Assumptions!$B$16,Assumptions!$B$17,IF((AL99)*AE99&gt;=Assumptions!$B$14,Assumptions!$B$15,0))))</f>
        <v>-1729253.32425</v>
      </c>
      <c r="AO99" s="47" t="n">
        <f aca="false">(AM99)*AE99-(((D99)+(AM99)*Assumptions!$B$4+IF(H99="Yes",Assumptions!$B$6*(D99),(AM99)*Assumptions!$B$5))*(1+Assumptions!$B$7*(Assumptions!$B$8*(IF(AM99&gt;AL99,Assumptions!$B$22,Assumptions!$B$21))*Assumptions!$B$9+Assumptions!$B$10))+(D99)*Assumptions!$B$11*(IF(AM99&gt;AL99,Assumptions!$B$22,Assumptions!$B$21))+(AM99)*AE99*(Assumptions!$B$12+Assumptions!$B$13+IF((AM99)*AE99&gt;=Assumptions!$B$16,Assumptions!$B$17,IF((AM99)*AE99&gt;=Assumptions!$B$14,Assumptions!$B$15,0))))</f>
        <v>-1472296.16175</v>
      </c>
      <c r="AP99" s="47" t="n">
        <f aca="false">Assumptions!$B$7*(Q99+R99+S99)</f>
        <v>3953641.25</v>
      </c>
    </row>
    <row r="100" customFormat="false" ht="15" hidden="false" customHeight="false" outlineLevel="0" collapsed="false">
      <c r="A100" s="40" t="n">
        <v>98</v>
      </c>
      <c r="B100" s="40" t="s">
        <v>238</v>
      </c>
      <c r="C100" s="40" t="s">
        <v>126</v>
      </c>
      <c r="D100" s="41" t="n">
        <v>2999000</v>
      </c>
      <c r="E100" s="42" t="n">
        <v>6500</v>
      </c>
      <c r="F100" s="42" t="n">
        <v>2688</v>
      </c>
      <c r="G100" s="42"/>
      <c r="H100" s="43" t="s">
        <v>71</v>
      </c>
      <c r="I100" s="43" t="s">
        <v>71</v>
      </c>
      <c r="J100" s="43" t="s">
        <v>71</v>
      </c>
      <c r="K100" s="44" t="s">
        <v>239</v>
      </c>
      <c r="L100" s="45" t="n">
        <f aca="false">IF(AO100&gt;AN100,AM100,AL100)</f>
        <v>2957</v>
      </c>
      <c r="M100" s="40" t="str">
        <f aca="false">IF(AO100&gt;AN100,"Zoning estimate",IF(H100="Yes","Approved plans",IF(G100&gt;0,"Listing claim","110% old house")))</f>
        <v>110% old house</v>
      </c>
      <c r="N100" s="45" t="n">
        <f aca="false">IF(AO100&gt;AN100,IF(AM100&gt;AL100,Assumptions!$B$22,Assumptions!$B$21),Assumptions!$B$21)</f>
        <v>2</v>
      </c>
      <c r="O100" s="46" t="n">
        <f aca="false">(INDEX(Assumptions!$B$36:$B$48,MATCH(AK100,Assumptions!$A$36:$A$48,0))+IF(I100="Yes",Assumptions!$B$23,0)+IF(J100="Yes",Assumptions!$B$24,0))*(1+IF(UPPER(Assumptions!$B$31)="WORST",Assumptions!$B$28,IF(UPPER(Assumptions!$B$31)="BEST",Assumptions!$B$30,Assumptions!$B$29)))</f>
        <v>1430</v>
      </c>
      <c r="P100" s="47" t="n">
        <f aca="false">L100*O100</f>
        <v>4228510</v>
      </c>
      <c r="Q100" s="47" t="n">
        <f aca="false">D100</f>
        <v>2999000</v>
      </c>
      <c r="R100" s="47" t="n">
        <f aca="false">L100*Assumptions!$B$4</f>
        <v>2069900</v>
      </c>
      <c r="S100" s="47" t="n">
        <f aca="false">IF(H100="Yes",Assumptions!$B$6*(D100),(L100)*Assumptions!$B$5)</f>
        <v>221775</v>
      </c>
      <c r="T100" s="47" t="n">
        <f aca="false">AP100*(Assumptions!$B$8*N100*Assumptions!$B$9+Assumptions!$B$10)</f>
        <v>464256.73125</v>
      </c>
      <c r="U100" s="47" t="n">
        <f aca="false">Q100*Assumptions!$B$11*N100</f>
        <v>71976</v>
      </c>
      <c r="V100" s="47" t="n">
        <f aca="false">P100*(Assumptions!$B$12+Assumptions!$B$13)</f>
        <v>171677.506</v>
      </c>
      <c r="W100" s="47" t="n">
        <f aca="false">P100*IF(P100&gt;=Assumptions!$B$16,Assumptions!$B$17,IF(P100&gt;=Assumptions!$B$14,Assumptions!$B$15,0))</f>
        <v>0</v>
      </c>
      <c r="X100" s="48" t="n">
        <f aca="false">SUM(Q100:W100)</f>
        <v>5998585.23725</v>
      </c>
      <c r="Y100" s="48" t="n">
        <f aca="false">P100-X100</f>
        <v>-1770075.23725</v>
      </c>
      <c r="Z100" s="49" t="n">
        <f aca="false">IF(X100=0,0,Y100/X100)</f>
        <v>-0.29508211807314</v>
      </c>
      <c r="AA100" s="47" t="n">
        <f aca="false">MAX(0,(P100/(1+Assumptions!$B$27)-(L100*(Assumptions!$B$4+IF(H100="Yes",0,Assumptions!$B$5)))*(1+(Assumptions!$B$7*(Assumptions!$B$8*N100*Assumptions!$B$9+Assumptions!$B$10)))-P100*(Assumptions!$B$12+Assumptions!$B$13+IF(P100&gt;=Assumptions!$B$16,Assumptions!$B$17,IF(P100&gt;=Assumptions!$B$14,Assumptions!$B$15,0))))/((1+IF(H100="Yes",Assumptions!$B$6,0))*(1+(Assumptions!$B$7*(Assumptions!$B$8*N100*Assumptions!$B$9+Assumptions!$B$10)))+Assumptions!$B$11*N100))</f>
        <v>910742.730057392</v>
      </c>
      <c r="AB100" s="50" t="n">
        <f aca="false">IF(AA100&lt;=0,"no price works",D100/AA100)</f>
        <v>3.29291676016015</v>
      </c>
      <c r="AC100" s="46" t="n">
        <f aca="false">(INDEX(Assumptions!$B$36:$B$48,MATCH(AK100,Assumptions!$A$36:$A$48,0))+IF(I100="Yes",Assumptions!$B$23,0)+IF(J100="Yes",Assumptions!$B$24,0))*(1+Assumptions!$B$28)</f>
        <v>1300</v>
      </c>
      <c r="AD100" s="47" t="n">
        <f aca="false">(L100)*AC100-(((D100)+(L100)*Assumptions!$B$4+IF(H100="Yes",Assumptions!$B$6*(D100),(L100)*Assumptions!$B$5))*(1+Assumptions!$B$7*(Assumptions!$B$8*(N100)*Assumptions!$B$9+Assumptions!$B$10))+(D100)*Assumptions!$B$11*(N100)+(L100)*AC100*(Assumptions!$B$12+Assumptions!$B$13+IF((L100)*AC100&gt;=Assumptions!$B$16,Assumptions!$B$17,IF((L100)*AC100&gt;=Assumptions!$B$14,Assumptions!$B$15,0))))</f>
        <v>-2138878.19125</v>
      </c>
      <c r="AE100" s="46" t="n">
        <f aca="false">(INDEX(Assumptions!$B$36:$B$48,MATCH(AK100,Assumptions!$A$36:$A$48,0))+IF(I100="Yes",Assumptions!$B$23,0)+IF(J100="Yes",Assumptions!$B$24,0))*(1+Assumptions!$B$29)</f>
        <v>1430</v>
      </c>
      <c r="AF100" s="47" t="n">
        <f aca="false">(L100)*AE100-(((D100)+(L100)*Assumptions!$B$4+IF(H100="Yes",Assumptions!$B$6*(D100),(L100)*Assumptions!$B$5))*(1+Assumptions!$B$7*(Assumptions!$B$8*(N100)*Assumptions!$B$9+Assumptions!$B$10))+(D100)*Assumptions!$B$11*(N100)+(L100)*AE100*(Assumptions!$B$12+Assumptions!$B$13+IF((L100)*AE100&gt;=Assumptions!$B$16,Assumptions!$B$17,IF((L100)*AE100&gt;=Assumptions!$B$14,Assumptions!$B$15,0))))</f>
        <v>-1770075.23725</v>
      </c>
      <c r="AG100" s="46" t="n">
        <f aca="false">(INDEX(Assumptions!$B$36:$B$48,MATCH(AK100,Assumptions!$A$36:$A$48,0))+IF(I100="Yes",Assumptions!$B$23,0)+IF(J100="Yes",Assumptions!$B$24,0))*(1+Assumptions!$B$30)</f>
        <v>1560</v>
      </c>
      <c r="AH100" s="47" t="n">
        <f aca="false">(L100)*AG100-(((D100)+(L100)*Assumptions!$B$4+IF(H100="Yes",Assumptions!$B$6*(D100),(L100)*Assumptions!$B$5))*(1+Assumptions!$B$7*(Assumptions!$B$8*(N100)*Assumptions!$B$9+Assumptions!$B$10))+(D100)*Assumptions!$B$11*(N100)+(L100)*AG100*(Assumptions!$B$12+Assumptions!$B$13+IF((L100)*AG100&gt;=Assumptions!$B$16,Assumptions!$B$17,IF((L100)*AG100&gt;=Assumptions!$B$14,Assumptions!$B$15,0))))</f>
        <v>-1401272.28325</v>
      </c>
      <c r="AI100" s="47" t="n">
        <f aca="false">(L100)*AE100-(((D100)+(L100)*Assumptions!$B$25+IF(H100="Yes",Assumptions!$B$6*(D100),(L100)*Assumptions!$B$5))*(1+Assumptions!$B$7*(Assumptions!$B$8*(N100)*Assumptions!$B$9+Assumptions!$B$10))+(D100)*Assumptions!$B$11*(N100)+(L100)*AE100*(Assumptions!$B$12+Assumptions!$B$13+IF((L100)*AE100&gt;=Assumptions!$B$16,Assumptions!$B$17,IF((L100)*AE100&gt;=Assumptions!$B$14,Assumptions!$B$15,0))))</f>
        <v>-1609251.39975</v>
      </c>
      <c r="AJ100" s="47" t="n">
        <f aca="false">(L100)*AE100-(((D100)+(L100)*Assumptions!$B$26+IF(H100="Yes",Assumptions!$B$6*(D100),(L100)*Assumptions!$B$5))*(1+Assumptions!$B$7*(Assumptions!$B$8*(N100)*Assumptions!$B$9+Assumptions!$B$10))+(D100)*Assumptions!$B$11*(N100)+(L100)*AE100*(Assumptions!$B$12+Assumptions!$B$13+IF((L100)*AE100&gt;=Assumptions!$B$16,Assumptions!$B$17,IF((L100)*AE100&gt;=Assumptions!$B$14,Assumptions!$B$15,0))))</f>
        <v>-1448427.56225</v>
      </c>
      <c r="AK100" s="40" t="s">
        <v>128</v>
      </c>
      <c r="AL100" s="45" t="n">
        <f aca="false">IF(G100&gt;0,G100,ROUND(F100*Assumptions!$B$18,0))</f>
        <v>2957</v>
      </c>
      <c r="AM100" s="45" t="n">
        <f aca="false">IF(H100="Yes",AL100,MAX(AL100,MIN(Assumptions!$B$20,ROUND(E100*Assumptions!$B$19,0))))</f>
        <v>2957</v>
      </c>
      <c r="AN100" s="47" t="n">
        <f aca="false">(AL100)*AE100-(((D100)+(AL100)*Assumptions!$B$4+IF(H100="Yes",Assumptions!$B$6*(D100),(AL100)*Assumptions!$B$5))*(1+Assumptions!$B$7*(Assumptions!$B$8*(Assumptions!$B$21)*Assumptions!$B$9+Assumptions!$B$10))+(D100)*Assumptions!$B$11*(Assumptions!$B$21)+(AL100)*AE100*(Assumptions!$B$12+Assumptions!$B$13+IF((AL100)*AE100&gt;=Assumptions!$B$16,Assumptions!$B$17,IF((AL100)*AE100&gt;=Assumptions!$B$14,Assumptions!$B$15,0))))</f>
        <v>-1770075.23725</v>
      </c>
      <c r="AO100" s="47" t="n">
        <f aca="false">(AM100)*AE100-(((D100)+(AM100)*Assumptions!$B$4+IF(H100="Yes",Assumptions!$B$6*(D100),(AM100)*Assumptions!$B$5))*(1+Assumptions!$B$7*(Assumptions!$B$8*(IF(AM100&gt;AL100,Assumptions!$B$22,Assumptions!$B$21))*Assumptions!$B$9+Assumptions!$B$10))+(D100)*Assumptions!$B$11*(IF(AM100&gt;AL100,Assumptions!$B$22,Assumptions!$B$21))+(AM100)*AE100*(Assumptions!$B$12+Assumptions!$B$13+IF((AM100)*AE100&gt;=Assumptions!$B$16,Assumptions!$B$17,IF((AM100)*AE100&gt;=Assumptions!$B$14,Assumptions!$B$15,0))))</f>
        <v>-1770075.23725</v>
      </c>
      <c r="AP100" s="47" t="n">
        <f aca="false">Assumptions!$B$7*(Q100+R100+S100)</f>
        <v>3438938.75</v>
      </c>
    </row>
    <row r="101" customFormat="false" ht="15" hidden="false" customHeight="false" outlineLevel="0" collapsed="false">
      <c r="A101" s="40" t="n">
        <v>99</v>
      </c>
      <c r="B101" s="40" t="s">
        <v>240</v>
      </c>
      <c r="C101" s="40" t="s">
        <v>126</v>
      </c>
      <c r="D101" s="41" t="n">
        <v>1835000</v>
      </c>
      <c r="E101" s="42" t="n">
        <v>5199</v>
      </c>
      <c r="F101" s="42" t="n">
        <v>1631</v>
      </c>
      <c r="G101" s="42"/>
      <c r="H101" s="43" t="s">
        <v>71</v>
      </c>
      <c r="I101" s="43" t="s">
        <v>71</v>
      </c>
      <c r="J101" s="43" t="s">
        <v>71</v>
      </c>
      <c r="K101" s="44" t="s">
        <v>241</v>
      </c>
      <c r="L101" s="45" t="n">
        <f aca="false">IF(AO101&gt;AN101,AM101,AL101)</f>
        <v>1794</v>
      </c>
      <c r="M101" s="40" t="str">
        <f aca="false">IF(AO101&gt;AN101,"Zoning estimate",IF(H101="Yes","Approved plans",IF(G101&gt;0,"Listing claim","110% old house")))</f>
        <v>110% old house</v>
      </c>
      <c r="N101" s="45" t="n">
        <f aca="false">IF(AO101&gt;AN101,IF(AM101&gt;AL101,Assumptions!$B$22,Assumptions!$B$21),Assumptions!$B$21)</f>
        <v>2</v>
      </c>
      <c r="O101" s="46" t="n">
        <f aca="false">(INDEX(Assumptions!$B$36:$B$48,MATCH(AK101,Assumptions!$A$36:$A$48,0))+IF(I101="Yes",Assumptions!$B$23,0)+IF(J101="Yes",Assumptions!$B$24,0))*(1+IF(UPPER(Assumptions!$B$31)="WORST",Assumptions!$B$28,IF(UPPER(Assumptions!$B$31)="BEST",Assumptions!$B$30,Assumptions!$B$29)))</f>
        <v>1430</v>
      </c>
      <c r="P101" s="47" t="n">
        <f aca="false">L101*O101</f>
        <v>2565420</v>
      </c>
      <c r="Q101" s="47" t="n">
        <f aca="false">D101</f>
        <v>1835000</v>
      </c>
      <c r="R101" s="47" t="n">
        <f aca="false">L101*Assumptions!$B$4</f>
        <v>1255800</v>
      </c>
      <c r="S101" s="47" t="n">
        <f aca="false">IF(H101="Yes",Assumptions!$B$6*(D101),(L101)*Assumptions!$B$5)</f>
        <v>134550</v>
      </c>
      <c r="T101" s="47" t="n">
        <f aca="false">AP101*(Assumptions!$B$8*N101*Assumptions!$B$9+Assumptions!$B$10)</f>
        <v>283024.4625</v>
      </c>
      <c r="U101" s="47" t="n">
        <f aca="false">Q101*Assumptions!$B$11*N101</f>
        <v>44040</v>
      </c>
      <c r="V101" s="47" t="n">
        <f aca="false">P101*(Assumptions!$B$12+Assumptions!$B$13)</f>
        <v>104156.052</v>
      </c>
      <c r="W101" s="47" t="n">
        <f aca="false">P101*IF(P101&gt;=Assumptions!$B$16,Assumptions!$B$17,IF(P101&gt;=Assumptions!$B$14,Assumptions!$B$15,0))</f>
        <v>0</v>
      </c>
      <c r="X101" s="48" t="n">
        <f aca="false">SUM(Q101:W101)</f>
        <v>3656570.5145</v>
      </c>
      <c r="Y101" s="48" t="n">
        <f aca="false">P101-X101</f>
        <v>-1091150.5145</v>
      </c>
      <c r="Z101" s="49" t="n">
        <f aca="false">IF(X101=0,0,Y101/X101)</f>
        <v>-0.298408169669662</v>
      </c>
      <c r="AA101" s="47" t="n">
        <f aca="false">MAX(0,(P101/(1+Assumptions!$B$27)-(L101*(Assumptions!$B$4+IF(H101="Yes",0,Assumptions!$B$5)))*(1+(Assumptions!$B$7*(Assumptions!$B$8*N101*Assumptions!$B$9+Assumptions!$B$10)))-P101*(Assumptions!$B$12+Assumptions!$B$13+IF(P101&gt;=Assumptions!$B$16,Assumptions!$B$17,IF(P101&gt;=Assumptions!$B$14,Assumptions!$B$15,0))))/((1+IF(H101="Yes",Assumptions!$B$6,0))*(1+(Assumptions!$B$7*(Assumptions!$B$8*N101*Assumptions!$B$9+Assumptions!$B$10)))+Assumptions!$B$11*N101))</f>
        <v>552543.949179223</v>
      </c>
      <c r="AB101" s="50" t="n">
        <f aca="false">IF(AA101&lt;=0,"no price works",D101/AA101)</f>
        <v>3.32100279575191</v>
      </c>
      <c r="AC101" s="46" t="n">
        <f aca="false">(INDEX(Assumptions!$B$36:$B$48,MATCH(AK101,Assumptions!$A$36:$A$48,0))+IF(I101="Yes",Assumptions!$B$23,0)+IF(J101="Yes",Assumptions!$B$24,0))*(1+Assumptions!$B$28)</f>
        <v>1300</v>
      </c>
      <c r="AD101" s="47" t="n">
        <f aca="false">(L101)*AC101-(((D101)+(L101)*Assumptions!$B$4+IF(H101="Yes",Assumptions!$B$6*(D101),(L101)*Assumptions!$B$5))*(1+Assumptions!$B$7*(Assumptions!$B$8*(N101)*Assumptions!$B$9+Assumptions!$B$10))+(D101)*Assumptions!$B$11*(N101)+(L101)*AC101*(Assumptions!$B$12+Assumptions!$B$13+IF((L101)*AC101&gt;=Assumptions!$B$16,Assumptions!$B$17,IF((L101)*AC101&gt;=Assumptions!$B$14,Assumptions!$B$15,0))))</f>
        <v>-1314901.7825</v>
      </c>
      <c r="AE101" s="46" t="n">
        <f aca="false">(INDEX(Assumptions!$B$36:$B$48,MATCH(AK101,Assumptions!$A$36:$A$48,0))+IF(I101="Yes",Assumptions!$B$23,0)+IF(J101="Yes",Assumptions!$B$24,0))*(1+Assumptions!$B$29)</f>
        <v>1430</v>
      </c>
      <c r="AF101" s="47" t="n">
        <f aca="false">(L101)*AE101-(((D101)+(L101)*Assumptions!$B$4+IF(H101="Yes",Assumptions!$B$6*(D101),(L101)*Assumptions!$B$5))*(1+Assumptions!$B$7*(Assumptions!$B$8*(N101)*Assumptions!$B$9+Assumptions!$B$10))+(D101)*Assumptions!$B$11*(N101)+(L101)*AE101*(Assumptions!$B$12+Assumptions!$B$13+IF((L101)*AE101&gt;=Assumptions!$B$16,Assumptions!$B$17,IF((L101)*AE101&gt;=Assumptions!$B$14,Assumptions!$B$15,0))))</f>
        <v>-1091150.5145</v>
      </c>
      <c r="AG101" s="46" t="n">
        <f aca="false">(INDEX(Assumptions!$B$36:$B$48,MATCH(AK101,Assumptions!$A$36:$A$48,0))+IF(I101="Yes",Assumptions!$B$23,0)+IF(J101="Yes",Assumptions!$B$24,0))*(1+Assumptions!$B$30)</f>
        <v>1560</v>
      </c>
      <c r="AH101" s="47" t="n">
        <f aca="false">(L101)*AG101-(((D101)+(L101)*Assumptions!$B$4+IF(H101="Yes",Assumptions!$B$6*(D101),(L101)*Assumptions!$B$5))*(1+Assumptions!$B$7*(Assumptions!$B$8*(N101)*Assumptions!$B$9+Assumptions!$B$10))+(D101)*Assumptions!$B$11*(N101)+(L101)*AG101*(Assumptions!$B$12+Assumptions!$B$13+IF((L101)*AG101&gt;=Assumptions!$B$16,Assumptions!$B$17,IF((L101)*AG101&gt;=Assumptions!$B$14,Assumptions!$B$15,0))))</f>
        <v>-867399.2465</v>
      </c>
      <c r="AI101" s="47" t="n">
        <f aca="false">(L101)*AE101-(((D101)+(L101)*Assumptions!$B$25+IF(H101="Yes",Assumptions!$B$6*(D101),(L101)*Assumptions!$B$5))*(1+Assumptions!$B$7*(Assumptions!$B$8*(N101)*Assumptions!$B$9+Assumptions!$B$10))+(D101)*Assumptions!$B$11*(N101)+(L101)*AE101*(Assumptions!$B$12+Assumptions!$B$13+IF((L101)*AE101&gt;=Assumptions!$B$16,Assumptions!$B$17,IF((L101)*AE101&gt;=Assumptions!$B$14,Assumptions!$B$15,0))))</f>
        <v>-993579.3395</v>
      </c>
      <c r="AJ101" s="47" t="n">
        <f aca="false">(L101)*AE101-(((D101)+(L101)*Assumptions!$B$26+IF(H101="Yes",Assumptions!$B$6*(D101),(L101)*Assumptions!$B$5))*(1+Assumptions!$B$7*(Assumptions!$B$8*(N101)*Assumptions!$B$9+Assumptions!$B$10))+(D101)*Assumptions!$B$11*(N101)+(L101)*AE101*(Assumptions!$B$12+Assumptions!$B$13+IF((L101)*AE101&gt;=Assumptions!$B$16,Assumptions!$B$17,IF((L101)*AE101&gt;=Assumptions!$B$14,Assumptions!$B$15,0))))</f>
        <v>-896008.1645</v>
      </c>
      <c r="AK101" s="40" t="s">
        <v>128</v>
      </c>
      <c r="AL101" s="45" t="n">
        <f aca="false">IF(G101&gt;0,G101,ROUND(F101*Assumptions!$B$18,0))</f>
        <v>1794</v>
      </c>
      <c r="AM101" s="45" t="n">
        <f aca="false">IF(H101="Yes",AL101,MAX(AL101,MIN(Assumptions!$B$20,ROUND(E101*Assumptions!$B$19,0))))</f>
        <v>2080</v>
      </c>
      <c r="AN101" s="47" t="n">
        <f aca="false">(AL101)*AE101-(((D101)+(AL101)*Assumptions!$B$4+IF(H101="Yes",Assumptions!$B$6*(D101),(AL101)*Assumptions!$B$5))*(1+Assumptions!$B$7*(Assumptions!$B$8*(Assumptions!$B$21)*Assumptions!$B$9+Assumptions!$B$10))+(D101)*Assumptions!$B$11*(Assumptions!$B$21)+(AL101)*AE101*(Assumptions!$B$12+Assumptions!$B$13+IF((AL101)*AE101&gt;=Assumptions!$B$16,Assumptions!$B$17,IF((AL101)*AE101&gt;=Assumptions!$B$14,Assumptions!$B$15,0))))</f>
        <v>-1091150.5145</v>
      </c>
      <c r="AO101" s="47" t="n">
        <f aca="false">(AM101)*AE101-(((D101)+(AM101)*Assumptions!$B$4+IF(H101="Yes",Assumptions!$B$6*(D101),(AM101)*Assumptions!$B$5))*(1+Assumptions!$B$7*(Assumptions!$B$8*(IF(AM101&gt;AL101,Assumptions!$B$22,Assumptions!$B$21))*Assumptions!$B$9+Assumptions!$B$10))+(D101)*Assumptions!$B$11*(IF(AM101&gt;AL101,Assumptions!$B$22,Assumptions!$B$21))+(AM101)*AE101*(Assumptions!$B$12+Assumptions!$B$13+IF((AM101)*AE101&gt;=Assumptions!$B$16,Assumptions!$B$17,IF((AM101)*AE101&gt;=Assumptions!$B$14,Assumptions!$B$15,0))))</f>
        <v>-1096327.89</v>
      </c>
      <c r="AP101" s="47" t="n">
        <f aca="false">Assumptions!$B$7*(Q101+R101+S101)</f>
        <v>2096477.5</v>
      </c>
    </row>
    <row r="102" customFormat="false" ht="15" hidden="false" customHeight="false" outlineLevel="0" collapsed="false">
      <c r="A102" s="40" t="n">
        <v>100</v>
      </c>
      <c r="B102" s="40" t="s">
        <v>242</v>
      </c>
      <c r="C102" s="40" t="s">
        <v>126</v>
      </c>
      <c r="D102" s="41" t="n">
        <v>2500000</v>
      </c>
      <c r="E102" s="42" t="n">
        <v>7017</v>
      </c>
      <c r="F102" s="42" t="n">
        <v>1235</v>
      </c>
      <c r="G102" s="42"/>
      <c r="H102" s="43" t="s">
        <v>71</v>
      </c>
      <c r="I102" s="43" t="s">
        <v>80</v>
      </c>
      <c r="J102" s="43" t="s">
        <v>71</v>
      </c>
      <c r="K102" s="44"/>
      <c r="L102" s="45" t="n">
        <f aca="false">IF(AO102&gt;AN102,AM102,AL102)</f>
        <v>2807</v>
      </c>
      <c r="M102" s="40" t="str">
        <f aca="false">IF(AO102&gt;AN102,"Zoning estimate",IF(H102="Yes","Approved plans",IF(G102&gt;0,"Listing claim","110% old house")))</f>
        <v>Zoning estimate</v>
      </c>
      <c r="N102" s="45" t="n">
        <f aca="false">IF(AO102&gt;AN102,IF(AM102&gt;AL102,Assumptions!$B$22,Assumptions!$B$21),Assumptions!$B$21)</f>
        <v>3</v>
      </c>
      <c r="O102" s="46" t="n">
        <f aca="false">(INDEX(Assumptions!$B$36:$B$48,MATCH(AK102,Assumptions!$A$36:$A$48,0))+IF(I102="Yes",Assumptions!$B$23,0)+IF(J102="Yes",Assumptions!$B$24,0))*(1+IF(UPPER(Assumptions!$B$31)="WORST",Assumptions!$B$28,IF(UPPER(Assumptions!$B$31)="BEST",Assumptions!$B$30,Assumptions!$B$29)))</f>
        <v>1540</v>
      </c>
      <c r="P102" s="47" t="n">
        <f aca="false">L102*O102</f>
        <v>4322780</v>
      </c>
      <c r="Q102" s="47" t="n">
        <f aca="false">D102</f>
        <v>2500000</v>
      </c>
      <c r="R102" s="47" t="n">
        <f aca="false">L102*Assumptions!$B$4</f>
        <v>1964900</v>
      </c>
      <c r="S102" s="47" t="n">
        <f aca="false">IF(H102="Yes",Assumptions!$B$6*(D102),(L102)*Assumptions!$B$5)</f>
        <v>210525</v>
      </c>
      <c r="T102" s="47" t="n">
        <f aca="false">AP102*(Assumptions!$B$8*N102*Assumptions!$B$9+Assumptions!$B$10)</f>
        <v>592610.11875</v>
      </c>
      <c r="U102" s="47" t="n">
        <f aca="false">Q102*Assumptions!$B$11*N102</f>
        <v>90000</v>
      </c>
      <c r="V102" s="47" t="n">
        <f aca="false">P102*(Assumptions!$B$12+Assumptions!$B$13)</f>
        <v>175504.868</v>
      </c>
      <c r="W102" s="47" t="n">
        <f aca="false">P102*IF(P102&gt;=Assumptions!$B$16,Assumptions!$B$17,IF(P102&gt;=Assumptions!$B$14,Assumptions!$B$15,0))</f>
        <v>0</v>
      </c>
      <c r="X102" s="48" t="n">
        <f aca="false">SUM(Q102:W102)</f>
        <v>5533539.98675</v>
      </c>
      <c r="Y102" s="48" t="n">
        <f aca="false">P102-X102</f>
        <v>-1210759.98675</v>
      </c>
      <c r="Z102" s="49" t="n">
        <f aca="false">IF(X102=0,0,Y102/X102)</f>
        <v>-0.218803874129246</v>
      </c>
      <c r="AA102" s="47" t="n">
        <f aca="false">MAX(0,(P102/(1+Assumptions!$B$27)-(L102*(Assumptions!$B$4+IF(H102="Yes",0,Assumptions!$B$5)))*(1+(Assumptions!$B$7*(Assumptions!$B$8*N102*Assumptions!$B$9+Assumptions!$B$10)))-P102*(Assumptions!$B$12+Assumptions!$B$13+IF(P102&gt;=Assumptions!$B$16,Assumptions!$B$17,IF(P102&gt;=Assumptions!$B$14,Assumptions!$B$15,0))))/((1+IF(H102="Yes",Assumptions!$B$6,0))*(1+(Assumptions!$B$7*(Assumptions!$B$8*N102*Assumptions!$B$9+Assumptions!$B$10)))+Assumptions!$B$11*N102))</f>
        <v>973789.846213532</v>
      </c>
      <c r="AB102" s="50" t="n">
        <f aca="false">IF(AA102&lt;=0,"no price works",D102/AA102)</f>
        <v>2.56728904056759</v>
      </c>
      <c r="AC102" s="46" t="n">
        <f aca="false">(INDEX(Assumptions!$B$36:$B$48,MATCH(AK102,Assumptions!$A$36:$A$48,0))+IF(I102="Yes",Assumptions!$B$23,0)+IF(J102="Yes",Assumptions!$B$24,0))*(1+Assumptions!$B$28)</f>
        <v>1400</v>
      </c>
      <c r="AD102" s="47" t="n">
        <f aca="false">(L102)*AC102-(((D102)+(L102)*Assumptions!$B$4+IF(H102="Yes",Assumptions!$B$6*(D102),(L102)*Assumptions!$B$5))*(1+Assumptions!$B$7*(Assumptions!$B$8*(N102)*Assumptions!$B$9+Assumptions!$B$10))+(D102)*Assumptions!$B$11*(N102)+(L102)*AC102*(Assumptions!$B$12+Assumptions!$B$13+IF((L102)*AC102&gt;=Assumptions!$B$16,Assumptions!$B$17,IF((L102)*AC102&gt;=Assumptions!$B$14,Assumptions!$B$15,0))))</f>
        <v>-1587784.99875</v>
      </c>
      <c r="AE102" s="46" t="n">
        <f aca="false">(INDEX(Assumptions!$B$36:$B$48,MATCH(AK102,Assumptions!$A$36:$A$48,0))+IF(I102="Yes",Assumptions!$B$23,0)+IF(J102="Yes",Assumptions!$B$24,0))*(1+Assumptions!$B$29)</f>
        <v>1540</v>
      </c>
      <c r="AF102" s="47" t="n">
        <f aca="false">(L102)*AE102-(((D102)+(L102)*Assumptions!$B$4+IF(H102="Yes",Assumptions!$B$6*(D102),(L102)*Assumptions!$B$5))*(1+Assumptions!$B$7*(Assumptions!$B$8*(N102)*Assumptions!$B$9+Assumptions!$B$10))+(D102)*Assumptions!$B$11*(N102)+(L102)*AE102*(Assumptions!$B$12+Assumptions!$B$13+IF((L102)*AE102&gt;=Assumptions!$B$16,Assumptions!$B$17,IF((L102)*AE102&gt;=Assumptions!$B$14,Assumptions!$B$15,0))))</f>
        <v>-1210759.98675</v>
      </c>
      <c r="AG102" s="46" t="n">
        <f aca="false">(INDEX(Assumptions!$B$36:$B$48,MATCH(AK102,Assumptions!$A$36:$A$48,0))+IF(I102="Yes",Assumptions!$B$23,0)+IF(J102="Yes",Assumptions!$B$24,0))*(1+Assumptions!$B$30)</f>
        <v>1680</v>
      </c>
      <c r="AH102" s="47" t="n">
        <f aca="false">(L102)*AG102-(((D102)+(L102)*Assumptions!$B$4+IF(H102="Yes",Assumptions!$B$6*(D102),(L102)*Assumptions!$B$5))*(1+Assumptions!$B$7*(Assumptions!$B$8*(N102)*Assumptions!$B$9+Assumptions!$B$10))+(D102)*Assumptions!$B$11*(N102)+(L102)*AG102*(Assumptions!$B$12+Assumptions!$B$13+IF((L102)*AG102&gt;=Assumptions!$B$16,Assumptions!$B$17,IF((L102)*AG102&gt;=Assumptions!$B$14,Assumptions!$B$15,0))))</f>
        <v>-833734.974749999</v>
      </c>
      <c r="AI102" s="47" t="n">
        <f aca="false">(L102)*AE102-(((D102)+(L102)*Assumptions!$B$25+IF(H102="Yes",Assumptions!$B$6*(D102),(L102)*Assumptions!$B$5))*(1+Assumptions!$B$7*(Assumptions!$B$8*(N102)*Assumptions!$B$9+Assumptions!$B$10))+(D102)*Assumptions!$B$11*(N102)+(L102)*AE102*(Assumptions!$B$12+Assumptions!$B$13+IF((L102)*AE102&gt;=Assumptions!$B$16,Assumptions!$B$17,IF((L102)*AE102&gt;=Assumptions!$B$14,Assumptions!$B$15,0))))</f>
        <v>-1052620.62425</v>
      </c>
      <c r="AJ102" s="47" t="n">
        <f aca="false">(L102)*AE102-(((D102)+(L102)*Assumptions!$B$26+IF(H102="Yes",Assumptions!$B$6*(D102),(L102)*Assumptions!$B$5))*(1+Assumptions!$B$7*(Assumptions!$B$8*(N102)*Assumptions!$B$9+Assumptions!$B$10))+(D102)*Assumptions!$B$11*(N102)+(L102)*AE102*(Assumptions!$B$12+Assumptions!$B$13+IF((L102)*AE102&gt;=Assumptions!$B$16,Assumptions!$B$17,IF((L102)*AE102&gt;=Assumptions!$B$14,Assumptions!$B$15,0))))</f>
        <v>-894481.261749999</v>
      </c>
      <c r="AK102" s="40" t="s">
        <v>128</v>
      </c>
      <c r="AL102" s="45" t="n">
        <f aca="false">IF(G102&gt;0,G102,ROUND(F102*Assumptions!$B$18,0))</f>
        <v>1359</v>
      </c>
      <c r="AM102" s="45" t="n">
        <f aca="false">IF(H102="Yes",AL102,MAX(AL102,MIN(Assumptions!$B$20,ROUND(E102*Assumptions!$B$19,0))))</f>
        <v>2807</v>
      </c>
      <c r="AN102" s="47" t="n">
        <f aca="false">(AL102)*AE102-(((D102)+(AL102)*Assumptions!$B$4+IF(H102="Yes",Assumptions!$B$6*(D102),(AL102)*Assumptions!$B$5))*(1+Assumptions!$B$7*(Assumptions!$B$8*(Assumptions!$B$21)*Assumptions!$B$9+Assumptions!$B$10))+(D102)*Assumptions!$B$11*(Assumptions!$B$21)+(AL102)*AE102*(Assumptions!$B$12+Assumptions!$B$13+IF((AL102)*AE102&gt;=Assumptions!$B$16,Assumptions!$B$17,IF((AL102)*AE102&gt;=Assumptions!$B$14,Assumptions!$B$15,0))))</f>
        <v>-1917130.60975</v>
      </c>
      <c r="AO102" s="47" t="n">
        <f aca="false">(AM102)*AE102-(((D102)+(AM102)*Assumptions!$B$4+IF(H102="Yes",Assumptions!$B$6*(D102),(AM102)*Assumptions!$B$5))*(1+Assumptions!$B$7*(Assumptions!$B$8*(IF(AM102&gt;AL102,Assumptions!$B$22,Assumptions!$B$21))*Assumptions!$B$9+Assumptions!$B$10))+(D102)*Assumptions!$B$11*(IF(AM102&gt;AL102,Assumptions!$B$22,Assumptions!$B$21))+(AM102)*AE102*(Assumptions!$B$12+Assumptions!$B$13+IF((AM102)*AE102&gt;=Assumptions!$B$16,Assumptions!$B$17,IF((AM102)*AE102&gt;=Assumptions!$B$14,Assumptions!$B$15,0))))</f>
        <v>-1210759.98675</v>
      </c>
      <c r="AP102" s="47" t="n">
        <f aca="false">Assumptions!$B$7*(Q102+R102+S102)</f>
        <v>3039026.25</v>
      </c>
    </row>
    <row r="103" customFormat="false" ht="23.85" hidden="false" customHeight="false" outlineLevel="0" collapsed="false">
      <c r="A103" s="40" t="n">
        <v>101</v>
      </c>
      <c r="B103" s="40" t="s">
        <v>243</v>
      </c>
      <c r="C103" s="40" t="s">
        <v>126</v>
      </c>
      <c r="D103" s="41" t="n">
        <v>2395000</v>
      </c>
      <c r="E103" s="42" t="n">
        <v>6501</v>
      </c>
      <c r="F103" s="42" t="n">
        <v>1116</v>
      </c>
      <c r="G103" s="42"/>
      <c r="H103" s="43" t="s">
        <v>71</v>
      </c>
      <c r="I103" s="43" t="s">
        <v>71</v>
      </c>
      <c r="J103" s="43" t="s">
        <v>71</v>
      </c>
      <c r="K103" s="44" t="s">
        <v>244</v>
      </c>
      <c r="L103" s="45" t="n">
        <f aca="false">IF(AO103&gt;AN103,AM103,AL103)</f>
        <v>2600</v>
      </c>
      <c r="M103" s="40" t="str">
        <f aca="false">IF(AO103&gt;AN103,"Zoning estimate",IF(H103="Yes","Approved plans",IF(G103&gt;0,"Listing claim","110% old house")))</f>
        <v>Zoning estimate</v>
      </c>
      <c r="N103" s="45" t="n">
        <f aca="false">IF(AO103&gt;AN103,IF(AM103&gt;AL103,Assumptions!$B$22,Assumptions!$B$21),Assumptions!$B$21)</f>
        <v>3</v>
      </c>
      <c r="O103" s="46" t="n">
        <f aca="false">(INDEX(Assumptions!$B$36:$B$48,MATCH(AK103,Assumptions!$A$36:$A$48,0))+IF(I103="Yes",Assumptions!$B$23,0)+IF(J103="Yes",Assumptions!$B$24,0))*(1+IF(UPPER(Assumptions!$B$31)="WORST",Assumptions!$B$28,IF(UPPER(Assumptions!$B$31)="BEST",Assumptions!$B$30,Assumptions!$B$29)))</f>
        <v>1430</v>
      </c>
      <c r="P103" s="47" t="n">
        <f aca="false">L103*O103</f>
        <v>3718000</v>
      </c>
      <c r="Q103" s="47" t="n">
        <f aca="false">D103</f>
        <v>2395000</v>
      </c>
      <c r="R103" s="47" t="n">
        <f aca="false">L103*Assumptions!$B$4</f>
        <v>1820000</v>
      </c>
      <c r="S103" s="47" t="n">
        <f aca="false">IF(H103="Yes",Assumptions!$B$6*(D103),(L103)*Assumptions!$B$5)</f>
        <v>195000</v>
      </c>
      <c r="T103" s="47" t="n">
        <f aca="false">AP103*(Assumptions!$B$8*N103*Assumptions!$B$9+Assumptions!$B$10)</f>
        <v>558967.5</v>
      </c>
      <c r="U103" s="47" t="n">
        <f aca="false">Q103*Assumptions!$B$11*N103</f>
        <v>86220</v>
      </c>
      <c r="V103" s="47" t="n">
        <f aca="false">P103*(Assumptions!$B$12+Assumptions!$B$13)</f>
        <v>150950.8</v>
      </c>
      <c r="W103" s="47" t="n">
        <f aca="false">P103*IF(P103&gt;=Assumptions!$B$16,Assumptions!$B$17,IF(P103&gt;=Assumptions!$B$14,Assumptions!$B$15,0))</f>
        <v>0</v>
      </c>
      <c r="X103" s="48" t="n">
        <f aca="false">SUM(Q103:W103)</f>
        <v>5206138.3</v>
      </c>
      <c r="Y103" s="48" t="n">
        <f aca="false">P103-X103</f>
        <v>-1488138.3</v>
      </c>
      <c r="Z103" s="49" t="n">
        <f aca="false">IF(X103=0,0,Y103/X103)</f>
        <v>-0.285843021112213</v>
      </c>
      <c r="AA103" s="47" t="n">
        <f aca="false">MAX(0,(P103/(1+Assumptions!$B$27)-(L103*(Assumptions!$B$4+IF(H103="Yes",0,Assumptions!$B$5)))*(1+(Assumptions!$B$7*(Assumptions!$B$8*N103*Assumptions!$B$9+Assumptions!$B$10)))-P103*(Assumptions!$B$12+Assumptions!$B$13+IF(P103&gt;=Assumptions!$B$16,Assumptions!$B$17,IF(P103&gt;=Assumptions!$B$14,Assumptions!$B$15,0))))/((1+IF(H103="Yes",Assumptions!$B$6,0))*(1+(Assumptions!$B$7*(Assumptions!$B$8*N103*Assumptions!$B$9+Assumptions!$B$10)))+Assumptions!$B$11*N103))</f>
        <v>698079.061071486</v>
      </c>
      <c r="AB103" s="50" t="n">
        <f aca="false">IF(AA103&lt;=0,"no price works",D103/AA103)</f>
        <v>3.43084348687368</v>
      </c>
      <c r="AC103" s="46" t="n">
        <f aca="false">(INDEX(Assumptions!$B$36:$B$48,MATCH(AK103,Assumptions!$A$36:$A$48,0))+IF(I103="Yes",Assumptions!$B$23,0)+IF(J103="Yes",Assumptions!$B$24,0))*(1+Assumptions!$B$28)</f>
        <v>1300</v>
      </c>
      <c r="AD103" s="47" t="n">
        <f aca="false">(L103)*AC103-(((D103)+(L103)*Assumptions!$B$4+IF(H103="Yes",Assumptions!$B$6*(D103),(L103)*Assumptions!$B$5))*(1+Assumptions!$B$7*(Assumptions!$B$8*(N103)*Assumptions!$B$9+Assumptions!$B$10))+(D103)*Assumptions!$B$11*(N103)+(L103)*AC103*(Assumptions!$B$12+Assumptions!$B$13+IF((L103)*AC103&gt;=Assumptions!$B$16,Assumptions!$B$17,IF((L103)*AC103&gt;=Assumptions!$B$14,Assumptions!$B$15,0))))</f>
        <v>-1812415.5</v>
      </c>
      <c r="AE103" s="46" t="n">
        <f aca="false">(INDEX(Assumptions!$B$36:$B$48,MATCH(AK103,Assumptions!$A$36:$A$48,0))+IF(I103="Yes",Assumptions!$B$23,0)+IF(J103="Yes",Assumptions!$B$24,0))*(1+Assumptions!$B$29)</f>
        <v>1430</v>
      </c>
      <c r="AF103" s="47" t="n">
        <f aca="false">(L103)*AE103-(((D103)+(L103)*Assumptions!$B$4+IF(H103="Yes",Assumptions!$B$6*(D103),(L103)*Assumptions!$B$5))*(1+Assumptions!$B$7*(Assumptions!$B$8*(N103)*Assumptions!$B$9+Assumptions!$B$10))+(D103)*Assumptions!$B$11*(N103)+(L103)*AE103*(Assumptions!$B$12+Assumptions!$B$13+IF((L103)*AE103&gt;=Assumptions!$B$16,Assumptions!$B$17,IF((L103)*AE103&gt;=Assumptions!$B$14,Assumptions!$B$15,0))))</f>
        <v>-1488138.3</v>
      </c>
      <c r="AG103" s="46" t="n">
        <f aca="false">(INDEX(Assumptions!$B$36:$B$48,MATCH(AK103,Assumptions!$A$36:$A$48,0))+IF(I103="Yes",Assumptions!$B$23,0)+IF(J103="Yes",Assumptions!$B$24,0))*(1+Assumptions!$B$30)</f>
        <v>1560</v>
      </c>
      <c r="AH103" s="47" t="n">
        <f aca="false">(L103)*AG103-(((D103)+(L103)*Assumptions!$B$4+IF(H103="Yes",Assumptions!$B$6*(D103),(L103)*Assumptions!$B$5))*(1+Assumptions!$B$7*(Assumptions!$B$8*(N103)*Assumptions!$B$9+Assumptions!$B$10))+(D103)*Assumptions!$B$11*(N103)+(L103)*AG103*(Assumptions!$B$12+Assumptions!$B$13+IF((L103)*AG103&gt;=Assumptions!$B$16,Assumptions!$B$17,IF((L103)*AG103&gt;=Assumptions!$B$14,Assumptions!$B$15,0))))</f>
        <v>-1163861.1</v>
      </c>
      <c r="AI103" s="47" t="n">
        <f aca="false">(L103)*AE103-(((D103)+(L103)*Assumptions!$B$25+IF(H103="Yes",Assumptions!$B$6*(D103),(L103)*Assumptions!$B$5))*(1+Assumptions!$B$7*(Assumptions!$B$8*(N103)*Assumptions!$B$9+Assumptions!$B$10))+(D103)*Assumptions!$B$11*(N103)+(L103)*AE103*(Assumptions!$B$12+Assumptions!$B$13+IF((L103)*AE103&gt;=Assumptions!$B$16,Assumptions!$B$17,IF((L103)*AE103&gt;=Assumptions!$B$14,Assumptions!$B$15,0))))</f>
        <v>-1341660.8</v>
      </c>
      <c r="AJ103" s="47" t="n">
        <f aca="false">(L103)*AE103-(((D103)+(L103)*Assumptions!$B$26+IF(H103="Yes",Assumptions!$B$6*(D103),(L103)*Assumptions!$B$5))*(1+Assumptions!$B$7*(Assumptions!$B$8*(N103)*Assumptions!$B$9+Assumptions!$B$10))+(D103)*Assumptions!$B$11*(N103)+(L103)*AE103*(Assumptions!$B$12+Assumptions!$B$13+IF((L103)*AE103&gt;=Assumptions!$B$16,Assumptions!$B$17,IF((L103)*AE103&gt;=Assumptions!$B$14,Assumptions!$B$15,0))))</f>
        <v>-1195183.3</v>
      </c>
      <c r="AK103" s="40" t="s">
        <v>128</v>
      </c>
      <c r="AL103" s="45" t="n">
        <f aca="false">IF(G103&gt;0,G103,ROUND(F103*Assumptions!$B$18,0))</f>
        <v>1228</v>
      </c>
      <c r="AM103" s="45" t="n">
        <f aca="false">IF(H103="Yes",AL103,MAX(AL103,MIN(Assumptions!$B$20,ROUND(E103*Assumptions!$B$19,0))))</f>
        <v>2600</v>
      </c>
      <c r="AN103" s="47" t="n">
        <f aca="false">(AL103)*AE103-(((D103)+(AL103)*Assumptions!$B$4+IF(H103="Yes",Assumptions!$B$6*(D103),(AL103)*Assumptions!$B$5))*(1+Assumptions!$B$7*(Assumptions!$B$8*(Assumptions!$B$21)*Assumptions!$B$9+Assumptions!$B$10))+(D103)*Assumptions!$B$11*(Assumptions!$B$21)+(AL103)*AE103*(Assumptions!$B$12+Assumptions!$B$13+IF((AL103)*AE103&gt;=Assumptions!$B$16,Assumptions!$B$17,IF((AL103)*AE103&gt;=Assumptions!$B$14,Assumptions!$B$15,0))))</f>
        <v>-2013108.149</v>
      </c>
      <c r="AO103" s="47" t="n">
        <f aca="false">(AM103)*AE103-(((D103)+(AM103)*Assumptions!$B$4+IF(H103="Yes",Assumptions!$B$6*(D103),(AM103)*Assumptions!$B$5))*(1+Assumptions!$B$7*(Assumptions!$B$8*(IF(AM103&gt;AL103,Assumptions!$B$22,Assumptions!$B$21))*Assumptions!$B$9+Assumptions!$B$10))+(D103)*Assumptions!$B$11*(IF(AM103&gt;AL103,Assumptions!$B$22,Assumptions!$B$21))+(AM103)*AE103*(Assumptions!$B$12+Assumptions!$B$13+IF((AM103)*AE103&gt;=Assumptions!$B$16,Assumptions!$B$17,IF((AM103)*AE103&gt;=Assumptions!$B$14,Assumptions!$B$15,0))))</f>
        <v>-1488138.3</v>
      </c>
      <c r="AP103" s="47" t="n">
        <f aca="false">Assumptions!$B$7*(Q103+R103+S103)</f>
        <v>2866500</v>
      </c>
    </row>
    <row r="104" customFormat="false" ht="15" hidden="false" customHeight="false" outlineLevel="0" collapsed="false">
      <c r="A104" s="40" t="n">
        <v>102</v>
      </c>
      <c r="B104" s="40" t="s">
        <v>245</v>
      </c>
      <c r="C104" s="40" t="s">
        <v>126</v>
      </c>
      <c r="D104" s="41" t="n">
        <v>1895000</v>
      </c>
      <c r="E104" s="42" t="n">
        <v>5197</v>
      </c>
      <c r="F104" s="42" t="n">
        <v>1216</v>
      </c>
      <c r="G104" s="42"/>
      <c r="H104" s="43" t="s">
        <v>71</v>
      </c>
      <c r="I104" s="43" t="s">
        <v>71</v>
      </c>
      <c r="J104" s="43" t="s">
        <v>71</v>
      </c>
      <c r="K104" s="44" t="s">
        <v>246</v>
      </c>
      <c r="L104" s="45" t="n">
        <f aca="false">IF(AO104&gt;AN104,AM104,AL104)</f>
        <v>2079</v>
      </c>
      <c r="M104" s="40" t="str">
        <f aca="false">IF(AO104&gt;AN104,"Zoning estimate",IF(H104="Yes","Approved plans",IF(G104&gt;0,"Listing claim","110% old house")))</f>
        <v>Zoning estimate</v>
      </c>
      <c r="N104" s="45" t="n">
        <f aca="false">IF(AO104&gt;AN104,IF(AM104&gt;AL104,Assumptions!$B$22,Assumptions!$B$21),Assumptions!$B$21)</f>
        <v>3</v>
      </c>
      <c r="O104" s="46" t="n">
        <f aca="false">(INDEX(Assumptions!$B$36:$B$48,MATCH(AK104,Assumptions!$A$36:$A$48,0))+IF(I104="Yes",Assumptions!$B$23,0)+IF(J104="Yes",Assumptions!$B$24,0))*(1+IF(UPPER(Assumptions!$B$31)="WORST",Assumptions!$B$28,IF(UPPER(Assumptions!$B$31)="BEST",Assumptions!$B$30,Assumptions!$B$29)))</f>
        <v>1430</v>
      </c>
      <c r="P104" s="47" t="n">
        <f aca="false">L104*O104</f>
        <v>2972970</v>
      </c>
      <c r="Q104" s="47" t="n">
        <f aca="false">D104</f>
        <v>1895000</v>
      </c>
      <c r="R104" s="47" t="n">
        <f aca="false">L104*Assumptions!$B$4</f>
        <v>1455300</v>
      </c>
      <c r="S104" s="47" t="n">
        <f aca="false">IF(H104="Yes",Assumptions!$B$6*(D104),(L104)*Assumptions!$B$5)</f>
        <v>155925</v>
      </c>
      <c r="T104" s="47" t="n">
        <f aca="false">AP104*(Assumptions!$B$8*N104*Assumptions!$B$9+Assumptions!$B$10)</f>
        <v>444414.01875</v>
      </c>
      <c r="U104" s="47" t="n">
        <f aca="false">Q104*Assumptions!$B$11*N104</f>
        <v>68220</v>
      </c>
      <c r="V104" s="47" t="n">
        <f aca="false">P104*(Assumptions!$B$12+Assumptions!$B$13)</f>
        <v>120702.582</v>
      </c>
      <c r="W104" s="47" t="n">
        <f aca="false">P104*IF(P104&gt;=Assumptions!$B$16,Assumptions!$B$17,IF(P104&gt;=Assumptions!$B$14,Assumptions!$B$15,0))</f>
        <v>0</v>
      </c>
      <c r="X104" s="48" t="n">
        <f aca="false">SUM(Q104:W104)</f>
        <v>4139561.60075</v>
      </c>
      <c r="Y104" s="48" t="n">
        <f aca="false">P104-X104</f>
        <v>-1166591.60075</v>
      </c>
      <c r="Z104" s="49" t="n">
        <f aca="false">IF(X104=0,0,Y104/X104)</f>
        <v>-0.281815253223587</v>
      </c>
      <c r="AA104" s="47" t="n">
        <f aca="false">MAX(0,(P104/(1+Assumptions!$B$27)-(L104*(Assumptions!$B$4+IF(H104="Yes",0,Assumptions!$B$5)))*(1+(Assumptions!$B$7*(Assumptions!$B$8*N104*Assumptions!$B$9+Assumptions!$B$10)))-P104*(Assumptions!$B$12+Assumptions!$B$13+IF(P104&gt;=Assumptions!$B$16,Assumptions!$B$17,IF(P104&gt;=Assumptions!$B$14,Assumptions!$B$15,0))))/((1+IF(H104="Yes",Assumptions!$B$6,0))*(1+(Assumptions!$B$7*(Assumptions!$B$8*N104*Assumptions!$B$9+Assumptions!$B$10)))+Assumptions!$B$11*N104))</f>
        <v>558194.756910623</v>
      </c>
      <c r="AB104" s="50" t="n">
        <f aca="false">IF(AA104&lt;=0,"no price works",D104/AA104)</f>
        <v>3.39487244647019</v>
      </c>
      <c r="AC104" s="46" t="n">
        <f aca="false">(INDEX(Assumptions!$B$36:$B$48,MATCH(AK104,Assumptions!$A$36:$A$48,0))+IF(I104="Yes",Assumptions!$B$23,0)+IF(J104="Yes",Assumptions!$B$24,0))*(1+Assumptions!$B$28)</f>
        <v>1300</v>
      </c>
      <c r="AD104" s="47" t="n">
        <f aca="false">(L104)*AC104-(((D104)+(L104)*Assumptions!$B$4+IF(H104="Yes",Assumptions!$B$6*(D104),(L104)*Assumptions!$B$5))*(1+Assumptions!$B$7*(Assumptions!$B$8*(N104)*Assumptions!$B$9+Assumptions!$B$10))+(D104)*Assumptions!$B$11*(N104)+(L104)*AC104*(Assumptions!$B$12+Assumptions!$B$13+IF((L104)*AC104&gt;=Assumptions!$B$16,Assumptions!$B$17,IF((L104)*AC104&gt;=Assumptions!$B$14,Assumptions!$B$15,0))))</f>
        <v>-1425888.63875</v>
      </c>
      <c r="AE104" s="46" t="n">
        <f aca="false">(INDEX(Assumptions!$B$36:$B$48,MATCH(AK104,Assumptions!$A$36:$A$48,0))+IF(I104="Yes",Assumptions!$B$23,0)+IF(J104="Yes",Assumptions!$B$24,0))*(1+Assumptions!$B$29)</f>
        <v>1430</v>
      </c>
      <c r="AF104" s="47" t="n">
        <f aca="false">(L104)*AE104-(((D104)+(L104)*Assumptions!$B$4+IF(H104="Yes",Assumptions!$B$6*(D104),(L104)*Assumptions!$B$5))*(1+Assumptions!$B$7*(Assumptions!$B$8*(N104)*Assumptions!$B$9+Assumptions!$B$10))+(D104)*Assumptions!$B$11*(N104)+(L104)*AE104*(Assumptions!$B$12+Assumptions!$B$13+IF((L104)*AE104&gt;=Assumptions!$B$16,Assumptions!$B$17,IF((L104)*AE104&gt;=Assumptions!$B$14,Assumptions!$B$15,0))))</f>
        <v>-1166591.60075</v>
      </c>
      <c r="AG104" s="46" t="n">
        <f aca="false">(INDEX(Assumptions!$B$36:$B$48,MATCH(AK104,Assumptions!$A$36:$A$48,0))+IF(I104="Yes",Assumptions!$B$23,0)+IF(J104="Yes",Assumptions!$B$24,0))*(1+Assumptions!$B$30)</f>
        <v>1560</v>
      </c>
      <c r="AH104" s="47" t="n">
        <f aca="false">(L104)*AG104-(((D104)+(L104)*Assumptions!$B$4+IF(H104="Yes",Assumptions!$B$6*(D104),(L104)*Assumptions!$B$5))*(1+Assumptions!$B$7*(Assumptions!$B$8*(N104)*Assumptions!$B$9+Assumptions!$B$10))+(D104)*Assumptions!$B$11*(N104)+(L104)*AG104*(Assumptions!$B$12+Assumptions!$B$13+IF((L104)*AG104&gt;=Assumptions!$B$16,Assumptions!$B$17,IF((L104)*AG104&gt;=Assumptions!$B$14,Assumptions!$B$15,0))))</f>
        <v>-907294.56275</v>
      </c>
      <c r="AI104" s="47" t="n">
        <f aca="false">(L104)*AE104-(((D104)+(L104)*Assumptions!$B$25+IF(H104="Yes",Assumptions!$B$6*(D104),(L104)*Assumptions!$B$5))*(1+Assumptions!$B$7*(Assumptions!$B$8*(N104)*Assumptions!$B$9+Assumptions!$B$10))+(D104)*Assumptions!$B$11*(N104)+(L104)*AE104*(Assumptions!$B$12+Assumptions!$B$13+IF((L104)*AE104&gt;=Assumptions!$B$16,Assumptions!$B$17,IF((L104)*AE104&gt;=Assumptions!$B$14,Assumptions!$B$15,0))))</f>
        <v>-1049465.93825</v>
      </c>
      <c r="AJ104" s="47" t="n">
        <f aca="false">(L104)*AE104-(((D104)+(L104)*Assumptions!$B$26+IF(H104="Yes",Assumptions!$B$6*(D104),(L104)*Assumptions!$B$5))*(1+Assumptions!$B$7*(Assumptions!$B$8*(N104)*Assumptions!$B$9+Assumptions!$B$10))+(D104)*Assumptions!$B$11*(N104)+(L104)*AE104*(Assumptions!$B$12+Assumptions!$B$13+IF((L104)*AE104&gt;=Assumptions!$B$16,Assumptions!$B$17,IF((L104)*AE104&gt;=Assumptions!$B$14,Assumptions!$B$15,0))))</f>
        <v>-932340.275749999</v>
      </c>
      <c r="AK104" s="40" t="s">
        <v>128</v>
      </c>
      <c r="AL104" s="45" t="n">
        <f aca="false">IF(G104&gt;0,G104,ROUND(F104*Assumptions!$B$18,0))</f>
        <v>1338</v>
      </c>
      <c r="AM104" s="45" t="n">
        <f aca="false">IF(H104="Yes",AL104,MAX(AL104,MIN(Assumptions!$B$20,ROUND(E104*Assumptions!$B$19,0))))</f>
        <v>2079</v>
      </c>
      <c r="AN104" s="47" t="n">
        <f aca="false">(AL104)*AE104-(((D104)+(AL104)*Assumptions!$B$4+IF(H104="Yes",Assumptions!$B$6*(D104),(AL104)*Assumptions!$B$5))*(1+Assumptions!$B$7*(Assumptions!$B$8*(Assumptions!$B$21)*Assumptions!$B$9+Assumptions!$B$10))+(D104)*Assumptions!$B$11*(Assumptions!$B$21)+(AL104)*AE104*(Assumptions!$B$12+Assumptions!$B$13+IF((AL104)*AE104&gt;=Assumptions!$B$16,Assumptions!$B$17,IF((AL104)*AE104&gt;=Assumptions!$B$14,Assumptions!$B$15,0))))</f>
        <v>-1399050.2165</v>
      </c>
      <c r="AO104" s="47" t="n">
        <f aca="false">(AM104)*AE104-(((D104)+(AM104)*Assumptions!$B$4+IF(H104="Yes",Assumptions!$B$6*(D104),(AM104)*Assumptions!$B$5))*(1+Assumptions!$B$7*(Assumptions!$B$8*(IF(AM104&gt;AL104,Assumptions!$B$22,Assumptions!$B$21))*Assumptions!$B$9+Assumptions!$B$10))+(D104)*Assumptions!$B$11*(IF(AM104&gt;AL104,Assumptions!$B$22,Assumptions!$B$21))+(AM104)*AE104*(Assumptions!$B$12+Assumptions!$B$13+IF((AM104)*AE104&gt;=Assumptions!$B$16,Assumptions!$B$17,IF((AM104)*AE104&gt;=Assumptions!$B$14,Assumptions!$B$15,0))))</f>
        <v>-1166591.60075</v>
      </c>
      <c r="AP104" s="47" t="n">
        <f aca="false">Assumptions!$B$7*(Q104+R104+S104)</f>
        <v>2279046.25</v>
      </c>
    </row>
    <row r="105" customFormat="false" ht="23.85" hidden="false" customHeight="false" outlineLevel="0" collapsed="false">
      <c r="A105" s="40" t="n">
        <v>103</v>
      </c>
      <c r="B105" s="40" t="s">
        <v>247</v>
      </c>
      <c r="C105" s="40" t="s">
        <v>126</v>
      </c>
      <c r="D105" s="41" t="n">
        <v>3250000</v>
      </c>
      <c r="E105" s="42" t="n">
        <v>11832</v>
      </c>
      <c r="F105" s="42" t="n">
        <v>3602</v>
      </c>
      <c r="G105" s="42"/>
      <c r="H105" s="43" t="s">
        <v>71</v>
      </c>
      <c r="I105" s="43" t="s">
        <v>71</v>
      </c>
      <c r="J105" s="43" t="s">
        <v>71</v>
      </c>
      <c r="K105" s="44" t="s">
        <v>248</v>
      </c>
      <c r="L105" s="45" t="n">
        <f aca="false">IF(AO105&gt;AN105,AM105,AL105)</f>
        <v>4733</v>
      </c>
      <c r="M105" s="40" t="str">
        <f aca="false">IF(AO105&gt;AN105,"Zoning estimate",IF(H105="Yes","Approved plans",IF(G105&gt;0,"Listing claim","110% old house")))</f>
        <v>Zoning estimate</v>
      </c>
      <c r="N105" s="45" t="n">
        <f aca="false">IF(AO105&gt;AN105,IF(AM105&gt;AL105,Assumptions!$B$22,Assumptions!$B$21),Assumptions!$B$21)</f>
        <v>3</v>
      </c>
      <c r="O105" s="46" t="n">
        <f aca="false">(INDEX(Assumptions!$B$36:$B$48,MATCH(AK105,Assumptions!$A$36:$A$48,0))+IF(I105="Yes",Assumptions!$B$23,0)+IF(J105="Yes",Assumptions!$B$24,0))*(1+IF(UPPER(Assumptions!$B$31)="WORST",Assumptions!$B$28,IF(UPPER(Assumptions!$B$31)="BEST",Assumptions!$B$30,Assumptions!$B$29)))</f>
        <v>1430</v>
      </c>
      <c r="P105" s="47" t="n">
        <f aca="false">L105*O105</f>
        <v>6768190</v>
      </c>
      <c r="Q105" s="47" t="n">
        <f aca="false">D105</f>
        <v>3250000</v>
      </c>
      <c r="R105" s="47" t="n">
        <f aca="false">L105*Assumptions!$B$4</f>
        <v>3313100</v>
      </c>
      <c r="S105" s="47" t="n">
        <f aca="false">IF(H105="Yes",Assumptions!$B$6*(D105),(L105)*Assumptions!$B$5)</f>
        <v>354975</v>
      </c>
      <c r="T105" s="47" t="n">
        <f aca="false">AP105*(Assumptions!$B$8*N105*Assumptions!$B$9+Assumptions!$B$10)</f>
        <v>876866.00625</v>
      </c>
      <c r="U105" s="47" t="n">
        <f aca="false">Q105*Assumptions!$B$11*N105</f>
        <v>117000</v>
      </c>
      <c r="V105" s="47" t="n">
        <f aca="false">P105*(Assumptions!$B$12+Assumptions!$B$13)</f>
        <v>274788.514</v>
      </c>
      <c r="W105" s="47" t="n">
        <f aca="false">P105*IF(P105&gt;=Assumptions!$B$16,Assumptions!$B$17,IF(P105&gt;=Assumptions!$B$14,Assumptions!$B$15,0))</f>
        <v>270727.6</v>
      </c>
      <c r="X105" s="48" t="n">
        <f aca="false">SUM(Q105:W105)</f>
        <v>8457457.12025</v>
      </c>
      <c r="Y105" s="48" t="n">
        <f aca="false">P105-X105</f>
        <v>-1689267.12025</v>
      </c>
      <c r="Z105" s="49" t="n">
        <f aca="false">IF(X105=0,0,Y105/X105)</f>
        <v>-0.199737000877643</v>
      </c>
      <c r="AA105" s="47" t="n">
        <f aca="false">MAX(0,(P105/(1+Assumptions!$B$27)-(L105*(Assumptions!$B$4+IF(H105="Yes",0,Assumptions!$B$5)))*(1+(Assumptions!$B$7*(Assumptions!$B$8*N105*Assumptions!$B$9+Assumptions!$B$10)))-P105*(Assumptions!$B$12+Assumptions!$B$13+IF(P105&gt;=Assumptions!$B$16,Assumptions!$B$17,IF(P105&gt;=Assumptions!$B$14,Assumptions!$B$15,0))))/((1+IF(H105="Yes",Assumptions!$B$6,0))*(1+(Assumptions!$B$7*(Assumptions!$B$8*N105*Assumptions!$B$9+Assumptions!$B$10)))+Assumptions!$B$11*N105))</f>
        <v>1037938.49791069</v>
      </c>
      <c r="AB105" s="50" t="n">
        <f aca="false">IF(AA105&lt;=0,"no price works",D105/AA105)</f>
        <v>3.13120672038089</v>
      </c>
      <c r="AC105" s="46" t="n">
        <f aca="false">(INDEX(Assumptions!$B$36:$B$48,MATCH(AK105,Assumptions!$A$36:$A$48,0))+IF(I105="Yes",Assumptions!$B$23,0)+IF(J105="Yes",Assumptions!$B$24,0))*(1+Assumptions!$B$28)</f>
        <v>1300</v>
      </c>
      <c r="AD105" s="47" t="n">
        <f aca="false">(L105)*AC105-(((D105)+(L105)*Assumptions!$B$4+IF(H105="Yes",Assumptions!$B$6*(D105),(L105)*Assumptions!$B$5))*(1+Assumptions!$B$7*(Assumptions!$B$8*(N105)*Assumptions!$B$9+Assumptions!$B$10))+(D105)*Assumptions!$B$11*(N105)+(L105)*AC105*(Assumptions!$B$12+Assumptions!$B$13+IF((L105)*AC105&gt;=Assumptions!$B$16,Assumptions!$B$17,IF((L105)*AC105&gt;=Assumptions!$B$14,Assumptions!$B$15,0))))</f>
        <v>-2254964.74625</v>
      </c>
      <c r="AE105" s="46" t="n">
        <f aca="false">(INDEX(Assumptions!$B$36:$B$48,MATCH(AK105,Assumptions!$A$36:$A$48,0))+IF(I105="Yes",Assumptions!$B$23,0)+IF(J105="Yes",Assumptions!$B$24,0))*(1+Assumptions!$B$29)</f>
        <v>1430</v>
      </c>
      <c r="AF105" s="47" t="n">
        <f aca="false">(L105)*AE105-(((D105)+(L105)*Assumptions!$B$4+IF(H105="Yes",Assumptions!$B$6*(D105),(L105)*Assumptions!$B$5))*(1+Assumptions!$B$7*(Assumptions!$B$8*(N105)*Assumptions!$B$9+Assumptions!$B$10))+(D105)*Assumptions!$B$11*(N105)+(L105)*AE105*(Assumptions!$B$12+Assumptions!$B$13+IF((L105)*AE105&gt;=Assumptions!$B$16,Assumptions!$B$17,IF((L105)*AE105&gt;=Assumptions!$B$14,Assumptions!$B$15,0))))</f>
        <v>-1689267.12025</v>
      </c>
      <c r="AG105" s="46" t="n">
        <f aca="false">(INDEX(Assumptions!$B$36:$B$48,MATCH(AK105,Assumptions!$A$36:$A$48,0))+IF(I105="Yes",Assumptions!$B$23,0)+IF(J105="Yes",Assumptions!$B$24,0))*(1+Assumptions!$B$30)</f>
        <v>1560</v>
      </c>
      <c r="AH105" s="47" t="n">
        <f aca="false">(L105)*AG105-(((D105)+(L105)*Assumptions!$B$4+IF(H105="Yes",Assumptions!$B$6*(D105),(L105)*Assumptions!$B$5))*(1+Assumptions!$B$7*(Assumptions!$B$8*(N105)*Assumptions!$B$9+Assumptions!$B$10))+(D105)*Assumptions!$B$11*(N105)+(L105)*AG105*(Assumptions!$B$12+Assumptions!$B$13+IF((L105)*AG105&gt;=Assumptions!$B$16,Assumptions!$B$17,IF((L105)*AG105&gt;=Assumptions!$B$14,Assumptions!$B$15,0))))</f>
        <v>-1123569.49425</v>
      </c>
      <c r="AI105" s="47" t="n">
        <f aca="false">(L105)*AE105-(((D105)+(L105)*Assumptions!$B$25+IF(H105="Yes",Assumptions!$B$6*(D105),(L105)*Assumptions!$B$5))*(1+Assumptions!$B$7*(Assumptions!$B$8*(N105)*Assumptions!$B$9+Assumptions!$B$10))+(D105)*Assumptions!$B$11*(N105)+(L105)*AE105*(Assumptions!$B$12+Assumptions!$B$13+IF((L105)*AE105&gt;=Assumptions!$B$16,Assumptions!$B$17,IF((L105)*AE105&gt;=Assumptions!$B$14,Assumptions!$B$15,0))))</f>
        <v>-1422621.73275</v>
      </c>
      <c r="AJ105" s="47" t="n">
        <f aca="false">(L105)*AE105-(((D105)+(L105)*Assumptions!$B$26+IF(H105="Yes",Assumptions!$B$6*(D105),(L105)*Assumptions!$B$5))*(1+Assumptions!$B$7*(Assumptions!$B$8*(N105)*Assumptions!$B$9+Assumptions!$B$10))+(D105)*Assumptions!$B$11*(N105)+(L105)*AE105*(Assumptions!$B$12+Assumptions!$B$13+IF((L105)*AE105&gt;=Assumptions!$B$16,Assumptions!$B$17,IF((L105)*AE105&gt;=Assumptions!$B$14,Assumptions!$B$15,0))))</f>
        <v>-1155976.34525</v>
      </c>
      <c r="AK105" s="40" t="s">
        <v>128</v>
      </c>
      <c r="AL105" s="45" t="n">
        <f aca="false">IF(G105&gt;0,G105,ROUND(F105*Assumptions!$B$18,0))</f>
        <v>3962</v>
      </c>
      <c r="AM105" s="45" t="n">
        <f aca="false">IF(H105="Yes",AL105,MAX(AL105,MIN(Assumptions!$B$20,ROUND(E105*Assumptions!$B$19,0))))</f>
        <v>4733</v>
      </c>
      <c r="AN105" s="47" t="n">
        <f aca="false">(AL105)*AE105-(((D105)+(AL105)*Assumptions!$B$4+IF(H105="Yes",Assumptions!$B$6*(D105),(AL105)*Assumptions!$B$5))*(1+Assumptions!$B$7*(Assumptions!$B$8*(Assumptions!$B$21)*Assumptions!$B$9+Assumptions!$B$10))+(D105)*Assumptions!$B$11*(Assumptions!$B$21)+(AL105)*AE105*(Assumptions!$B$12+Assumptions!$B$13+IF((AL105)*AE105&gt;=Assumptions!$B$16,Assumptions!$B$17,IF((AL105)*AE105&gt;=Assumptions!$B$14,Assumptions!$B$15,0))))</f>
        <v>-1744170.4585</v>
      </c>
      <c r="AO105" s="47" t="n">
        <f aca="false">(AM105)*AE105-(((D105)+(AM105)*Assumptions!$B$4+IF(H105="Yes",Assumptions!$B$6*(D105),(AM105)*Assumptions!$B$5))*(1+Assumptions!$B$7*(Assumptions!$B$8*(IF(AM105&gt;AL105,Assumptions!$B$22,Assumptions!$B$21))*Assumptions!$B$9+Assumptions!$B$10))+(D105)*Assumptions!$B$11*(IF(AM105&gt;AL105,Assumptions!$B$22,Assumptions!$B$21))+(AM105)*AE105*(Assumptions!$B$12+Assumptions!$B$13+IF((AM105)*AE105&gt;=Assumptions!$B$16,Assumptions!$B$17,IF((AM105)*AE105&gt;=Assumptions!$B$14,Assumptions!$B$15,0))))</f>
        <v>-1689267.12025</v>
      </c>
      <c r="AP105" s="47" t="n">
        <f aca="false">Assumptions!$B$7*(Q105+R105+S105)</f>
        <v>4496748.75</v>
      </c>
    </row>
    <row r="106" customFormat="false" ht="15" hidden="false" customHeight="false" outlineLevel="0" collapsed="false">
      <c r="A106" s="40" t="n">
        <v>104</v>
      </c>
      <c r="B106" s="40" t="s">
        <v>249</v>
      </c>
      <c r="C106" s="40" t="s">
        <v>202</v>
      </c>
      <c r="D106" s="41" t="n">
        <v>1850000</v>
      </c>
      <c r="E106" s="42" t="n">
        <v>7165</v>
      </c>
      <c r="F106" s="42" t="n">
        <v>2028</v>
      </c>
      <c r="G106" s="42"/>
      <c r="H106" s="43" t="s">
        <v>71</v>
      </c>
      <c r="I106" s="43" t="s">
        <v>80</v>
      </c>
      <c r="J106" s="43" t="s">
        <v>71</v>
      </c>
      <c r="K106" s="44"/>
      <c r="L106" s="45" t="n">
        <f aca="false">IF(AO106&gt;AN106,AM106,AL106)</f>
        <v>2866</v>
      </c>
      <c r="M106" s="40" t="str">
        <f aca="false">IF(AO106&gt;AN106,"Zoning estimate",IF(H106="Yes","Approved plans",IF(G106&gt;0,"Listing claim","110% old house")))</f>
        <v>Zoning estimate</v>
      </c>
      <c r="N106" s="45" t="n">
        <f aca="false">IF(AO106&gt;AN106,IF(AM106&gt;AL106,Assumptions!$B$22,Assumptions!$B$21),Assumptions!$B$21)</f>
        <v>3</v>
      </c>
      <c r="O106" s="46" t="n">
        <f aca="false">(INDEX(Assumptions!$B$36:$B$48,MATCH(AK106,Assumptions!$A$36:$A$48,0))+IF(I106="Yes",Assumptions!$B$23,0)+IF(J106="Yes",Assumptions!$B$24,0))*(1+IF(UPPER(Assumptions!$B$31)="WORST",Assumptions!$B$28,IF(UPPER(Assumptions!$B$31)="BEST",Assumptions!$B$30,Assumptions!$B$29)))</f>
        <v>1430</v>
      </c>
      <c r="P106" s="47" t="n">
        <f aca="false">L106*O106</f>
        <v>4098380</v>
      </c>
      <c r="Q106" s="47" t="n">
        <f aca="false">D106</f>
        <v>1850000</v>
      </c>
      <c r="R106" s="47" t="n">
        <f aca="false">L106*Assumptions!$B$4</f>
        <v>2006200</v>
      </c>
      <c r="S106" s="47" t="n">
        <f aca="false">IF(H106="Yes",Assumptions!$B$6*(D106),(L106)*Assumptions!$B$5)</f>
        <v>214950</v>
      </c>
      <c r="T106" s="47" t="n">
        <f aca="false">AP106*(Assumptions!$B$8*N106*Assumptions!$B$9+Assumptions!$B$10)</f>
        <v>516018.2625</v>
      </c>
      <c r="U106" s="47" t="n">
        <f aca="false">Q106*Assumptions!$B$11*N106</f>
        <v>66600</v>
      </c>
      <c r="V106" s="47" t="n">
        <f aca="false">P106*(Assumptions!$B$12+Assumptions!$B$13)</f>
        <v>166394.228</v>
      </c>
      <c r="W106" s="47" t="n">
        <f aca="false">P106*IF(P106&gt;=Assumptions!$B$16,Assumptions!$B$17,IF(P106&gt;=Assumptions!$B$14,Assumptions!$B$15,0))</f>
        <v>0</v>
      </c>
      <c r="X106" s="48" t="n">
        <f aca="false">SUM(Q106:W106)</f>
        <v>4820162.4905</v>
      </c>
      <c r="Y106" s="48" t="n">
        <f aca="false">P106-X106</f>
        <v>-721782.4905</v>
      </c>
      <c r="Z106" s="49" t="n">
        <f aca="false">IF(X106=0,0,Y106/X106)</f>
        <v>-0.149742356595354</v>
      </c>
      <c r="AA106" s="47" t="n">
        <f aca="false">MAX(0,(P106/(1+Assumptions!$B$27)-(L106*(Assumptions!$B$4+IF(H106="Yes",0,Assumptions!$B$5)))*(1+(Assumptions!$B$7*(Assumptions!$B$8*N106*Assumptions!$B$9+Assumptions!$B$10)))-P106*(Assumptions!$B$12+Assumptions!$B$13+IF(P106&gt;=Assumptions!$B$16,Assumptions!$B$17,IF(P106&gt;=Assumptions!$B$14,Assumptions!$B$15,0))))/((1+IF(H106="Yes",Assumptions!$B$6,0))*(1+(Assumptions!$B$7*(Assumptions!$B$8*N106*Assumptions!$B$9+Assumptions!$B$10)))+Assumptions!$B$11*N106))</f>
        <v>769497.918858031</v>
      </c>
      <c r="AB106" s="50" t="n">
        <f aca="false">IF(AA106&lt;=0,"no price works",D106/AA106)</f>
        <v>2.40416504666508</v>
      </c>
      <c r="AC106" s="46" t="n">
        <f aca="false">(INDEX(Assumptions!$B$36:$B$48,MATCH(AK106,Assumptions!$A$36:$A$48,0))+IF(I106="Yes",Assumptions!$B$23,0)+IF(J106="Yes",Assumptions!$B$24,0))*(1+Assumptions!$B$28)</f>
        <v>1300</v>
      </c>
      <c r="AD106" s="47" t="n">
        <f aca="false">(L106)*AC106-(((D106)+(L106)*Assumptions!$B$4+IF(H106="Yes",Assumptions!$B$6*(D106),(L106)*Assumptions!$B$5))*(1+Assumptions!$B$7*(Assumptions!$B$8*(N106)*Assumptions!$B$9+Assumptions!$B$10))+(D106)*Assumptions!$B$11*(N106)+(L106)*AC106*(Assumptions!$B$12+Assumptions!$B$13+IF((L106)*AC106&gt;=Assumptions!$B$16,Assumptions!$B$17,IF((L106)*AC106&gt;=Assumptions!$B$14,Assumptions!$B$15,0))))</f>
        <v>-1079235.7425</v>
      </c>
      <c r="AE106" s="46" t="n">
        <f aca="false">(INDEX(Assumptions!$B$36:$B$48,MATCH(AK106,Assumptions!$A$36:$A$48,0))+IF(I106="Yes",Assumptions!$B$23,0)+IF(J106="Yes",Assumptions!$B$24,0))*(1+Assumptions!$B$29)</f>
        <v>1430</v>
      </c>
      <c r="AF106" s="47" t="n">
        <f aca="false">(L106)*AE106-(((D106)+(L106)*Assumptions!$B$4+IF(H106="Yes",Assumptions!$B$6*(D106),(L106)*Assumptions!$B$5))*(1+Assumptions!$B$7*(Assumptions!$B$8*(N106)*Assumptions!$B$9+Assumptions!$B$10))+(D106)*Assumptions!$B$11*(N106)+(L106)*AE106*(Assumptions!$B$12+Assumptions!$B$13+IF((L106)*AE106&gt;=Assumptions!$B$16,Assumptions!$B$17,IF((L106)*AE106&gt;=Assumptions!$B$14,Assumptions!$B$15,0))))</f>
        <v>-721782.490499999</v>
      </c>
      <c r="AG106" s="46" t="n">
        <f aca="false">(INDEX(Assumptions!$B$36:$B$48,MATCH(AK106,Assumptions!$A$36:$A$48,0))+IF(I106="Yes",Assumptions!$B$23,0)+IF(J106="Yes",Assumptions!$B$24,0))*(1+Assumptions!$B$30)</f>
        <v>1560</v>
      </c>
      <c r="AH106" s="47" t="n">
        <f aca="false">(L106)*AG106-(((D106)+(L106)*Assumptions!$B$4+IF(H106="Yes",Assumptions!$B$6*(D106),(L106)*Assumptions!$B$5))*(1+Assumptions!$B$7*(Assumptions!$B$8*(N106)*Assumptions!$B$9+Assumptions!$B$10))+(D106)*Assumptions!$B$11*(N106)+(L106)*AG106*(Assumptions!$B$12+Assumptions!$B$13+IF((L106)*AG106&gt;=Assumptions!$B$16,Assumptions!$B$17,IF((L106)*AG106&gt;=Assumptions!$B$14,Assumptions!$B$15,0))))</f>
        <v>-364329.238499999</v>
      </c>
      <c r="AI106" s="47" t="n">
        <f aca="false">(L106)*AE106-(((D106)+(L106)*Assumptions!$B$25+IF(H106="Yes",Assumptions!$B$6*(D106),(L106)*Assumptions!$B$5))*(1+Assumptions!$B$7*(Assumptions!$B$8*(N106)*Assumptions!$B$9+Assumptions!$B$10))+(D106)*Assumptions!$B$11*(N106)+(L106)*AE106*(Assumptions!$B$12+Assumptions!$B$13+IF((L106)*AE106&gt;=Assumptions!$B$16,Assumptions!$B$17,IF((L106)*AE106&gt;=Assumptions!$B$14,Assumptions!$B$15,0))))</f>
        <v>-560319.2155</v>
      </c>
      <c r="AJ106" s="47" t="n">
        <f aca="false">(L106)*AE106-(((D106)+(L106)*Assumptions!$B$26+IF(H106="Yes",Assumptions!$B$6*(D106),(L106)*Assumptions!$B$5))*(1+Assumptions!$B$7*(Assumptions!$B$8*(N106)*Assumptions!$B$9+Assumptions!$B$10))+(D106)*Assumptions!$B$11*(N106)+(L106)*AE106*(Assumptions!$B$12+Assumptions!$B$13+IF((L106)*AE106&gt;=Assumptions!$B$16,Assumptions!$B$17,IF((L106)*AE106&gt;=Assumptions!$B$14,Assumptions!$B$15,0))))</f>
        <v>-398855.940499999</v>
      </c>
      <c r="AK106" s="40" t="s">
        <v>203</v>
      </c>
      <c r="AL106" s="45" t="n">
        <f aca="false">IF(G106&gt;0,G106,ROUND(F106*Assumptions!$B$18,0))</f>
        <v>2231</v>
      </c>
      <c r="AM106" s="45" t="n">
        <f aca="false">IF(H106="Yes",AL106,MAX(AL106,MIN(Assumptions!$B$20,ROUND(E106*Assumptions!$B$19,0))))</f>
        <v>2866</v>
      </c>
      <c r="AN106" s="47" t="n">
        <f aca="false">(AL106)*AE106-(((D106)+(AL106)*Assumptions!$B$4+IF(H106="Yes",Assumptions!$B$6*(D106),(AL106)*Assumptions!$B$5))*(1+Assumptions!$B$7*(Assumptions!$B$8*(Assumptions!$B$21)*Assumptions!$B$9+Assumptions!$B$10))+(D106)*Assumptions!$B$11*(Assumptions!$B$21)+(AL106)*AE106*(Assumptions!$B$12+Assumptions!$B$13+IF((AL106)*AE106&gt;=Assumptions!$B$16,Assumptions!$B$17,IF((AL106)*AE106&gt;=Assumptions!$B$14,Assumptions!$B$15,0))))</f>
        <v>-876681.84175</v>
      </c>
      <c r="AO106" s="47" t="n">
        <f aca="false">(AM106)*AE106-(((D106)+(AM106)*Assumptions!$B$4+IF(H106="Yes",Assumptions!$B$6*(D106),(AM106)*Assumptions!$B$5))*(1+Assumptions!$B$7*(Assumptions!$B$8*(IF(AM106&gt;AL106,Assumptions!$B$22,Assumptions!$B$21))*Assumptions!$B$9+Assumptions!$B$10))+(D106)*Assumptions!$B$11*(IF(AM106&gt;AL106,Assumptions!$B$22,Assumptions!$B$21))+(AM106)*AE106*(Assumptions!$B$12+Assumptions!$B$13+IF((AM106)*AE106&gt;=Assumptions!$B$16,Assumptions!$B$17,IF((AM106)*AE106&gt;=Assumptions!$B$14,Assumptions!$B$15,0))))</f>
        <v>-721782.490499999</v>
      </c>
      <c r="AP106" s="47" t="n">
        <f aca="false">Assumptions!$B$7*(Q106+R106+S106)</f>
        <v>2646247.5</v>
      </c>
    </row>
    <row r="107" customFormat="false" ht="15" hidden="false" customHeight="false" outlineLevel="0" collapsed="false">
      <c r="A107" s="40" t="n">
        <v>105</v>
      </c>
      <c r="B107" s="40" t="s">
        <v>250</v>
      </c>
      <c r="C107" s="40" t="s">
        <v>202</v>
      </c>
      <c r="D107" s="41" t="n">
        <v>2850000</v>
      </c>
      <c r="E107" s="42" t="n">
        <v>8922</v>
      </c>
      <c r="F107" s="42" t="n">
        <v>4200</v>
      </c>
      <c r="G107" s="42"/>
      <c r="H107" s="43" t="s">
        <v>71</v>
      </c>
      <c r="I107" s="43" t="s">
        <v>71</v>
      </c>
      <c r="J107" s="43" t="s">
        <v>71</v>
      </c>
      <c r="K107" s="44"/>
      <c r="L107" s="45" t="n">
        <f aca="false">IF(AO107&gt;AN107,AM107,AL107)</f>
        <v>4620</v>
      </c>
      <c r="M107" s="40" t="str">
        <f aca="false">IF(AO107&gt;AN107,"Zoning estimate",IF(H107="Yes","Approved plans",IF(G107&gt;0,"Listing claim","110% old house")))</f>
        <v>110% old house</v>
      </c>
      <c r="N107" s="45" t="n">
        <f aca="false">IF(AO107&gt;AN107,IF(AM107&gt;AL107,Assumptions!$B$22,Assumptions!$B$21),Assumptions!$B$21)</f>
        <v>2</v>
      </c>
      <c r="O107" s="46" t="n">
        <f aca="false">(INDEX(Assumptions!$B$36:$B$48,MATCH(AK107,Assumptions!$A$36:$A$48,0))+IF(I107="Yes",Assumptions!$B$23,0)+IF(J107="Yes",Assumptions!$B$24,0))*(1+IF(UPPER(Assumptions!$B$31)="WORST",Assumptions!$B$28,IF(UPPER(Assumptions!$B$31)="BEST",Assumptions!$B$30,Assumptions!$B$29)))</f>
        <v>1320</v>
      </c>
      <c r="P107" s="47" t="n">
        <f aca="false">L107*O107</f>
        <v>6098400</v>
      </c>
      <c r="Q107" s="47" t="n">
        <f aca="false">D107</f>
        <v>2850000</v>
      </c>
      <c r="R107" s="47" t="n">
        <f aca="false">L107*Assumptions!$B$4</f>
        <v>3234000</v>
      </c>
      <c r="S107" s="47" t="n">
        <f aca="false">IF(H107="Yes",Assumptions!$B$6*(D107),(L107)*Assumptions!$B$5)</f>
        <v>346500</v>
      </c>
      <c r="T107" s="47" t="n">
        <f aca="false">AP107*(Assumptions!$B$8*N107*Assumptions!$B$9+Assumptions!$B$10)</f>
        <v>564276.375</v>
      </c>
      <c r="U107" s="47" t="n">
        <f aca="false">Q107*Assumptions!$B$11*N107</f>
        <v>68400</v>
      </c>
      <c r="V107" s="47" t="n">
        <f aca="false">P107*(Assumptions!$B$12+Assumptions!$B$13)</f>
        <v>247595.04</v>
      </c>
      <c r="W107" s="47" t="n">
        <f aca="false">P107*IF(P107&gt;=Assumptions!$B$16,Assumptions!$B$17,IF(P107&gt;=Assumptions!$B$14,Assumptions!$B$15,0))</f>
        <v>243936</v>
      </c>
      <c r="X107" s="48" t="n">
        <f aca="false">SUM(Q107:W107)</f>
        <v>7554707.415</v>
      </c>
      <c r="Y107" s="48" t="n">
        <f aca="false">P107-X107</f>
        <v>-1456307.415</v>
      </c>
      <c r="Z107" s="49" t="n">
        <f aca="false">IF(X107=0,0,Y107/X107)</f>
        <v>-0.192768208614999</v>
      </c>
      <c r="AA107" s="47" t="n">
        <f aca="false">MAX(0,(P107/(1+Assumptions!$B$27)-(L107*(Assumptions!$B$4+IF(H107="Yes",0,Assumptions!$B$5)))*(1+(Assumptions!$B$7*(Assumptions!$B$8*N107*Assumptions!$B$9+Assumptions!$B$10)))-P107*(Assumptions!$B$12+Assumptions!$B$13+IF(P107&gt;=Assumptions!$B$16,Assumptions!$B$17,IF(P107&gt;=Assumptions!$B$14,Assumptions!$B$15,0))))/((1+IF(H107="Yes",Assumptions!$B$6,0))*(1+(Assumptions!$B$7*(Assumptions!$B$8*N107*Assumptions!$B$9+Assumptions!$B$10)))+Assumptions!$B$11*N107))</f>
        <v>824588.807500905</v>
      </c>
      <c r="AB107" s="50" t="n">
        <f aca="false">IF(AA107&lt;=0,"no price works",D107/AA107)</f>
        <v>3.45626811093585</v>
      </c>
      <c r="AC107" s="46" t="n">
        <f aca="false">(INDEX(Assumptions!$B$36:$B$48,MATCH(AK107,Assumptions!$A$36:$A$48,0))+IF(I107="Yes",Assumptions!$B$23,0)+IF(J107="Yes",Assumptions!$B$24,0))*(1+Assumptions!$B$28)</f>
        <v>1200</v>
      </c>
      <c r="AD107" s="47" t="n">
        <f aca="false">(L107)*AC107-(((D107)+(L107)*Assumptions!$B$4+IF(H107="Yes",Assumptions!$B$6*(D107),(L107)*Assumptions!$B$5))*(1+Assumptions!$B$7*(Assumptions!$B$8*(N107)*Assumptions!$B$9+Assumptions!$B$10))+(D107)*Assumptions!$B$11*(N107)+(L107)*AC107*(Assumptions!$B$12+Assumptions!$B$13+IF((L107)*AC107&gt;=Assumptions!$B$16,Assumptions!$B$17,IF((L107)*AC107&gt;=Assumptions!$B$14,Assumptions!$B$15,0))))</f>
        <v>-1966022.775</v>
      </c>
      <c r="AE107" s="46" t="n">
        <f aca="false">(INDEX(Assumptions!$B$36:$B$48,MATCH(AK107,Assumptions!$A$36:$A$48,0))+IF(I107="Yes",Assumptions!$B$23,0)+IF(J107="Yes",Assumptions!$B$24,0))*(1+Assumptions!$B$29)</f>
        <v>1320</v>
      </c>
      <c r="AF107" s="47" t="n">
        <f aca="false">(L107)*AE107-(((D107)+(L107)*Assumptions!$B$4+IF(H107="Yes",Assumptions!$B$6*(D107),(L107)*Assumptions!$B$5))*(1+Assumptions!$B$7*(Assumptions!$B$8*(N107)*Assumptions!$B$9+Assumptions!$B$10))+(D107)*Assumptions!$B$11*(N107)+(L107)*AE107*(Assumptions!$B$12+Assumptions!$B$13+IF((L107)*AE107&gt;=Assumptions!$B$16,Assumptions!$B$17,IF((L107)*AE107&gt;=Assumptions!$B$14,Assumptions!$B$15,0))))</f>
        <v>-1456307.415</v>
      </c>
      <c r="AG107" s="46" t="n">
        <f aca="false">(INDEX(Assumptions!$B$36:$B$48,MATCH(AK107,Assumptions!$A$36:$A$48,0))+IF(I107="Yes",Assumptions!$B$23,0)+IF(J107="Yes",Assumptions!$B$24,0))*(1+Assumptions!$B$30)</f>
        <v>1440</v>
      </c>
      <c r="AH107" s="47" t="n">
        <f aca="false">(L107)*AG107-(((D107)+(L107)*Assumptions!$B$4+IF(H107="Yes",Assumptions!$B$6*(D107),(L107)*Assumptions!$B$5))*(1+Assumptions!$B$7*(Assumptions!$B$8*(N107)*Assumptions!$B$9+Assumptions!$B$10))+(D107)*Assumptions!$B$11*(N107)+(L107)*AG107*(Assumptions!$B$12+Assumptions!$B$13+IF((L107)*AG107&gt;=Assumptions!$B$16,Assumptions!$B$17,IF((L107)*AG107&gt;=Assumptions!$B$14,Assumptions!$B$15,0))))</f>
        <v>-946592.055</v>
      </c>
      <c r="AI107" s="47" t="n">
        <f aca="false">(L107)*AE107-(((D107)+(L107)*Assumptions!$B$25+IF(H107="Yes",Assumptions!$B$6*(D107),(L107)*Assumptions!$B$5))*(1+Assumptions!$B$7*(Assumptions!$B$8*(N107)*Assumptions!$B$9+Assumptions!$B$10))+(D107)*Assumptions!$B$11*(N107)+(L107)*AE107*(Assumptions!$B$12+Assumptions!$B$13+IF((L107)*AE107&gt;=Assumptions!$B$16,Assumptions!$B$17,IF((L107)*AE107&gt;=Assumptions!$B$14,Assumptions!$B$15,0))))</f>
        <v>-1205037.165</v>
      </c>
      <c r="AJ107" s="47" t="n">
        <f aca="false">(L107)*AE107-(((D107)+(L107)*Assumptions!$B$26+IF(H107="Yes",Assumptions!$B$6*(D107),(L107)*Assumptions!$B$5))*(1+Assumptions!$B$7*(Assumptions!$B$8*(N107)*Assumptions!$B$9+Assumptions!$B$10))+(D107)*Assumptions!$B$11*(N107)+(L107)*AE107*(Assumptions!$B$12+Assumptions!$B$13+IF((L107)*AE107&gt;=Assumptions!$B$16,Assumptions!$B$17,IF((L107)*AE107&gt;=Assumptions!$B$14,Assumptions!$B$15,0))))</f>
        <v>-953766.915</v>
      </c>
      <c r="AK107" s="40" t="s">
        <v>203</v>
      </c>
      <c r="AL107" s="45" t="n">
        <f aca="false">IF(G107&gt;0,G107,ROUND(F107*Assumptions!$B$18,0))</f>
        <v>4620</v>
      </c>
      <c r="AM107" s="45" t="n">
        <f aca="false">IF(H107="Yes",AL107,MAX(AL107,MIN(Assumptions!$B$20,ROUND(E107*Assumptions!$B$19,0))))</f>
        <v>4620</v>
      </c>
      <c r="AN107" s="47" t="n">
        <f aca="false">(AL107)*AE107-(((D107)+(AL107)*Assumptions!$B$4+IF(H107="Yes",Assumptions!$B$6*(D107),(AL107)*Assumptions!$B$5))*(1+Assumptions!$B$7*(Assumptions!$B$8*(Assumptions!$B$21)*Assumptions!$B$9+Assumptions!$B$10))+(D107)*Assumptions!$B$11*(Assumptions!$B$21)+(AL107)*AE107*(Assumptions!$B$12+Assumptions!$B$13+IF((AL107)*AE107&gt;=Assumptions!$B$16,Assumptions!$B$17,IF((AL107)*AE107&gt;=Assumptions!$B$14,Assumptions!$B$15,0))))</f>
        <v>-1456307.415</v>
      </c>
      <c r="AO107" s="47" t="n">
        <f aca="false">(AM107)*AE107-(((D107)+(AM107)*Assumptions!$B$4+IF(H107="Yes",Assumptions!$B$6*(D107),(AM107)*Assumptions!$B$5))*(1+Assumptions!$B$7*(Assumptions!$B$8*(IF(AM107&gt;AL107,Assumptions!$B$22,Assumptions!$B$21))*Assumptions!$B$9+Assumptions!$B$10))+(D107)*Assumptions!$B$11*(IF(AM107&gt;AL107,Assumptions!$B$22,Assumptions!$B$21))+(AM107)*AE107*(Assumptions!$B$12+Assumptions!$B$13+IF((AM107)*AE107&gt;=Assumptions!$B$16,Assumptions!$B$17,IF((AM107)*AE107&gt;=Assumptions!$B$14,Assumptions!$B$15,0))))</f>
        <v>-1456307.415</v>
      </c>
      <c r="AP107" s="47" t="n">
        <f aca="false">Assumptions!$B$7*(Q107+R107+S107)</f>
        <v>4179825</v>
      </c>
    </row>
    <row r="108" customFormat="false" ht="15" hidden="false" customHeight="false" outlineLevel="0" collapsed="false">
      <c r="A108" s="40" t="n">
        <v>106</v>
      </c>
      <c r="B108" s="40" t="s">
        <v>251</v>
      </c>
      <c r="C108" s="40" t="s">
        <v>102</v>
      </c>
      <c r="D108" s="41" t="n">
        <v>2690000</v>
      </c>
      <c r="E108" s="42" t="n">
        <v>9820</v>
      </c>
      <c r="F108" s="42" t="n">
        <v>2079</v>
      </c>
      <c r="G108" s="42"/>
      <c r="H108" s="43" t="s">
        <v>71</v>
      </c>
      <c r="I108" s="43" t="s">
        <v>80</v>
      </c>
      <c r="J108" s="43" t="s">
        <v>71</v>
      </c>
      <c r="K108" s="44"/>
      <c r="L108" s="45" t="n">
        <f aca="false">IF(AO108&gt;AN108,AM108,AL108)</f>
        <v>3928</v>
      </c>
      <c r="M108" s="40" t="str">
        <f aca="false">IF(AO108&gt;AN108,"Zoning estimate",IF(H108="Yes","Approved plans",IF(G108&gt;0,"Listing claim","110% old house")))</f>
        <v>Zoning estimate</v>
      </c>
      <c r="N108" s="45" t="n">
        <f aca="false">IF(AO108&gt;AN108,IF(AM108&gt;AL108,Assumptions!$B$22,Assumptions!$B$21),Assumptions!$B$21)</f>
        <v>3</v>
      </c>
      <c r="O108" s="46" t="n">
        <f aca="false">(INDEX(Assumptions!$B$36:$B$48,MATCH(AK108,Assumptions!$A$36:$A$48,0))+IF(I108="Yes",Assumptions!$B$23,0)+IF(J108="Yes",Assumptions!$B$24,0))*(1+IF(UPPER(Assumptions!$B$31)="WORST",Assumptions!$B$28,IF(UPPER(Assumptions!$B$31)="BEST",Assumptions!$B$30,Assumptions!$B$29)))</f>
        <v>1485</v>
      </c>
      <c r="P108" s="47" t="n">
        <f aca="false">L108*O108</f>
        <v>5833080</v>
      </c>
      <c r="Q108" s="47" t="n">
        <f aca="false">D108</f>
        <v>2690000</v>
      </c>
      <c r="R108" s="47" t="n">
        <f aca="false">L108*Assumptions!$B$4</f>
        <v>2749600</v>
      </c>
      <c r="S108" s="47" t="n">
        <f aca="false">IF(H108="Yes",Assumptions!$B$6*(D108),(L108)*Assumptions!$B$5)</f>
        <v>294600</v>
      </c>
      <c r="T108" s="47" t="n">
        <f aca="false">AP108*(Assumptions!$B$8*N108*Assumptions!$B$9+Assumptions!$B$10)</f>
        <v>726809.85</v>
      </c>
      <c r="U108" s="47" t="n">
        <f aca="false">Q108*Assumptions!$B$11*N108</f>
        <v>96840</v>
      </c>
      <c r="V108" s="47" t="n">
        <f aca="false">P108*(Assumptions!$B$12+Assumptions!$B$13)</f>
        <v>236823.048</v>
      </c>
      <c r="W108" s="47" t="n">
        <f aca="false">P108*IF(P108&gt;=Assumptions!$B$16,Assumptions!$B$17,IF(P108&gt;=Assumptions!$B$14,Assumptions!$B$15,0))</f>
        <v>233323.2</v>
      </c>
      <c r="X108" s="48" t="n">
        <f aca="false">SUM(Q108:W108)</f>
        <v>7027996.098</v>
      </c>
      <c r="Y108" s="48" t="n">
        <f aca="false">P108-X108</f>
        <v>-1194916.098</v>
      </c>
      <c r="Z108" s="49" t="n">
        <f aca="false">IF(X108=0,0,Y108/X108)</f>
        <v>-0.170022305268502</v>
      </c>
      <c r="AA108" s="47" t="n">
        <f aca="false">MAX(0,(P108/(1+Assumptions!$B$27)-(L108*(Assumptions!$B$4+IF(H108="Yes",0,Assumptions!$B$5)))*(1+(Assumptions!$B$7*(Assumptions!$B$8*N108*Assumptions!$B$9+Assumptions!$B$10)))-P108*(Assumptions!$B$12+Assumptions!$B$13+IF(P108&gt;=Assumptions!$B$16,Assumptions!$B$17,IF(P108&gt;=Assumptions!$B$14,Assumptions!$B$15,0))))/((1+IF(H108="Yes",Assumptions!$B$6,0))*(1+(Assumptions!$B$7*(Assumptions!$B$8*N108*Assumptions!$B$9+Assumptions!$B$10)))+Assumptions!$B$11*N108))</f>
        <v>1007993.87681004</v>
      </c>
      <c r="AB108" s="50" t="n">
        <f aca="false">IF(AA108&lt;=0,"no price works",D108/AA108)</f>
        <v>2.66866700471728</v>
      </c>
      <c r="AC108" s="46" t="n">
        <f aca="false">(INDEX(Assumptions!$B$36:$B$48,MATCH(AK108,Assumptions!$A$36:$A$48,0))+IF(I108="Yes",Assumptions!$B$23,0)+IF(J108="Yes",Assumptions!$B$24,0))*(1+Assumptions!$B$28)</f>
        <v>1350</v>
      </c>
      <c r="AD108" s="47" t="n">
        <f aca="false">(L108)*AC108-(((D108)+(L108)*Assumptions!$B$4+IF(H108="Yes",Assumptions!$B$6*(D108),(L108)*Assumptions!$B$5))*(1+Assumptions!$B$7*(Assumptions!$B$8*(N108)*Assumptions!$B$9+Assumptions!$B$10))+(D108)*Assumptions!$B$11*(N108)+(L108)*AC108*(Assumptions!$B$12+Assumptions!$B$13+IF((L108)*AC108&gt;=Assumptions!$B$16,Assumptions!$B$17,IF((L108)*AC108&gt;=Assumptions!$B$14,Assumptions!$B$15,0))))</f>
        <v>-1470343.53</v>
      </c>
      <c r="AE108" s="46" t="n">
        <f aca="false">(INDEX(Assumptions!$B$36:$B$48,MATCH(AK108,Assumptions!$A$36:$A$48,0))+IF(I108="Yes",Assumptions!$B$23,0)+IF(J108="Yes",Assumptions!$B$24,0))*(1+Assumptions!$B$29)</f>
        <v>1485</v>
      </c>
      <c r="AF108" s="47" t="n">
        <f aca="false">(L108)*AE108-(((D108)+(L108)*Assumptions!$B$4+IF(H108="Yes",Assumptions!$B$6*(D108),(L108)*Assumptions!$B$5))*(1+Assumptions!$B$7*(Assumptions!$B$8*(N108)*Assumptions!$B$9+Assumptions!$B$10))+(D108)*Assumptions!$B$11*(N108)+(L108)*AE108*(Assumptions!$B$12+Assumptions!$B$13+IF((L108)*AE108&gt;=Assumptions!$B$16,Assumptions!$B$17,IF((L108)*AE108&gt;=Assumptions!$B$14,Assumptions!$B$15,0))))</f>
        <v>-1194916.098</v>
      </c>
      <c r="AG108" s="46" t="n">
        <f aca="false">(INDEX(Assumptions!$B$36:$B$48,MATCH(AK108,Assumptions!$A$36:$A$48,0))+IF(I108="Yes",Assumptions!$B$23,0)+IF(J108="Yes",Assumptions!$B$24,0))*(1+Assumptions!$B$30)</f>
        <v>1620</v>
      </c>
      <c r="AH108" s="47" t="n">
        <f aca="false">(L108)*AG108-(((D108)+(L108)*Assumptions!$B$4+IF(H108="Yes",Assumptions!$B$6*(D108),(L108)*Assumptions!$B$5))*(1+Assumptions!$B$7*(Assumptions!$B$8*(N108)*Assumptions!$B$9+Assumptions!$B$10))+(D108)*Assumptions!$B$11*(N108)+(L108)*AG108*(Assumptions!$B$12+Assumptions!$B$13+IF((L108)*AG108&gt;=Assumptions!$B$16,Assumptions!$B$17,IF((L108)*AG108&gt;=Assumptions!$B$14,Assumptions!$B$15,0))))</f>
        <v>-707376.665999999</v>
      </c>
      <c r="AI108" s="47" t="n">
        <f aca="false">(L108)*AE108-(((D108)+(L108)*Assumptions!$B$25+IF(H108="Yes",Assumptions!$B$6*(D108),(L108)*Assumptions!$B$5))*(1+Assumptions!$B$7*(Assumptions!$B$8*(N108)*Assumptions!$B$9+Assumptions!$B$10))+(D108)*Assumptions!$B$11*(N108)+(L108)*AE108*(Assumptions!$B$12+Assumptions!$B$13+IF((L108)*AE108&gt;=Assumptions!$B$16,Assumptions!$B$17,IF((L108)*AE108&gt;=Assumptions!$B$14,Assumptions!$B$15,0))))</f>
        <v>-973622.397999998</v>
      </c>
      <c r="AJ108" s="47" t="n">
        <f aca="false">(L108)*AE108-(((D108)+(L108)*Assumptions!$B$26+IF(H108="Yes",Assumptions!$B$6*(D108),(L108)*Assumptions!$B$5))*(1+Assumptions!$B$7*(Assumptions!$B$8*(N108)*Assumptions!$B$9+Assumptions!$B$10))+(D108)*Assumptions!$B$11*(N108)+(L108)*AE108*(Assumptions!$B$12+Assumptions!$B$13+IF((L108)*AE108&gt;=Assumptions!$B$16,Assumptions!$B$17,IF((L108)*AE108&gt;=Assumptions!$B$14,Assumptions!$B$15,0))))</f>
        <v>-752328.697999998</v>
      </c>
      <c r="AK108" s="40" t="s">
        <v>104</v>
      </c>
      <c r="AL108" s="45" t="n">
        <f aca="false">IF(G108&gt;0,G108,ROUND(F108*Assumptions!$B$18,0))</f>
        <v>2287</v>
      </c>
      <c r="AM108" s="45" t="n">
        <f aca="false">IF(H108="Yes",AL108,MAX(AL108,MIN(Assumptions!$B$20,ROUND(E108*Assumptions!$B$19,0))))</f>
        <v>3928</v>
      </c>
      <c r="AN108" s="47" t="n">
        <f aca="false">(AL108)*AE108-(((D108)+(AL108)*Assumptions!$B$4+IF(H108="Yes",Assumptions!$B$6*(D108),(AL108)*Assumptions!$B$5))*(1+Assumptions!$B$7*(Assumptions!$B$8*(Assumptions!$B$21)*Assumptions!$B$9+Assumptions!$B$10))+(D108)*Assumptions!$B$11*(Assumptions!$B$21)+(AL108)*AE108*(Assumptions!$B$12+Assumptions!$B$13+IF((AL108)*AE108&gt;=Assumptions!$B$16,Assumptions!$B$17,IF((AL108)*AE108&gt;=Assumptions!$B$14,Assumptions!$B$15,0))))</f>
        <v>-1660253.31075</v>
      </c>
      <c r="AO108" s="47" t="n">
        <f aca="false">(AM108)*AE108-(((D108)+(AM108)*Assumptions!$B$4+IF(H108="Yes",Assumptions!$B$6*(D108),(AM108)*Assumptions!$B$5))*(1+Assumptions!$B$7*(Assumptions!$B$8*(IF(AM108&gt;AL108,Assumptions!$B$22,Assumptions!$B$21))*Assumptions!$B$9+Assumptions!$B$10))+(D108)*Assumptions!$B$11*(IF(AM108&gt;AL108,Assumptions!$B$22,Assumptions!$B$21))+(AM108)*AE108*(Assumptions!$B$12+Assumptions!$B$13+IF((AM108)*AE108&gt;=Assumptions!$B$16,Assumptions!$B$17,IF((AM108)*AE108&gt;=Assumptions!$B$14,Assumptions!$B$15,0))))</f>
        <v>-1194916.098</v>
      </c>
      <c r="AP108" s="47" t="n">
        <f aca="false">Assumptions!$B$7*(Q108+R108+S108)</f>
        <v>3727230</v>
      </c>
    </row>
    <row r="109" customFormat="false" ht="15" hidden="false" customHeight="false" outlineLevel="0" collapsed="false">
      <c r="A109" s="40" t="n">
        <v>107</v>
      </c>
      <c r="B109" s="40" t="s">
        <v>252</v>
      </c>
      <c r="C109" s="40" t="s">
        <v>102</v>
      </c>
      <c r="D109" s="41" t="n">
        <v>4998000</v>
      </c>
      <c r="E109" s="42" t="n">
        <v>37240</v>
      </c>
      <c r="F109" s="42" t="n">
        <v>3213</v>
      </c>
      <c r="G109" s="42"/>
      <c r="H109" s="43" t="s">
        <v>71</v>
      </c>
      <c r="I109" s="43" t="s">
        <v>80</v>
      </c>
      <c r="J109" s="43" t="s">
        <v>80</v>
      </c>
      <c r="K109" s="44"/>
      <c r="L109" s="45" t="n">
        <f aca="false">IF(AO109&gt;AN109,AM109,AL109)</f>
        <v>8000</v>
      </c>
      <c r="M109" s="40" t="str">
        <f aca="false">IF(AO109&gt;AN109,"Zoning estimate",IF(H109="Yes","Approved plans",IF(G109&gt;0,"Listing claim","110% old house")))</f>
        <v>Zoning estimate</v>
      </c>
      <c r="N109" s="45" t="n">
        <f aca="false">IF(AO109&gt;AN109,IF(AM109&gt;AL109,Assumptions!$B$22,Assumptions!$B$21),Assumptions!$B$21)</f>
        <v>3</v>
      </c>
      <c r="O109" s="46" t="n">
        <f aca="false">(INDEX(Assumptions!$B$36:$B$48,MATCH(AK109,Assumptions!$A$36:$A$48,0))+IF(I109="Yes",Assumptions!$B$23,0)+IF(J109="Yes",Assumptions!$B$24,0))*(1+IF(UPPER(Assumptions!$B$31)="WORST",Assumptions!$B$28,IF(UPPER(Assumptions!$B$31)="BEST",Assumptions!$B$30,Assumptions!$B$29)))</f>
        <v>1485</v>
      </c>
      <c r="P109" s="47" t="n">
        <f aca="false">L109*O109</f>
        <v>11880000</v>
      </c>
      <c r="Q109" s="47" t="n">
        <f aca="false">D109</f>
        <v>4998000</v>
      </c>
      <c r="R109" s="47" t="n">
        <f aca="false">L109*Assumptions!$B$4</f>
        <v>5600000</v>
      </c>
      <c r="S109" s="47" t="n">
        <f aca="false">IF(H109="Yes",Assumptions!$B$6*(D109),(L109)*Assumptions!$B$5)</f>
        <v>600000</v>
      </c>
      <c r="T109" s="47" t="n">
        <f aca="false">AP109*(Assumptions!$B$8*N109*Assumptions!$B$9+Assumptions!$B$10)</f>
        <v>1419346.5</v>
      </c>
      <c r="U109" s="47" t="n">
        <f aca="false">Q109*Assumptions!$B$11*N109</f>
        <v>179928</v>
      </c>
      <c r="V109" s="47" t="n">
        <f aca="false">P109*(Assumptions!$B$12+Assumptions!$B$13)</f>
        <v>482328</v>
      </c>
      <c r="W109" s="47" t="n">
        <f aca="false">P109*IF(P109&gt;=Assumptions!$B$16,Assumptions!$B$17,IF(P109&gt;=Assumptions!$B$14,Assumptions!$B$15,0))</f>
        <v>653400</v>
      </c>
      <c r="X109" s="48" t="n">
        <f aca="false">SUM(Q109:W109)</f>
        <v>13933002.5</v>
      </c>
      <c r="Y109" s="48" t="n">
        <f aca="false">P109-X109</f>
        <v>-2053002.5</v>
      </c>
      <c r="Z109" s="49" t="n">
        <f aca="false">IF(X109=0,0,Y109/X109)</f>
        <v>-0.147348175671396</v>
      </c>
      <c r="AA109" s="47" t="n">
        <f aca="false">MAX(0,(P109/(1+Assumptions!$B$27)-(L109*(Assumptions!$B$4+IF(H109="Yes",0,Assumptions!$B$5)))*(1+(Assumptions!$B$7*(Assumptions!$B$8*N109*Assumptions!$B$9+Assumptions!$B$10)))-P109*(Assumptions!$B$12+Assumptions!$B$13+IF(P109&gt;=Assumptions!$B$16,Assumptions!$B$17,IF(P109&gt;=Assumptions!$B$14,Assumptions!$B$15,0))))/((1+IF(H109="Yes",Assumptions!$B$6,0))*(1+(Assumptions!$B$7*(Assumptions!$B$8*N109*Assumptions!$B$9+Assumptions!$B$10)))+Assumptions!$B$11*N109))</f>
        <v>1899683.32195975</v>
      </c>
      <c r="AB109" s="50" t="n">
        <f aca="false">IF(AA109&lt;=0,"no price works",D109/AA109)</f>
        <v>2.6309648256763</v>
      </c>
      <c r="AC109" s="46" t="n">
        <f aca="false">(INDEX(Assumptions!$B$36:$B$48,MATCH(AK109,Assumptions!$A$36:$A$48,0))+IF(I109="Yes",Assumptions!$B$23,0)+IF(J109="Yes",Assumptions!$B$24,0))*(1+Assumptions!$B$28)</f>
        <v>1350</v>
      </c>
      <c r="AD109" s="47" t="n">
        <f aca="false">(L109)*AC109-(((D109)+(L109)*Assumptions!$B$4+IF(H109="Yes",Assumptions!$B$6*(D109),(L109)*Assumptions!$B$5))*(1+Assumptions!$B$7*(Assumptions!$B$8*(N109)*Assumptions!$B$9+Assumptions!$B$10))+(D109)*Assumptions!$B$11*(N109)+(L109)*AC109*(Assumptions!$B$12+Assumptions!$B$13+IF((L109)*AC109&gt;=Assumptions!$B$16,Assumptions!$B$17,IF((L109)*AC109&gt;=Assumptions!$B$14,Assumptions!$B$15,0))))</f>
        <v>-2867754.5</v>
      </c>
      <c r="AE109" s="46" t="n">
        <f aca="false">(INDEX(Assumptions!$B$36:$B$48,MATCH(AK109,Assumptions!$A$36:$A$48,0))+IF(I109="Yes",Assumptions!$B$23,0)+IF(J109="Yes",Assumptions!$B$24,0))*(1+Assumptions!$B$29)</f>
        <v>1485</v>
      </c>
      <c r="AF109" s="47" t="n">
        <f aca="false">(L109)*AE109-(((D109)+(L109)*Assumptions!$B$4+IF(H109="Yes",Assumptions!$B$6*(D109),(L109)*Assumptions!$B$5))*(1+Assumptions!$B$7*(Assumptions!$B$8*(N109)*Assumptions!$B$9+Assumptions!$B$10))+(D109)*Assumptions!$B$11*(N109)+(L109)*AE109*(Assumptions!$B$12+Assumptions!$B$13+IF((L109)*AE109&gt;=Assumptions!$B$16,Assumptions!$B$17,IF((L109)*AE109&gt;=Assumptions!$B$14,Assumptions!$B$15,0))))</f>
        <v>-2053002.5</v>
      </c>
      <c r="AG109" s="46" t="n">
        <f aca="false">(INDEX(Assumptions!$B$36:$B$48,MATCH(AK109,Assumptions!$A$36:$A$48,0))+IF(I109="Yes",Assumptions!$B$23,0)+IF(J109="Yes",Assumptions!$B$24,0))*(1+Assumptions!$B$30)</f>
        <v>1620</v>
      </c>
      <c r="AH109" s="47" t="n">
        <f aca="false">(L109)*AG109-(((D109)+(L109)*Assumptions!$B$4+IF(H109="Yes",Assumptions!$B$6*(D109),(L109)*Assumptions!$B$5))*(1+Assumptions!$B$7*(Assumptions!$B$8*(N109)*Assumptions!$B$9+Assumptions!$B$10))+(D109)*Assumptions!$B$11*(N109)+(L109)*AG109*(Assumptions!$B$12+Assumptions!$B$13+IF((L109)*AG109&gt;=Assumptions!$B$16,Assumptions!$B$17,IF((L109)*AG109&gt;=Assumptions!$B$14,Assumptions!$B$15,0))))</f>
        <v>-1076250.5</v>
      </c>
      <c r="AI109" s="47" t="n">
        <f aca="false">(L109)*AE109-(((D109)+(L109)*Assumptions!$B$25+IF(H109="Yes",Assumptions!$B$6*(D109),(L109)*Assumptions!$B$5))*(1+Assumptions!$B$7*(Assumptions!$B$8*(N109)*Assumptions!$B$9+Assumptions!$B$10))+(D109)*Assumptions!$B$11*(N109)+(L109)*AE109*(Assumptions!$B$12+Assumptions!$B$13+IF((L109)*AE109&gt;=Assumptions!$B$16,Assumptions!$B$17,IF((L109)*AE109&gt;=Assumptions!$B$14,Assumptions!$B$15,0))))</f>
        <v>-1602302.5</v>
      </c>
      <c r="AJ109" s="47" t="n">
        <f aca="false">(L109)*AE109-(((D109)+(L109)*Assumptions!$B$26+IF(H109="Yes",Assumptions!$B$6*(D109),(L109)*Assumptions!$B$5))*(1+Assumptions!$B$7*(Assumptions!$B$8*(N109)*Assumptions!$B$9+Assumptions!$B$10))+(D109)*Assumptions!$B$11*(N109)+(L109)*AE109*(Assumptions!$B$12+Assumptions!$B$13+IF((L109)*AE109&gt;=Assumptions!$B$16,Assumptions!$B$17,IF((L109)*AE109&gt;=Assumptions!$B$14,Assumptions!$B$15,0))))</f>
        <v>-1151602.5</v>
      </c>
      <c r="AK109" s="40" t="s">
        <v>104</v>
      </c>
      <c r="AL109" s="45" t="n">
        <f aca="false">IF(G109&gt;0,G109,ROUND(F109*Assumptions!$B$18,0))</f>
        <v>3534</v>
      </c>
      <c r="AM109" s="45" t="n">
        <f aca="false">IF(H109="Yes",AL109,MAX(AL109,MIN(Assumptions!$B$20,ROUND(E109*Assumptions!$B$19,0))))</f>
        <v>8000</v>
      </c>
      <c r="AN109" s="47" t="n">
        <f aca="false">(AL109)*AE109-(((D109)+(AL109)*Assumptions!$B$4+IF(H109="Yes",Assumptions!$B$6*(D109),(AL109)*Assumptions!$B$5))*(1+Assumptions!$B$7*(Assumptions!$B$8*(Assumptions!$B$21)*Assumptions!$B$9+Assumptions!$B$10))+(D109)*Assumptions!$B$11*(Assumptions!$B$21)+(AL109)*AE109*(Assumptions!$B$12+Assumptions!$B$13+IF((AL109)*AE109&gt;=Assumptions!$B$16,Assumptions!$B$17,IF((AL109)*AE109&gt;=Assumptions!$B$14,Assumptions!$B$15,0))))</f>
        <v>-3500788.9815</v>
      </c>
      <c r="AO109" s="47" t="n">
        <f aca="false">(AM109)*AE109-(((D109)+(AM109)*Assumptions!$B$4+IF(H109="Yes",Assumptions!$B$6*(D109),(AM109)*Assumptions!$B$5))*(1+Assumptions!$B$7*(Assumptions!$B$8*(IF(AM109&gt;AL109,Assumptions!$B$22,Assumptions!$B$21))*Assumptions!$B$9+Assumptions!$B$10))+(D109)*Assumptions!$B$11*(IF(AM109&gt;AL109,Assumptions!$B$22,Assumptions!$B$21))+(AM109)*AE109*(Assumptions!$B$12+Assumptions!$B$13+IF((AM109)*AE109&gt;=Assumptions!$B$16,Assumptions!$B$17,IF((AM109)*AE109&gt;=Assumptions!$B$14,Assumptions!$B$15,0))))</f>
        <v>-2053002.5</v>
      </c>
      <c r="AP109" s="47" t="n">
        <f aca="false">Assumptions!$B$7*(Q109+R109+S109)</f>
        <v>7278700</v>
      </c>
    </row>
    <row r="110" customFormat="false" ht="15" hidden="false" customHeight="false" outlineLevel="0" collapsed="false">
      <c r="A110" s="40" t="n">
        <v>108</v>
      </c>
      <c r="B110" s="40" t="s">
        <v>253</v>
      </c>
      <c r="C110" s="40" t="s">
        <v>254</v>
      </c>
      <c r="D110" s="41" t="n">
        <v>2095000</v>
      </c>
      <c r="E110" s="42" t="n">
        <v>13507</v>
      </c>
      <c r="F110" s="42" t="n">
        <v>4435</v>
      </c>
      <c r="G110" s="42" t="n">
        <v>6328</v>
      </c>
      <c r="H110" s="43" t="s">
        <v>80</v>
      </c>
      <c r="I110" s="43" t="s">
        <v>80</v>
      </c>
      <c r="J110" s="43" t="s">
        <v>80</v>
      </c>
      <c r="K110" s="44" t="s">
        <v>255</v>
      </c>
      <c r="L110" s="45" t="n">
        <f aca="false">IF(AO110&gt;AN110,AM110,AL110)</f>
        <v>6328</v>
      </c>
      <c r="M110" s="40" t="str">
        <f aca="false">IF(AO110&gt;AN110,"Zoning estimate",IF(H110="Yes","Approved plans",IF(G110&gt;0,"Listing claim","110% old house")))</f>
        <v>Approved plans</v>
      </c>
      <c r="N110" s="45" t="n">
        <f aca="false">IF(AO110&gt;AN110,IF(AM110&gt;AL110,Assumptions!$B$22,Assumptions!$B$21),Assumptions!$B$21)</f>
        <v>2</v>
      </c>
      <c r="O110" s="46" t="n">
        <f aca="false">(INDEX(Assumptions!$B$36:$B$48,MATCH(AK110,Assumptions!$A$36:$A$48,0))+IF(I110="Yes",Assumptions!$B$23,0)+IF(J110="Yes",Assumptions!$B$24,0))*(1+IF(UPPER(Assumptions!$B$31)="WORST",Assumptions!$B$28,IF(UPPER(Assumptions!$B$31)="BEST",Assumptions!$B$30,Assumptions!$B$29)))</f>
        <v>1210</v>
      </c>
      <c r="P110" s="47" t="n">
        <f aca="false">L110*O110</f>
        <v>7656880</v>
      </c>
      <c r="Q110" s="47" t="n">
        <f aca="false">D110</f>
        <v>2095000</v>
      </c>
      <c r="R110" s="47" t="n">
        <f aca="false">L110*Assumptions!$B$4</f>
        <v>4429600</v>
      </c>
      <c r="S110" s="47" t="n">
        <f aca="false">IF(H110="Yes",Assumptions!$B$6*(D110),(L110)*Assumptions!$B$5)</f>
        <v>104750</v>
      </c>
      <c r="T110" s="47" t="n">
        <f aca="false">AP110*(Assumptions!$B$8*N110*Assumptions!$B$9+Assumptions!$B$10)</f>
        <v>581725.4625</v>
      </c>
      <c r="U110" s="47" t="n">
        <f aca="false">Q110*Assumptions!$B$11*N110</f>
        <v>50280</v>
      </c>
      <c r="V110" s="47" t="n">
        <f aca="false">P110*(Assumptions!$B$12+Assumptions!$B$13)</f>
        <v>310869.328</v>
      </c>
      <c r="W110" s="47" t="n">
        <f aca="false">P110*IF(P110&gt;=Assumptions!$B$16,Assumptions!$B$17,IF(P110&gt;=Assumptions!$B$14,Assumptions!$B$15,0))</f>
        <v>306275.2</v>
      </c>
      <c r="X110" s="48" t="n">
        <f aca="false">SUM(Q110:W110)</f>
        <v>7878499.9905</v>
      </c>
      <c r="Y110" s="48" t="n">
        <f aca="false">P110-X110</f>
        <v>-221619.9905</v>
      </c>
      <c r="Z110" s="49" t="n">
        <f aca="false">IF(X110=0,0,Y110/X110)</f>
        <v>-0.0281297189524951</v>
      </c>
      <c r="AA110" s="47" t="n">
        <f aca="false">MAX(0,(P110/(1+Assumptions!$B$27)-(L110*(Assumptions!$B$4+IF(H110="Yes",0,Assumptions!$B$5)))*(1+(Assumptions!$B$7*(Assumptions!$B$8*N110*Assumptions!$B$9+Assumptions!$B$10)))-P110*(Assumptions!$B$12+Assumptions!$B$13+IF(P110&gt;=Assumptions!$B$16,Assumptions!$B$17,IF(P110&gt;=Assumptions!$B$14,Assumptions!$B$15,0))))/((1+IF(H110="Yes",Assumptions!$B$6,0))*(1+(Assumptions!$B$7*(Assumptions!$B$8*N110*Assumptions!$B$9+Assumptions!$B$10)))+Assumptions!$B$11*N110))</f>
        <v>1048516.65754607</v>
      </c>
      <c r="AB110" s="50" t="n">
        <f aca="false">IF(AA110&lt;=0,"no price works",D110/AA110)</f>
        <v>1.99806076987189</v>
      </c>
      <c r="AC110" s="46" t="n">
        <f aca="false">(INDEX(Assumptions!$B$36:$B$48,MATCH(AK110,Assumptions!$A$36:$A$48,0))+IF(I110="Yes",Assumptions!$B$23,0)+IF(J110="Yes",Assumptions!$B$24,0))*(1+Assumptions!$B$28)</f>
        <v>1100</v>
      </c>
      <c r="AD110" s="47" t="n">
        <f aca="false">(L110)*AC110-(((D110)+(L110)*Assumptions!$B$4+IF(H110="Yes",Assumptions!$B$6*(D110),(L110)*Assumptions!$B$5))*(1+Assumptions!$B$7*(Assumptions!$B$8*(N110)*Assumptions!$B$9+Assumptions!$B$10))+(D110)*Assumptions!$B$11*(N110)+(L110)*AC110*(Assumptions!$B$12+Assumptions!$B$13+IF((L110)*AC110&gt;=Assumptions!$B$16,Assumptions!$B$17,IF((L110)*AC110&gt;=Assumptions!$B$14,Assumptions!$B$15,0))))</f>
        <v>-861595.942500001</v>
      </c>
      <c r="AE110" s="46" t="n">
        <f aca="false">(INDEX(Assumptions!$B$36:$B$48,MATCH(AK110,Assumptions!$A$36:$A$48,0))+IF(I110="Yes",Assumptions!$B$23,0)+IF(J110="Yes",Assumptions!$B$24,0))*(1+Assumptions!$B$29)</f>
        <v>1210</v>
      </c>
      <c r="AF110" s="47" t="n">
        <f aca="false">(L110)*AE110-(((D110)+(L110)*Assumptions!$B$4+IF(H110="Yes",Assumptions!$B$6*(D110),(L110)*Assumptions!$B$5))*(1+Assumptions!$B$7*(Assumptions!$B$8*(N110)*Assumptions!$B$9+Assumptions!$B$10))+(D110)*Assumptions!$B$11*(N110)+(L110)*AE110*(Assumptions!$B$12+Assumptions!$B$13+IF((L110)*AE110&gt;=Assumptions!$B$16,Assumptions!$B$17,IF((L110)*AE110&gt;=Assumptions!$B$14,Assumptions!$B$15,0))))</f>
        <v>-221619.9905</v>
      </c>
      <c r="AG110" s="46" t="n">
        <f aca="false">(INDEX(Assumptions!$B$36:$B$48,MATCH(AK110,Assumptions!$A$36:$A$48,0))+IF(I110="Yes",Assumptions!$B$23,0)+IF(J110="Yes",Assumptions!$B$24,0))*(1+Assumptions!$B$30)</f>
        <v>1320</v>
      </c>
      <c r="AH110" s="47" t="n">
        <f aca="false">(L110)*AG110-(((D110)+(L110)*Assumptions!$B$4+IF(H110="Yes",Assumptions!$B$6*(D110),(L110)*Assumptions!$B$5))*(1+Assumptions!$B$7*(Assumptions!$B$8*(N110)*Assumptions!$B$9+Assumptions!$B$10))+(D110)*Assumptions!$B$11*(N110)+(L110)*AG110*(Assumptions!$B$12+Assumptions!$B$13+IF((L110)*AG110&gt;=Assumptions!$B$16,Assumptions!$B$17,IF((L110)*AG110&gt;=Assumptions!$B$14,Assumptions!$B$15,0))))</f>
        <v>418355.961499999</v>
      </c>
      <c r="AI110" s="47" t="n">
        <f aca="false">(L110)*AE110-(((D110)+(L110)*Assumptions!$B$25+IF(H110="Yes",Assumptions!$B$6*(D110),(L110)*Assumptions!$B$5))*(1+Assumptions!$B$7*(Assumptions!$B$8*(N110)*Assumptions!$B$9+Assumptions!$B$10))+(D110)*Assumptions!$B$11*(N110)+(L110)*AE110*(Assumptions!$B$12+Assumptions!$B$13+IF((L110)*AE110&gt;=Assumptions!$B$16,Assumptions!$B$17,IF((L110)*AE110&gt;=Assumptions!$B$14,Assumptions!$B$15,0))))</f>
        <v>122544.1095</v>
      </c>
      <c r="AJ110" s="47" t="n">
        <f aca="false">(L110)*AE110-(((D110)+(L110)*Assumptions!$B$26+IF(H110="Yes",Assumptions!$B$6*(D110),(L110)*Assumptions!$B$5))*(1+Assumptions!$B$7*(Assumptions!$B$8*(N110)*Assumptions!$B$9+Assumptions!$B$10))+(D110)*Assumptions!$B$11*(N110)+(L110)*AE110*(Assumptions!$B$12+Assumptions!$B$13+IF((L110)*AE110&gt;=Assumptions!$B$16,Assumptions!$B$17,IF((L110)*AE110&gt;=Assumptions!$B$14,Assumptions!$B$15,0))))</f>
        <v>466708.2095</v>
      </c>
      <c r="AK110" s="40" t="s">
        <v>256</v>
      </c>
      <c r="AL110" s="45" t="n">
        <f aca="false">IF(G110&gt;0,G110,ROUND(F110*Assumptions!$B$18,0))</f>
        <v>6328</v>
      </c>
      <c r="AM110" s="45" t="n">
        <f aca="false">IF(H110="Yes",AL110,MAX(AL110,MIN(Assumptions!$B$20,ROUND(E110*Assumptions!$B$19,0))))</f>
        <v>6328</v>
      </c>
      <c r="AN110" s="47" t="n">
        <f aca="false">(AL110)*AE110-(((D110)+(AL110)*Assumptions!$B$4+IF(H110="Yes",Assumptions!$B$6*(D110),(AL110)*Assumptions!$B$5))*(1+Assumptions!$B$7*(Assumptions!$B$8*(Assumptions!$B$21)*Assumptions!$B$9+Assumptions!$B$10))+(D110)*Assumptions!$B$11*(Assumptions!$B$21)+(AL110)*AE110*(Assumptions!$B$12+Assumptions!$B$13+IF((AL110)*AE110&gt;=Assumptions!$B$16,Assumptions!$B$17,IF((AL110)*AE110&gt;=Assumptions!$B$14,Assumptions!$B$15,0))))</f>
        <v>-221619.9905</v>
      </c>
      <c r="AO110" s="47" t="n">
        <f aca="false">(AM110)*AE110-(((D110)+(AM110)*Assumptions!$B$4+IF(H110="Yes",Assumptions!$B$6*(D110),(AM110)*Assumptions!$B$5))*(1+Assumptions!$B$7*(Assumptions!$B$8*(IF(AM110&gt;AL110,Assumptions!$B$22,Assumptions!$B$21))*Assumptions!$B$9+Assumptions!$B$10))+(D110)*Assumptions!$B$11*(IF(AM110&gt;AL110,Assumptions!$B$22,Assumptions!$B$21))+(AM110)*AE110*(Assumptions!$B$12+Assumptions!$B$13+IF((AM110)*AE110&gt;=Assumptions!$B$16,Assumptions!$B$17,IF((AM110)*AE110&gt;=Assumptions!$B$14,Assumptions!$B$15,0))))</f>
        <v>-221619.9905</v>
      </c>
      <c r="AP110" s="47" t="n">
        <f aca="false">Assumptions!$B$7*(Q110+R110+S110)</f>
        <v>4309077.5</v>
      </c>
    </row>
    <row r="111" customFormat="false" ht="15" hidden="false" customHeight="false" outlineLevel="0" collapsed="false">
      <c r="A111" s="40" t="n">
        <v>109</v>
      </c>
      <c r="B111" s="40" t="s">
        <v>257</v>
      </c>
      <c r="C111" s="40" t="s">
        <v>202</v>
      </c>
      <c r="D111" s="41" t="n">
        <v>2200000</v>
      </c>
      <c r="E111" s="42" t="n">
        <v>6285</v>
      </c>
      <c r="F111" s="42" t="n">
        <v>2106</v>
      </c>
      <c r="G111" s="42"/>
      <c r="H111" s="43" t="s">
        <v>71</v>
      </c>
      <c r="I111" s="43" t="s">
        <v>71</v>
      </c>
      <c r="J111" s="43" t="s">
        <v>71</v>
      </c>
      <c r="K111" s="44"/>
      <c r="L111" s="45" t="n">
        <f aca="false">IF(AO111&gt;AN111,AM111,AL111)</f>
        <v>2317</v>
      </c>
      <c r="M111" s="40" t="str">
        <f aca="false">IF(AO111&gt;AN111,"Zoning estimate",IF(H111="Yes","Approved plans",IF(G111&gt;0,"Listing claim","110% old house")))</f>
        <v>110% old house</v>
      </c>
      <c r="N111" s="45" t="n">
        <f aca="false">IF(AO111&gt;AN111,IF(AM111&gt;AL111,Assumptions!$B$22,Assumptions!$B$21),Assumptions!$B$21)</f>
        <v>2</v>
      </c>
      <c r="O111" s="46" t="n">
        <f aca="false">(INDEX(Assumptions!$B$36:$B$48,MATCH(AK111,Assumptions!$A$36:$A$48,0))+IF(I111="Yes",Assumptions!$B$23,0)+IF(J111="Yes",Assumptions!$B$24,0))*(1+IF(UPPER(Assumptions!$B$31)="WORST",Assumptions!$B$28,IF(UPPER(Assumptions!$B$31)="BEST",Assumptions!$B$30,Assumptions!$B$29)))</f>
        <v>1320</v>
      </c>
      <c r="P111" s="47" t="n">
        <f aca="false">L111*O111</f>
        <v>3058440</v>
      </c>
      <c r="Q111" s="47" t="n">
        <f aca="false">D111</f>
        <v>2200000</v>
      </c>
      <c r="R111" s="47" t="n">
        <f aca="false">L111*Assumptions!$B$4</f>
        <v>1621900</v>
      </c>
      <c r="S111" s="47" t="n">
        <f aca="false">IF(H111="Yes",Assumptions!$B$6*(D111),(L111)*Assumptions!$B$5)</f>
        <v>173775</v>
      </c>
      <c r="T111" s="47" t="n">
        <f aca="false">AP111*(Assumptions!$B$8*N111*Assumptions!$B$9+Assumptions!$B$10)</f>
        <v>350620.48125</v>
      </c>
      <c r="U111" s="47" t="n">
        <f aca="false">Q111*Assumptions!$B$11*N111</f>
        <v>52800</v>
      </c>
      <c r="V111" s="47" t="n">
        <f aca="false">P111*(Assumptions!$B$12+Assumptions!$B$13)</f>
        <v>124172.664</v>
      </c>
      <c r="W111" s="47" t="n">
        <f aca="false">P111*IF(P111&gt;=Assumptions!$B$16,Assumptions!$B$17,IF(P111&gt;=Assumptions!$B$14,Assumptions!$B$15,0))</f>
        <v>0</v>
      </c>
      <c r="X111" s="48" t="n">
        <f aca="false">SUM(Q111:W111)</f>
        <v>4523268.14525</v>
      </c>
      <c r="Y111" s="48" t="n">
        <f aca="false">P111-X111</f>
        <v>-1464828.14525</v>
      </c>
      <c r="Z111" s="49" t="n">
        <f aca="false">IF(X111=0,0,Y111/X111)</f>
        <v>-0.323842871616677</v>
      </c>
      <c r="AA111" s="47" t="n">
        <f aca="false">MAX(0,(P111/(1+Assumptions!$B$27)-(L111*(Assumptions!$B$4+IF(H111="Yes",0,Assumptions!$B$5)))*(1+(Assumptions!$B$7*(Assumptions!$B$8*N111*Assumptions!$B$9+Assumptions!$B$10)))-P111*(Assumptions!$B$12+Assumptions!$B$13+IF(P111&gt;=Assumptions!$B$16,Assumptions!$B$17,IF(P111&gt;=Assumptions!$B$14,Assumptions!$B$15,0))))/((1+IF(H111="Yes",Assumptions!$B$6,0))*(1+(Assumptions!$B$7*(Assumptions!$B$8*N111*Assumptions!$B$9+Assumptions!$B$10)))+Assumptions!$B$11*N111))</f>
        <v>523584.347405677</v>
      </c>
      <c r="AB111" s="50" t="n">
        <f aca="false">IF(AA111&lt;=0,"no price works",D111/AA111)</f>
        <v>4.20180628183566</v>
      </c>
      <c r="AC111" s="46" t="n">
        <f aca="false">(INDEX(Assumptions!$B$36:$B$48,MATCH(AK111,Assumptions!$A$36:$A$48,0))+IF(I111="Yes",Assumptions!$B$23,0)+IF(J111="Yes",Assumptions!$B$24,0))*(1+Assumptions!$B$28)</f>
        <v>1200</v>
      </c>
      <c r="AD111" s="47" t="n">
        <f aca="false">(L111)*AC111-(((D111)+(L111)*Assumptions!$B$4+IF(H111="Yes",Assumptions!$B$6*(D111),(L111)*Assumptions!$B$5))*(1+Assumptions!$B$7*(Assumptions!$B$8*(N111)*Assumptions!$B$9+Assumptions!$B$10))+(D111)*Assumptions!$B$11*(N111)+(L111)*AC111*(Assumptions!$B$12+Assumptions!$B$13+IF((L111)*AC111&gt;=Assumptions!$B$16,Assumptions!$B$17,IF((L111)*AC111&gt;=Assumptions!$B$14,Assumptions!$B$15,0))))</f>
        <v>-1731579.72125</v>
      </c>
      <c r="AE111" s="46" t="n">
        <f aca="false">(INDEX(Assumptions!$B$36:$B$48,MATCH(AK111,Assumptions!$A$36:$A$48,0))+IF(I111="Yes",Assumptions!$B$23,0)+IF(J111="Yes",Assumptions!$B$24,0))*(1+Assumptions!$B$29)</f>
        <v>1320</v>
      </c>
      <c r="AF111" s="47" t="n">
        <f aca="false">(L111)*AE111-(((D111)+(L111)*Assumptions!$B$4+IF(H111="Yes",Assumptions!$B$6*(D111),(L111)*Assumptions!$B$5))*(1+Assumptions!$B$7*(Assumptions!$B$8*(N111)*Assumptions!$B$9+Assumptions!$B$10))+(D111)*Assumptions!$B$11*(N111)+(L111)*AE111*(Assumptions!$B$12+Assumptions!$B$13+IF((L111)*AE111&gt;=Assumptions!$B$16,Assumptions!$B$17,IF((L111)*AE111&gt;=Assumptions!$B$14,Assumptions!$B$15,0))))</f>
        <v>-1464828.14525</v>
      </c>
      <c r="AG111" s="46" t="n">
        <f aca="false">(INDEX(Assumptions!$B$36:$B$48,MATCH(AK111,Assumptions!$A$36:$A$48,0))+IF(I111="Yes",Assumptions!$B$23,0)+IF(J111="Yes",Assumptions!$B$24,0))*(1+Assumptions!$B$30)</f>
        <v>1440</v>
      </c>
      <c r="AH111" s="47" t="n">
        <f aca="false">(L111)*AG111-(((D111)+(L111)*Assumptions!$B$4+IF(H111="Yes",Assumptions!$B$6*(D111),(L111)*Assumptions!$B$5))*(1+Assumptions!$B$7*(Assumptions!$B$8*(N111)*Assumptions!$B$9+Assumptions!$B$10))+(D111)*Assumptions!$B$11*(N111)+(L111)*AG111*(Assumptions!$B$12+Assumptions!$B$13+IF((L111)*AG111&gt;=Assumptions!$B$16,Assumptions!$B$17,IF((L111)*AG111&gt;=Assumptions!$B$14,Assumptions!$B$15,0))))</f>
        <v>-1198076.56925</v>
      </c>
      <c r="AI111" s="47" t="n">
        <f aca="false">(L111)*AE111-(((D111)+(L111)*Assumptions!$B$25+IF(H111="Yes",Assumptions!$B$6*(D111),(L111)*Assumptions!$B$5))*(1+Assumptions!$B$7*(Assumptions!$B$8*(N111)*Assumptions!$B$9+Assumptions!$B$10))+(D111)*Assumptions!$B$11*(N111)+(L111)*AE111*(Assumptions!$B$12+Assumptions!$B$13+IF((L111)*AE111&gt;=Assumptions!$B$16,Assumptions!$B$17,IF((L111)*AE111&gt;=Assumptions!$B$14,Assumptions!$B$15,0))))</f>
        <v>-1338812.30775</v>
      </c>
      <c r="AJ111" s="47" t="n">
        <f aca="false">(L111)*AE111-(((D111)+(L111)*Assumptions!$B$26+IF(H111="Yes",Assumptions!$B$6*(D111),(L111)*Assumptions!$B$5))*(1+Assumptions!$B$7*(Assumptions!$B$8*(N111)*Assumptions!$B$9+Assumptions!$B$10))+(D111)*Assumptions!$B$11*(N111)+(L111)*AE111*(Assumptions!$B$12+Assumptions!$B$13+IF((L111)*AE111&gt;=Assumptions!$B$16,Assumptions!$B$17,IF((L111)*AE111&gt;=Assumptions!$B$14,Assumptions!$B$15,0))))</f>
        <v>-1212796.47025</v>
      </c>
      <c r="AK111" s="40" t="s">
        <v>203</v>
      </c>
      <c r="AL111" s="45" t="n">
        <f aca="false">IF(G111&gt;0,G111,ROUND(F111*Assumptions!$B$18,0))</f>
        <v>2317</v>
      </c>
      <c r="AM111" s="45" t="n">
        <f aca="false">IF(H111="Yes",AL111,MAX(AL111,MIN(Assumptions!$B$20,ROUND(E111*Assumptions!$B$19,0))))</f>
        <v>2514</v>
      </c>
      <c r="AN111" s="47" t="n">
        <f aca="false">(AL111)*AE111-(((D111)+(AL111)*Assumptions!$B$4+IF(H111="Yes",Assumptions!$B$6*(D111),(AL111)*Assumptions!$B$5))*(1+Assumptions!$B$7*(Assumptions!$B$8*(Assumptions!$B$21)*Assumptions!$B$9+Assumptions!$B$10))+(D111)*Assumptions!$B$11*(Assumptions!$B$21)+(AL111)*AE111*(Assumptions!$B$12+Assumptions!$B$13+IF((AL111)*AE111&gt;=Assumptions!$B$16,Assumptions!$B$17,IF((AL111)*AE111&gt;=Assumptions!$B$14,Assumptions!$B$15,0))))</f>
        <v>-1464828.14525</v>
      </c>
      <c r="AO111" s="47" t="n">
        <f aca="false">(AM111)*AE111-(((D111)+(AM111)*Assumptions!$B$4+IF(H111="Yes",Assumptions!$B$6*(D111),(AM111)*Assumptions!$B$5))*(1+Assumptions!$B$7*(Assumptions!$B$8*(IF(AM111&gt;AL111,Assumptions!$B$22,Assumptions!$B$21))*Assumptions!$B$9+Assumptions!$B$10))+(D111)*Assumptions!$B$11*(IF(AM111&gt;AL111,Assumptions!$B$22,Assumptions!$B$21))+(AM111)*AE111*(Assumptions!$B$12+Assumptions!$B$13+IF((AM111)*AE111&gt;=Assumptions!$B$16,Assumptions!$B$17,IF((AM111)*AE111&gt;=Assumptions!$B$14,Assumptions!$B$15,0))))</f>
        <v>-1569603.6505</v>
      </c>
      <c r="AP111" s="47" t="n">
        <f aca="false">Assumptions!$B$7*(Q111+R111+S111)</f>
        <v>2597188.75</v>
      </c>
    </row>
    <row r="112" customFormat="false" ht="15" hidden="false" customHeight="false" outlineLevel="0" collapsed="false">
      <c r="A112" s="40" t="n">
        <v>110</v>
      </c>
      <c r="B112" s="40" t="s">
        <v>258</v>
      </c>
      <c r="C112" s="40" t="s">
        <v>202</v>
      </c>
      <c r="D112" s="41" t="n">
        <v>1995000</v>
      </c>
      <c r="E112" s="42" t="n">
        <v>5658</v>
      </c>
      <c r="F112" s="42" t="n">
        <v>1573</v>
      </c>
      <c r="G112" s="42"/>
      <c r="H112" s="43" t="s">
        <v>71</v>
      </c>
      <c r="I112" s="43" t="s">
        <v>80</v>
      </c>
      <c r="J112" s="43" t="s">
        <v>71</v>
      </c>
      <c r="K112" s="44"/>
      <c r="L112" s="45" t="n">
        <f aca="false">IF(AO112&gt;AN112,AM112,AL112)</f>
        <v>2263</v>
      </c>
      <c r="M112" s="40" t="str">
        <f aca="false">IF(AO112&gt;AN112,"Zoning estimate",IF(H112="Yes","Approved plans",IF(G112&gt;0,"Listing claim","110% old house")))</f>
        <v>Zoning estimate</v>
      </c>
      <c r="N112" s="45" t="n">
        <f aca="false">IF(AO112&gt;AN112,IF(AM112&gt;AL112,Assumptions!$B$22,Assumptions!$B$21),Assumptions!$B$21)</f>
        <v>3</v>
      </c>
      <c r="O112" s="46" t="n">
        <f aca="false">(INDEX(Assumptions!$B$36:$B$48,MATCH(AK112,Assumptions!$A$36:$A$48,0))+IF(I112="Yes",Assumptions!$B$23,0)+IF(J112="Yes",Assumptions!$B$24,0))*(1+IF(UPPER(Assumptions!$B$31)="WORST",Assumptions!$B$28,IF(UPPER(Assumptions!$B$31)="BEST",Assumptions!$B$30,Assumptions!$B$29)))</f>
        <v>1430</v>
      </c>
      <c r="P112" s="47" t="n">
        <f aca="false">L112*O112</f>
        <v>3236090</v>
      </c>
      <c r="Q112" s="47" t="n">
        <f aca="false">D112</f>
        <v>1995000</v>
      </c>
      <c r="R112" s="47" t="n">
        <f aca="false">L112*Assumptions!$B$4</f>
        <v>1584100</v>
      </c>
      <c r="S112" s="47" t="n">
        <f aca="false">IF(H112="Yes",Assumptions!$B$6*(D112),(L112)*Assumptions!$B$5)</f>
        <v>169725</v>
      </c>
      <c r="T112" s="47" t="n">
        <f aca="false">AP112*(Assumptions!$B$8*N112*Assumptions!$B$9+Assumptions!$B$10)</f>
        <v>475163.56875</v>
      </c>
      <c r="U112" s="47" t="n">
        <f aca="false">Q112*Assumptions!$B$11*N112</f>
        <v>71820</v>
      </c>
      <c r="V112" s="47" t="n">
        <f aca="false">P112*(Assumptions!$B$12+Assumptions!$B$13)</f>
        <v>131385.254</v>
      </c>
      <c r="W112" s="47" t="n">
        <f aca="false">P112*IF(P112&gt;=Assumptions!$B$16,Assumptions!$B$17,IF(P112&gt;=Assumptions!$B$14,Assumptions!$B$15,0))</f>
        <v>0</v>
      </c>
      <c r="X112" s="48" t="n">
        <f aca="false">SUM(Q112:W112)</f>
        <v>4427193.82275</v>
      </c>
      <c r="Y112" s="48" t="n">
        <f aca="false">P112-X112</f>
        <v>-1191103.82275</v>
      </c>
      <c r="Z112" s="49" t="n">
        <f aca="false">IF(X112=0,0,Y112/X112)</f>
        <v>-0.269042619419389</v>
      </c>
      <c r="AA112" s="47" t="n">
        <f aca="false">MAX(0,(P112/(1+Assumptions!$B$27)-(L112*(Assumptions!$B$4+IF(H112="Yes",0,Assumptions!$B$5)))*(1+(Assumptions!$B$7*(Assumptions!$B$8*N112*Assumptions!$B$9+Assumptions!$B$10)))-P112*(Assumptions!$B$12+Assumptions!$B$13+IF(P112&gt;=Assumptions!$B$16,Assumptions!$B$17,IF(P112&gt;=Assumptions!$B$14,Assumptions!$B$15,0))))/((1+IF(H112="Yes",Assumptions!$B$6,0))*(1+(Assumptions!$B$7*(Assumptions!$B$8*N112*Assumptions!$B$9+Assumptions!$B$10)))+Assumptions!$B$11*N112))</f>
        <v>607597.275078759</v>
      </c>
      <c r="AB112" s="50" t="n">
        <f aca="false">IF(AA112&lt;=0,"no price works",D112/AA112)</f>
        <v>3.28342486351902</v>
      </c>
      <c r="AC112" s="46" t="n">
        <f aca="false">(INDEX(Assumptions!$B$36:$B$48,MATCH(AK112,Assumptions!$A$36:$A$48,0))+IF(I112="Yes",Assumptions!$B$23,0)+IF(J112="Yes",Assumptions!$B$24,0))*(1+Assumptions!$B$28)</f>
        <v>1300</v>
      </c>
      <c r="AD112" s="47" t="n">
        <f aca="false">(L112)*AC112-(((D112)+(L112)*Assumptions!$B$4+IF(H112="Yes",Assumptions!$B$6*(D112),(L112)*Assumptions!$B$5))*(1+Assumptions!$B$7*(Assumptions!$B$8*(N112)*Assumptions!$B$9+Assumptions!$B$10))+(D112)*Assumptions!$B$11*(N112)+(L112)*AC112*(Assumptions!$B$12+Assumptions!$B$13+IF((L112)*AC112&gt;=Assumptions!$B$16,Assumptions!$B$17,IF((L112)*AC112&gt;=Assumptions!$B$14,Assumptions!$B$15,0))))</f>
        <v>-1473349.70875</v>
      </c>
      <c r="AE112" s="46" t="n">
        <f aca="false">(INDEX(Assumptions!$B$36:$B$48,MATCH(AK112,Assumptions!$A$36:$A$48,0))+IF(I112="Yes",Assumptions!$B$23,0)+IF(J112="Yes",Assumptions!$B$24,0))*(1+Assumptions!$B$29)</f>
        <v>1430</v>
      </c>
      <c r="AF112" s="47" t="n">
        <f aca="false">(L112)*AE112-(((D112)+(L112)*Assumptions!$B$4+IF(H112="Yes",Assumptions!$B$6*(D112),(L112)*Assumptions!$B$5))*(1+Assumptions!$B$7*(Assumptions!$B$8*(N112)*Assumptions!$B$9+Assumptions!$B$10))+(D112)*Assumptions!$B$11*(N112)+(L112)*AE112*(Assumptions!$B$12+Assumptions!$B$13+IF((L112)*AE112&gt;=Assumptions!$B$16,Assumptions!$B$17,IF((L112)*AE112&gt;=Assumptions!$B$14,Assumptions!$B$15,0))))</f>
        <v>-1191103.82275</v>
      </c>
      <c r="AG112" s="46" t="n">
        <f aca="false">(INDEX(Assumptions!$B$36:$B$48,MATCH(AK112,Assumptions!$A$36:$A$48,0))+IF(I112="Yes",Assumptions!$B$23,0)+IF(J112="Yes",Assumptions!$B$24,0))*(1+Assumptions!$B$30)</f>
        <v>1560</v>
      </c>
      <c r="AH112" s="47" t="n">
        <f aca="false">(L112)*AG112-(((D112)+(L112)*Assumptions!$B$4+IF(H112="Yes",Assumptions!$B$6*(D112),(L112)*Assumptions!$B$5))*(1+Assumptions!$B$7*(Assumptions!$B$8*(N112)*Assumptions!$B$9+Assumptions!$B$10))+(D112)*Assumptions!$B$11*(N112)+(L112)*AG112*(Assumptions!$B$12+Assumptions!$B$13+IF((L112)*AG112&gt;=Assumptions!$B$16,Assumptions!$B$17,IF((L112)*AG112&gt;=Assumptions!$B$14,Assumptions!$B$15,0))))</f>
        <v>-908857.936749999</v>
      </c>
      <c r="AI112" s="47" t="n">
        <f aca="false">(L112)*AE112-(((D112)+(L112)*Assumptions!$B$25+IF(H112="Yes",Assumptions!$B$6*(D112),(L112)*Assumptions!$B$5))*(1+Assumptions!$B$7*(Assumptions!$B$8*(N112)*Assumptions!$B$9+Assumptions!$B$10))+(D112)*Assumptions!$B$11*(N112)+(L112)*AE112*(Assumptions!$B$12+Assumptions!$B$13+IF((L112)*AE112&gt;=Assumptions!$B$16,Assumptions!$B$17,IF((L112)*AE112&gt;=Assumptions!$B$14,Assumptions!$B$15,0))))</f>
        <v>-1063612.06025</v>
      </c>
      <c r="AJ112" s="47" t="n">
        <f aca="false">(L112)*AE112-(((D112)+(L112)*Assumptions!$B$26+IF(H112="Yes",Assumptions!$B$6*(D112),(L112)*Assumptions!$B$5))*(1+Assumptions!$B$7*(Assumptions!$B$8*(N112)*Assumptions!$B$9+Assumptions!$B$10))+(D112)*Assumptions!$B$11*(N112)+(L112)*AE112*(Assumptions!$B$12+Assumptions!$B$13+IF((L112)*AE112&gt;=Assumptions!$B$16,Assumptions!$B$17,IF((L112)*AE112&gt;=Assumptions!$B$14,Assumptions!$B$15,0))))</f>
        <v>-936120.297749999</v>
      </c>
      <c r="AK112" s="40" t="s">
        <v>203</v>
      </c>
      <c r="AL112" s="45" t="n">
        <f aca="false">IF(G112&gt;0,G112,ROUND(F112*Assumptions!$B$18,0))</f>
        <v>1730</v>
      </c>
      <c r="AM112" s="45" t="n">
        <f aca="false">IF(H112="Yes",AL112,MAX(AL112,MIN(Assumptions!$B$20,ROUND(E112*Assumptions!$B$19,0))))</f>
        <v>2263</v>
      </c>
      <c r="AN112" s="47" t="n">
        <f aca="false">(AL112)*AE112-(((D112)+(AL112)*Assumptions!$B$4+IF(H112="Yes",Assumptions!$B$6*(D112),(AL112)*Assumptions!$B$5))*(1+Assumptions!$B$7*(Assumptions!$B$8*(Assumptions!$B$21)*Assumptions!$B$9+Assumptions!$B$10))+(D112)*Assumptions!$B$11*(Assumptions!$B$21)+(AL112)*AE112*(Assumptions!$B$12+Assumptions!$B$13+IF((AL112)*AE112&gt;=Assumptions!$B$16,Assumptions!$B$17,IF((AL112)*AE112&gt;=Assumptions!$B$14,Assumptions!$B$15,0))))</f>
        <v>-1302882.4025</v>
      </c>
      <c r="AO112" s="47" t="n">
        <f aca="false">(AM112)*AE112-(((D112)+(AM112)*Assumptions!$B$4+IF(H112="Yes",Assumptions!$B$6*(D112),(AM112)*Assumptions!$B$5))*(1+Assumptions!$B$7*(Assumptions!$B$8*(IF(AM112&gt;AL112,Assumptions!$B$22,Assumptions!$B$21))*Assumptions!$B$9+Assumptions!$B$10))+(D112)*Assumptions!$B$11*(IF(AM112&gt;AL112,Assumptions!$B$22,Assumptions!$B$21))+(AM112)*AE112*(Assumptions!$B$12+Assumptions!$B$13+IF((AM112)*AE112&gt;=Assumptions!$B$16,Assumptions!$B$17,IF((AM112)*AE112&gt;=Assumptions!$B$14,Assumptions!$B$15,0))))</f>
        <v>-1191103.82275</v>
      </c>
      <c r="AP112" s="47" t="n">
        <f aca="false">Assumptions!$B$7*(Q112+R112+S112)</f>
        <v>2436736.25</v>
      </c>
    </row>
    <row r="113" customFormat="false" ht="15" hidden="false" customHeight="false" outlineLevel="0" collapsed="false">
      <c r="A113" s="40" t="n">
        <v>111</v>
      </c>
      <c r="B113" s="40" t="s">
        <v>259</v>
      </c>
      <c r="C113" s="40" t="s">
        <v>117</v>
      </c>
      <c r="D113" s="41" t="n">
        <v>5250000</v>
      </c>
      <c r="E113" s="42" t="n">
        <v>6463</v>
      </c>
      <c r="F113" s="42" t="n">
        <v>1683</v>
      </c>
      <c r="G113" s="42"/>
      <c r="H113" s="43" t="s">
        <v>71</v>
      </c>
      <c r="I113" s="43" t="s">
        <v>80</v>
      </c>
      <c r="J113" s="43" t="s">
        <v>71</v>
      </c>
      <c r="K113" s="44" t="s">
        <v>260</v>
      </c>
      <c r="L113" s="45" t="n">
        <f aca="false">IF(AO113&gt;AN113,AM113,AL113)</f>
        <v>2585</v>
      </c>
      <c r="M113" s="40" t="str">
        <f aca="false">IF(AO113&gt;AN113,"Zoning estimate",IF(H113="Yes","Approved plans",IF(G113&gt;0,"Listing claim","110% old house")))</f>
        <v>Zoning estimate</v>
      </c>
      <c r="N113" s="45" t="n">
        <f aca="false">IF(AO113&gt;AN113,IF(AM113&gt;AL113,Assumptions!$B$22,Assumptions!$B$21),Assumptions!$B$21)</f>
        <v>3</v>
      </c>
      <c r="O113" s="46" t="n">
        <f aca="false">(INDEX(Assumptions!$B$36:$B$48,MATCH(AK113,Assumptions!$A$36:$A$48,0))+IF(I113="Yes",Assumptions!$B$23,0)+IF(J113="Yes",Assumptions!$B$24,0))*(1+IF(UPPER(Assumptions!$B$31)="WORST",Assumptions!$B$28,IF(UPPER(Assumptions!$B$31)="BEST",Assumptions!$B$30,Assumptions!$B$29)))</f>
        <v>1650</v>
      </c>
      <c r="P113" s="47" t="n">
        <f aca="false">L113*O113</f>
        <v>4265250</v>
      </c>
      <c r="Q113" s="47" t="n">
        <f aca="false">D113</f>
        <v>5250000</v>
      </c>
      <c r="R113" s="47" t="n">
        <f aca="false">L113*Assumptions!$B$4</f>
        <v>1809500</v>
      </c>
      <c r="S113" s="47" t="n">
        <f aca="false">IF(H113="Yes",Assumptions!$B$6*(D113),(L113)*Assumptions!$B$5)</f>
        <v>193875</v>
      </c>
      <c r="T113" s="47" t="n">
        <f aca="false">AP113*(Assumptions!$B$8*N113*Assumptions!$B$9+Assumptions!$B$10)</f>
        <v>919365.28125</v>
      </c>
      <c r="U113" s="47" t="n">
        <f aca="false">Q113*Assumptions!$B$11*N113</f>
        <v>189000</v>
      </c>
      <c r="V113" s="47" t="n">
        <f aca="false">P113*(Assumptions!$B$12+Assumptions!$B$13)</f>
        <v>173169.15</v>
      </c>
      <c r="W113" s="47" t="n">
        <f aca="false">P113*IF(P113&gt;=Assumptions!$B$16,Assumptions!$B$17,IF(P113&gt;=Assumptions!$B$14,Assumptions!$B$15,0))</f>
        <v>0</v>
      </c>
      <c r="X113" s="48" t="n">
        <f aca="false">SUM(Q113:W113)</f>
        <v>8534909.43125</v>
      </c>
      <c r="Y113" s="48" t="n">
        <f aca="false">P113-X113</f>
        <v>-4269659.43125</v>
      </c>
      <c r="Z113" s="49" t="n">
        <f aca="false">IF(X113=0,0,Y113/X113)</f>
        <v>-0.500258317401345</v>
      </c>
      <c r="AA113" s="47" t="n">
        <f aca="false">MAX(0,(P113/(1+Assumptions!$B$27)-(L113*(Assumptions!$B$4+IF(H113="Yes",0,Assumptions!$B$5)))*(1+(Assumptions!$B$7*(Assumptions!$B$8*N113*Assumptions!$B$9+Assumptions!$B$10)))-P113*(Assumptions!$B$12+Assumptions!$B$13+IF(P113&gt;=Assumptions!$B$16,Assumptions!$B$17,IF(P113&gt;=Assumptions!$B$14,Assumptions!$B$15,0))))/((1+IF(H113="Yes",Assumptions!$B$6,0))*(1+(Assumptions!$B$7*(Assumptions!$B$8*N113*Assumptions!$B$9+Assumptions!$B$10)))+Assumptions!$B$11*N113))</f>
        <v>1099497.83894067</v>
      </c>
      <c r="AB113" s="50" t="n">
        <f aca="false">IF(AA113&lt;=0,"no price works",D113/AA113)</f>
        <v>4.77490706580943</v>
      </c>
      <c r="AC113" s="46" t="n">
        <f aca="false">(INDEX(Assumptions!$B$36:$B$48,MATCH(AK113,Assumptions!$A$36:$A$48,0))+IF(I113="Yes",Assumptions!$B$23,0)+IF(J113="Yes",Assumptions!$B$24,0))*(1+Assumptions!$B$28)</f>
        <v>1500</v>
      </c>
      <c r="AD113" s="47" t="n">
        <f aca="false">(L113)*AC113-(((D113)+(L113)*Assumptions!$B$4+IF(H113="Yes",Assumptions!$B$6*(D113),(L113)*Assumptions!$B$5))*(1+Assumptions!$B$7*(Assumptions!$B$8*(N113)*Assumptions!$B$9+Assumptions!$B$10))+(D113)*Assumptions!$B$11*(N113)+(L113)*AC113*(Assumptions!$B$12+Assumptions!$B$13+IF((L113)*AC113&gt;=Assumptions!$B$16,Assumptions!$B$17,IF((L113)*AC113&gt;=Assumptions!$B$14,Assumptions!$B$15,0))))</f>
        <v>-4641666.78125</v>
      </c>
      <c r="AE113" s="46" t="n">
        <f aca="false">(INDEX(Assumptions!$B$36:$B$48,MATCH(AK113,Assumptions!$A$36:$A$48,0))+IF(I113="Yes",Assumptions!$B$23,0)+IF(J113="Yes",Assumptions!$B$24,0))*(1+Assumptions!$B$29)</f>
        <v>1650</v>
      </c>
      <c r="AF113" s="47" t="n">
        <f aca="false">(L113)*AE113-(((D113)+(L113)*Assumptions!$B$4+IF(H113="Yes",Assumptions!$B$6*(D113),(L113)*Assumptions!$B$5))*(1+Assumptions!$B$7*(Assumptions!$B$8*(N113)*Assumptions!$B$9+Assumptions!$B$10))+(D113)*Assumptions!$B$11*(N113)+(L113)*AE113*(Assumptions!$B$12+Assumptions!$B$13+IF((L113)*AE113&gt;=Assumptions!$B$16,Assumptions!$B$17,IF((L113)*AE113&gt;=Assumptions!$B$14,Assumptions!$B$15,0))))</f>
        <v>-4269659.43125</v>
      </c>
      <c r="AG113" s="46" t="n">
        <f aca="false">(INDEX(Assumptions!$B$36:$B$48,MATCH(AK113,Assumptions!$A$36:$A$48,0))+IF(I113="Yes",Assumptions!$B$23,0)+IF(J113="Yes",Assumptions!$B$24,0))*(1+Assumptions!$B$30)</f>
        <v>1800</v>
      </c>
      <c r="AH113" s="47" t="n">
        <f aca="false">(L113)*AG113-(((D113)+(L113)*Assumptions!$B$4+IF(H113="Yes",Assumptions!$B$6*(D113),(L113)*Assumptions!$B$5))*(1+Assumptions!$B$7*(Assumptions!$B$8*(N113)*Assumptions!$B$9+Assumptions!$B$10))+(D113)*Assumptions!$B$11*(N113)+(L113)*AG113*(Assumptions!$B$12+Assumptions!$B$13+IF((L113)*AG113&gt;=Assumptions!$B$16,Assumptions!$B$17,IF((L113)*AG113&gt;=Assumptions!$B$14,Assumptions!$B$15,0))))</f>
        <v>-3897652.08125</v>
      </c>
      <c r="AI113" s="47" t="n">
        <f aca="false">(L113)*AE113-(((D113)+(L113)*Assumptions!$B$25+IF(H113="Yes",Assumptions!$B$6*(D113),(L113)*Assumptions!$B$5))*(1+Assumptions!$B$7*(Assumptions!$B$8*(N113)*Assumptions!$B$9+Assumptions!$B$10))+(D113)*Assumptions!$B$11*(N113)+(L113)*AE113*(Assumptions!$B$12+Assumptions!$B$13+IF((L113)*AE113&gt;=Assumptions!$B$16,Assumptions!$B$17,IF((L113)*AE113&gt;=Assumptions!$B$14,Assumptions!$B$15,0))))</f>
        <v>-4124026.99375</v>
      </c>
      <c r="AJ113" s="47" t="n">
        <f aca="false">(L113)*AE113-(((D113)+(L113)*Assumptions!$B$26+IF(H113="Yes",Assumptions!$B$6*(D113),(L113)*Assumptions!$B$5))*(1+Assumptions!$B$7*(Assumptions!$B$8*(N113)*Assumptions!$B$9+Assumptions!$B$10))+(D113)*Assumptions!$B$11*(N113)+(L113)*AE113*(Assumptions!$B$12+Assumptions!$B$13+IF((L113)*AE113&gt;=Assumptions!$B$16,Assumptions!$B$17,IF((L113)*AE113&gt;=Assumptions!$B$14,Assumptions!$B$15,0))))</f>
        <v>-3978394.55625</v>
      </c>
      <c r="AK113" s="40" t="s">
        <v>119</v>
      </c>
      <c r="AL113" s="45" t="n">
        <f aca="false">IF(G113&gt;0,G113,ROUND(F113*Assumptions!$B$18,0))</f>
        <v>1851</v>
      </c>
      <c r="AM113" s="45" t="n">
        <f aca="false">IF(H113="Yes",AL113,MAX(AL113,MIN(Assumptions!$B$20,ROUND(E113*Assumptions!$B$19,0))))</f>
        <v>2585</v>
      </c>
      <c r="AN113" s="47" t="n">
        <f aca="false">(AL113)*AE113-(((D113)+(AL113)*Assumptions!$B$4+IF(H113="Yes",Assumptions!$B$6*(D113),(AL113)*Assumptions!$B$5))*(1+Assumptions!$B$7*(Assumptions!$B$8*(Assumptions!$B$21)*Assumptions!$B$9+Assumptions!$B$10))+(D113)*Assumptions!$B$11*(Assumptions!$B$21)+(AL113)*AE113*(Assumptions!$B$12+Assumptions!$B$13+IF((AL113)*AE113&gt;=Assumptions!$B$16,Assumptions!$B$17,IF((AL113)*AE113&gt;=Assumptions!$B$14,Assumptions!$B$15,0))))</f>
        <v>-4466940.55875</v>
      </c>
      <c r="AO113" s="47" t="n">
        <f aca="false">(AM113)*AE113-(((D113)+(AM113)*Assumptions!$B$4+IF(H113="Yes",Assumptions!$B$6*(D113),(AM113)*Assumptions!$B$5))*(1+Assumptions!$B$7*(Assumptions!$B$8*(IF(AM113&gt;AL113,Assumptions!$B$22,Assumptions!$B$21))*Assumptions!$B$9+Assumptions!$B$10))+(D113)*Assumptions!$B$11*(IF(AM113&gt;AL113,Assumptions!$B$22,Assumptions!$B$21))+(AM113)*AE113*(Assumptions!$B$12+Assumptions!$B$13+IF((AM113)*AE113&gt;=Assumptions!$B$16,Assumptions!$B$17,IF((AM113)*AE113&gt;=Assumptions!$B$14,Assumptions!$B$15,0))))</f>
        <v>-4269659.43125</v>
      </c>
      <c r="AP113" s="47" t="n">
        <f aca="false">Assumptions!$B$7*(Q113+R113+S113)</f>
        <v>4714693.75</v>
      </c>
    </row>
    <row r="114" customFormat="false" ht="23.85" hidden="false" customHeight="false" outlineLevel="0" collapsed="false">
      <c r="A114" s="40" t="n">
        <v>112</v>
      </c>
      <c r="B114" s="40" t="s">
        <v>261</v>
      </c>
      <c r="C114" s="40" t="s">
        <v>202</v>
      </c>
      <c r="D114" s="41" t="n">
        <v>5250000</v>
      </c>
      <c r="E114" s="42" t="n">
        <v>14060</v>
      </c>
      <c r="F114" s="42" t="n">
        <v>4741</v>
      </c>
      <c r="G114" s="42"/>
      <c r="H114" s="43" t="s">
        <v>71</v>
      </c>
      <c r="I114" s="43" t="s">
        <v>80</v>
      </c>
      <c r="J114" s="43" t="s">
        <v>71</v>
      </c>
      <c r="K114" s="44" t="s">
        <v>262</v>
      </c>
      <c r="L114" s="45" t="n">
        <f aca="false">IF(AO114&gt;AN114,AM114,AL114)</f>
        <v>5215</v>
      </c>
      <c r="M114" s="40" t="str">
        <f aca="false">IF(AO114&gt;AN114,"Zoning estimate",IF(H114="Yes","Approved plans",IF(G114&gt;0,"Listing claim","110% old house")))</f>
        <v>110% old house</v>
      </c>
      <c r="N114" s="45" t="n">
        <f aca="false">IF(AO114&gt;AN114,IF(AM114&gt;AL114,Assumptions!$B$22,Assumptions!$B$21),Assumptions!$B$21)</f>
        <v>2</v>
      </c>
      <c r="O114" s="46" t="n">
        <f aca="false">(INDEX(Assumptions!$B$36:$B$48,MATCH(AK114,Assumptions!$A$36:$A$48,0))+IF(I114="Yes",Assumptions!$B$23,0)+IF(J114="Yes",Assumptions!$B$24,0))*(1+IF(UPPER(Assumptions!$B$31)="WORST",Assumptions!$B$28,IF(UPPER(Assumptions!$B$31)="BEST",Assumptions!$B$30,Assumptions!$B$29)))</f>
        <v>1430</v>
      </c>
      <c r="P114" s="47" t="n">
        <f aca="false">L114*O114</f>
        <v>7457450</v>
      </c>
      <c r="Q114" s="47" t="n">
        <f aca="false">D114</f>
        <v>5250000</v>
      </c>
      <c r="R114" s="47" t="n">
        <f aca="false">L114*Assumptions!$B$4</f>
        <v>3650500</v>
      </c>
      <c r="S114" s="47" t="n">
        <f aca="false">IF(H114="Yes",Assumptions!$B$6*(D114),(L114)*Assumptions!$B$5)</f>
        <v>391125</v>
      </c>
      <c r="T114" s="47" t="n">
        <f aca="false">AP114*(Assumptions!$B$8*N114*Assumptions!$B$9+Assumptions!$B$10)</f>
        <v>815340.09375</v>
      </c>
      <c r="U114" s="47" t="n">
        <f aca="false">Q114*Assumptions!$B$11*N114</f>
        <v>126000</v>
      </c>
      <c r="V114" s="47" t="n">
        <f aca="false">P114*(Assumptions!$B$12+Assumptions!$B$13)</f>
        <v>302772.47</v>
      </c>
      <c r="W114" s="47" t="n">
        <f aca="false">P114*IF(P114&gt;=Assumptions!$B$16,Assumptions!$B$17,IF(P114&gt;=Assumptions!$B$14,Assumptions!$B$15,0))</f>
        <v>298298</v>
      </c>
      <c r="X114" s="48" t="n">
        <f aca="false">SUM(Q114:W114)</f>
        <v>10834035.56375</v>
      </c>
      <c r="Y114" s="48" t="n">
        <f aca="false">P114-X114</f>
        <v>-3376585.56375</v>
      </c>
      <c r="Z114" s="49" t="n">
        <f aca="false">IF(X114=0,0,Y114/X114)</f>
        <v>-0.311664618773068</v>
      </c>
      <c r="AA114" s="47" t="n">
        <f aca="false">MAX(0,(P114/(1+Assumptions!$B$27)-(L114*(Assumptions!$B$4+IF(H114="Yes",0,Assumptions!$B$5)))*(1+(Assumptions!$B$7*(Assumptions!$B$8*N114*Assumptions!$B$9+Assumptions!$B$10)))-P114*(Assumptions!$B$12+Assumptions!$B$13+IF(P114&gt;=Assumptions!$B$16,Assumptions!$B$17,IF(P114&gt;=Assumptions!$B$14,Assumptions!$B$15,0))))/((1+IF(H114="Yes",Assumptions!$B$6,0))*(1+(Assumptions!$B$7*(Assumptions!$B$8*N114*Assumptions!$B$9+Assumptions!$B$10)))+Assumptions!$B$11*N114))</f>
        <v>1337882.67747676</v>
      </c>
      <c r="AB114" s="50" t="n">
        <f aca="false">IF(AA114&lt;=0,"no price works",D114/AA114)</f>
        <v>3.92411090178811</v>
      </c>
      <c r="AC114" s="46" t="n">
        <f aca="false">(INDEX(Assumptions!$B$36:$B$48,MATCH(AK114,Assumptions!$A$36:$A$48,0))+IF(I114="Yes",Assumptions!$B$23,0)+IF(J114="Yes",Assumptions!$B$24,0))*(1+Assumptions!$B$28)</f>
        <v>1300</v>
      </c>
      <c r="AD114" s="47" t="n">
        <f aca="false">(L114)*AC114-(((D114)+(L114)*Assumptions!$B$4+IF(H114="Yes",Assumptions!$B$6*(D114),(L114)*Assumptions!$B$5))*(1+Assumptions!$B$7*(Assumptions!$B$8*(N114)*Assumptions!$B$9+Assumptions!$B$10))+(D114)*Assumptions!$B$11*(N114)+(L114)*AC114*(Assumptions!$B$12+Assumptions!$B$13+IF((L114)*AC114&gt;=Assumptions!$B$16,Assumptions!$B$17,IF((L114)*AC114&gt;=Assumptions!$B$14,Assumptions!$B$15,0))))</f>
        <v>-3999892.79375</v>
      </c>
      <c r="AE114" s="46" t="n">
        <f aca="false">(INDEX(Assumptions!$B$36:$B$48,MATCH(AK114,Assumptions!$A$36:$A$48,0))+IF(I114="Yes",Assumptions!$B$23,0)+IF(J114="Yes",Assumptions!$B$24,0))*(1+Assumptions!$B$29)</f>
        <v>1430</v>
      </c>
      <c r="AF114" s="47" t="n">
        <f aca="false">(L114)*AE114-(((D114)+(L114)*Assumptions!$B$4+IF(H114="Yes",Assumptions!$B$6*(D114),(L114)*Assumptions!$B$5))*(1+Assumptions!$B$7*(Assumptions!$B$8*(N114)*Assumptions!$B$9+Assumptions!$B$10))+(D114)*Assumptions!$B$11*(N114)+(L114)*AE114*(Assumptions!$B$12+Assumptions!$B$13+IF((L114)*AE114&gt;=Assumptions!$B$16,Assumptions!$B$17,IF((L114)*AE114&gt;=Assumptions!$B$14,Assumptions!$B$15,0))))</f>
        <v>-3376585.56375</v>
      </c>
      <c r="AG114" s="46" t="n">
        <f aca="false">(INDEX(Assumptions!$B$36:$B$48,MATCH(AK114,Assumptions!$A$36:$A$48,0))+IF(I114="Yes",Assumptions!$B$23,0)+IF(J114="Yes",Assumptions!$B$24,0))*(1+Assumptions!$B$30)</f>
        <v>1560</v>
      </c>
      <c r="AH114" s="47" t="n">
        <f aca="false">(L114)*AG114-(((D114)+(L114)*Assumptions!$B$4+IF(H114="Yes",Assumptions!$B$6*(D114),(L114)*Assumptions!$B$5))*(1+Assumptions!$B$7*(Assumptions!$B$8*(N114)*Assumptions!$B$9+Assumptions!$B$10))+(D114)*Assumptions!$B$11*(N114)+(L114)*AG114*(Assumptions!$B$12+Assumptions!$B$13+IF((L114)*AG114&gt;=Assumptions!$B$16,Assumptions!$B$17,IF((L114)*AG114&gt;=Assumptions!$B$14,Assumptions!$B$15,0))))</f>
        <v>-2753278.33375</v>
      </c>
      <c r="AI114" s="47" t="n">
        <f aca="false">(L114)*AE114-(((D114)+(L114)*Assumptions!$B$25+IF(H114="Yes",Assumptions!$B$6*(D114),(L114)*Assumptions!$B$5))*(1+Assumptions!$B$7*(Assumptions!$B$8*(N114)*Assumptions!$B$9+Assumptions!$B$10))+(D114)*Assumptions!$B$11*(N114)+(L114)*AE114*(Assumptions!$B$12+Assumptions!$B$13+IF((L114)*AE114&gt;=Assumptions!$B$16,Assumptions!$B$17,IF((L114)*AE114&gt;=Assumptions!$B$14,Assumptions!$B$15,0))))</f>
        <v>-3092954.75125</v>
      </c>
      <c r="AJ114" s="47" t="n">
        <f aca="false">(L114)*AE114-(((D114)+(L114)*Assumptions!$B$26+IF(H114="Yes",Assumptions!$B$6*(D114),(L114)*Assumptions!$B$5))*(1+Assumptions!$B$7*(Assumptions!$B$8*(N114)*Assumptions!$B$9+Assumptions!$B$10))+(D114)*Assumptions!$B$11*(N114)+(L114)*AE114*(Assumptions!$B$12+Assumptions!$B$13+IF((L114)*AE114&gt;=Assumptions!$B$16,Assumptions!$B$17,IF((L114)*AE114&gt;=Assumptions!$B$14,Assumptions!$B$15,0))))</f>
        <v>-2809323.93875</v>
      </c>
      <c r="AK114" s="40" t="s">
        <v>203</v>
      </c>
      <c r="AL114" s="45" t="n">
        <f aca="false">IF(G114&gt;0,G114,ROUND(F114*Assumptions!$B$18,0))</f>
        <v>5215</v>
      </c>
      <c r="AM114" s="45" t="n">
        <f aca="false">IF(H114="Yes",AL114,MAX(AL114,MIN(Assumptions!$B$20,ROUND(E114*Assumptions!$B$19,0))))</f>
        <v>5624</v>
      </c>
      <c r="AN114" s="47" t="n">
        <f aca="false">(AL114)*AE114-(((D114)+(AL114)*Assumptions!$B$4+IF(H114="Yes",Assumptions!$B$6*(D114),(AL114)*Assumptions!$B$5))*(1+Assumptions!$B$7*(Assumptions!$B$8*(Assumptions!$B$21)*Assumptions!$B$9+Assumptions!$B$10))+(D114)*Assumptions!$B$11*(Assumptions!$B$21)+(AL114)*AE114*(Assumptions!$B$12+Assumptions!$B$13+IF((AL114)*AE114&gt;=Assumptions!$B$16,Assumptions!$B$17,IF((AL114)*AE114&gt;=Assumptions!$B$14,Assumptions!$B$15,0))))</f>
        <v>-3376585.56375</v>
      </c>
      <c r="AO114" s="47" t="n">
        <f aca="false">(AM114)*AE114-(((D114)+(AM114)*Assumptions!$B$4+IF(H114="Yes",Assumptions!$B$6*(D114),(AM114)*Assumptions!$B$5))*(1+Assumptions!$B$7*(Assumptions!$B$8*(IF(AM114&gt;AL114,Assumptions!$B$22,Assumptions!$B$21))*Assumptions!$B$9+Assumptions!$B$10))+(D114)*Assumptions!$B$11*(IF(AM114&gt;AL114,Assumptions!$B$22,Assumptions!$B$21))+(AM114)*AE114*(Assumptions!$B$12+Assumptions!$B$13+IF((AM114)*AE114&gt;=Assumptions!$B$16,Assumptions!$B$17,IF((AM114)*AE114&gt;=Assumptions!$B$14,Assumptions!$B$15,0))))</f>
        <v>-3621381.042</v>
      </c>
      <c r="AP114" s="47" t="n">
        <f aca="false">Assumptions!$B$7*(Q114+R114+S114)</f>
        <v>6039556.25</v>
      </c>
    </row>
    <row r="115" customFormat="false" ht="15" hidden="false" customHeight="false" outlineLevel="0" collapsed="false">
      <c r="A115" s="40" t="n">
        <v>113</v>
      </c>
      <c r="B115" s="40" t="s">
        <v>263</v>
      </c>
      <c r="C115" s="40" t="s">
        <v>254</v>
      </c>
      <c r="D115" s="41" t="n">
        <v>1749000</v>
      </c>
      <c r="E115" s="42" t="n">
        <v>10121</v>
      </c>
      <c r="F115" s="42" t="n">
        <v>5286</v>
      </c>
      <c r="G115" s="42"/>
      <c r="H115" s="43" t="s">
        <v>71</v>
      </c>
      <c r="I115" s="43" t="s">
        <v>80</v>
      </c>
      <c r="J115" s="43" t="s">
        <v>80</v>
      </c>
      <c r="K115" s="44"/>
      <c r="L115" s="45" t="n">
        <f aca="false">IF(AO115&gt;AN115,AM115,AL115)</f>
        <v>5815</v>
      </c>
      <c r="M115" s="40" t="str">
        <f aca="false">IF(AO115&gt;AN115,"Zoning estimate",IF(H115="Yes","Approved plans",IF(G115&gt;0,"Listing claim","110% old house")))</f>
        <v>110% old house</v>
      </c>
      <c r="N115" s="45" t="n">
        <f aca="false">IF(AO115&gt;AN115,IF(AM115&gt;AL115,Assumptions!$B$22,Assumptions!$B$21),Assumptions!$B$21)</f>
        <v>2</v>
      </c>
      <c r="O115" s="46" t="n">
        <f aca="false">(INDEX(Assumptions!$B$36:$B$48,MATCH(AK115,Assumptions!$A$36:$A$48,0))+IF(I115="Yes",Assumptions!$B$23,0)+IF(J115="Yes",Assumptions!$B$24,0))*(1+IF(UPPER(Assumptions!$B$31)="WORST",Assumptions!$B$28,IF(UPPER(Assumptions!$B$31)="BEST",Assumptions!$B$30,Assumptions!$B$29)))</f>
        <v>1210</v>
      </c>
      <c r="P115" s="47" t="n">
        <f aca="false">L115*O115</f>
        <v>7036150</v>
      </c>
      <c r="Q115" s="47" t="n">
        <f aca="false">D115</f>
        <v>1749000</v>
      </c>
      <c r="R115" s="47" t="n">
        <f aca="false">L115*Assumptions!$B$4</f>
        <v>4070500</v>
      </c>
      <c r="S115" s="47" t="n">
        <f aca="false">IF(H115="Yes",Assumptions!$B$6*(D115),(L115)*Assumptions!$B$5)</f>
        <v>436125</v>
      </c>
      <c r="T115" s="47" t="n">
        <f aca="false">AP115*(Assumptions!$B$8*N115*Assumptions!$B$9+Assumptions!$B$10)</f>
        <v>548931.09375</v>
      </c>
      <c r="U115" s="47" t="n">
        <f aca="false">Q115*Assumptions!$B$11*N115</f>
        <v>41976</v>
      </c>
      <c r="V115" s="47" t="n">
        <f aca="false">P115*(Assumptions!$B$12+Assumptions!$B$13)</f>
        <v>285667.69</v>
      </c>
      <c r="W115" s="47" t="n">
        <f aca="false">P115*IF(P115&gt;=Assumptions!$B$16,Assumptions!$B$17,IF(P115&gt;=Assumptions!$B$14,Assumptions!$B$15,0))</f>
        <v>281446</v>
      </c>
      <c r="X115" s="48" t="n">
        <f aca="false">SUM(Q115:W115)</f>
        <v>7413645.78375</v>
      </c>
      <c r="Y115" s="48" t="n">
        <f aca="false">P115-X115</f>
        <v>-377495.78375</v>
      </c>
      <c r="Z115" s="49" t="n">
        <f aca="false">IF(X115=0,0,Y115/X115)</f>
        <v>-0.0509190477615527</v>
      </c>
      <c r="AA115" s="47" t="n">
        <f aca="false">MAX(0,(P115/(1+Assumptions!$B$27)-(L115*(Assumptions!$B$4+IF(H115="Yes",0,Assumptions!$B$5)))*(1+(Assumptions!$B$7*(Assumptions!$B$8*N115*Assumptions!$B$9+Assumptions!$B$10)))-P115*(Assumptions!$B$12+Assumptions!$B$13+IF(P115&gt;=Assumptions!$B$16,Assumptions!$B$17,IF(P115&gt;=Assumptions!$B$14,Assumptions!$B$15,0))))/((1+IF(H115="Yes",Assumptions!$B$6,0))*(1+(Assumptions!$B$7*(Assumptions!$B$8*N115*Assumptions!$B$9+Assumptions!$B$10)))+Assumptions!$B$11*N115))</f>
        <v>583940.877533462</v>
      </c>
      <c r="AB115" s="50" t="n">
        <f aca="false">IF(AA115&lt;=0,"no price works",D115/AA115)</f>
        <v>2.99516623564305</v>
      </c>
      <c r="AC115" s="46" t="n">
        <f aca="false">(INDEX(Assumptions!$B$36:$B$48,MATCH(AK115,Assumptions!$A$36:$A$48,0))+IF(I115="Yes",Assumptions!$B$23,0)+IF(J115="Yes",Assumptions!$B$24,0))*(1+Assumptions!$B$28)</f>
        <v>1100</v>
      </c>
      <c r="AD115" s="47" t="n">
        <f aca="false">(L115)*AC115-(((D115)+(L115)*Assumptions!$B$4+IF(H115="Yes",Assumptions!$B$6*(D115),(L115)*Assumptions!$B$5))*(1+Assumptions!$B$7*(Assumptions!$B$8*(N115)*Assumptions!$B$9+Assumptions!$B$10))+(D115)*Assumptions!$B$11*(N115)+(L115)*AC115*(Assumptions!$B$12+Assumptions!$B$13+IF((L115)*AC115&gt;=Assumptions!$B$16,Assumptions!$B$17,IF((L115)*AC115&gt;=Assumptions!$B$14,Assumptions!$B$15,0))))</f>
        <v>-965589.99375</v>
      </c>
      <c r="AE115" s="46" t="n">
        <f aca="false">(INDEX(Assumptions!$B$36:$B$48,MATCH(AK115,Assumptions!$A$36:$A$48,0))+IF(I115="Yes",Assumptions!$B$23,0)+IF(J115="Yes",Assumptions!$B$24,0))*(1+Assumptions!$B$29)</f>
        <v>1210</v>
      </c>
      <c r="AF115" s="47" t="n">
        <f aca="false">(L115)*AE115-(((D115)+(L115)*Assumptions!$B$4+IF(H115="Yes",Assumptions!$B$6*(D115),(L115)*Assumptions!$B$5))*(1+Assumptions!$B$7*(Assumptions!$B$8*(N115)*Assumptions!$B$9+Assumptions!$B$10))+(D115)*Assumptions!$B$11*(N115)+(L115)*AE115*(Assumptions!$B$12+Assumptions!$B$13+IF((L115)*AE115&gt;=Assumptions!$B$16,Assumptions!$B$17,IF((L115)*AE115&gt;=Assumptions!$B$14,Assumptions!$B$15,0))))</f>
        <v>-377495.78375</v>
      </c>
      <c r="AG115" s="46" t="n">
        <f aca="false">(INDEX(Assumptions!$B$36:$B$48,MATCH(AK115,Assumptions!$A$36:$A$48,0))+IF(I115="Yes",Assumptions!$B$23,0)+IF(J115="Yes",Assumptions!$B$24,0))*(1+Assumptions!$B$30)</f>
        <v>1320</v>
      </c>
      <c r="AH115" s="47" t="n">
        <f aca="false">(L115)*AG115-(((D115)+(L115)*Assumptions!$B$4+IF(H115="Yes",Assumptions!$B$6*(D115),(L115)*Assumptions!$B$5))*(1+Assumptions!$B$7*(Assumptions!$B$8*(N115)*Assumptions!$B$9+Assumptions!$B$10))+(D115)*Assumptions!$B$11*(N115)+(L115)*AG115*(Assumptions!$B$12+Assumptions!$B$13+IF((L115)*AG115&gt;=Assumptions!$B$16,Assumptions!$B$17,IF((L115)*AG115&gt;=Assumptions!$B$14,Assumptions!$B$15,0))))</f>
        <v>210598.42625</v>
      </c>
      <c r="AI115" s="47" t="n">
        <f aca="false">(L115)*AE115-(((D115)+(L115)*Assumptions!$B$25+IF(H115="Yes",Assumptions!$B$6*(D115),(L115)*Assumptions!$B$5))*(1+Assumptions!$B$7*(Assumptions!$B$8*(N115)*Assumptions!$B$9+Assumptions!$B$10))+(D115)*Assumptions!$B$11*(N115)+(L115)*AE115*(Assumptions!$B$12+Assumptions!$B$13+IF((L115)*AE115&gt;=Assumptions!$B$16,Assumptions!$B$17,IF((L115)*AE115&gt;=Assumptions!$B$14,Assumptions!$B$15,0))))</f>
        <v>-61232.4712500004</v>
      </c>
      <c r="AJ115" s="47" t="n">
        <f aca="false">(L115)*AE115-(((D115)+(L115)*Assumptions!$B$26+IF(H115="Yes",Assumptions!$B$6*(D115),(L115)*Assumptions!$B$5))*(1+Assumptions!$B$7*(Assumptions!$B$8*(N115)*Assumptions!$B$9+Assumptions!$B$10))+(D115)*Assumptions!$B$11*(N115)+(L115)*AE115*(Assumptions!$B$12+Assumptions!$B$13+IF((L115)*AE115&gt;=Assumptions!$B$16,Assumptions!$B$17,IF((L115)*AE115&gt;=Assumptions!$B$14,Assumptions!$B$15,0))))</f>
        <v>255030.84125</v>
      </c>
      <c r="AK115" s="40" t="s">
        <v>256</v>
      </c>
      <c r="AL115" s="45" t="n">
        <f aca="false">IF(G115&gt;0,G115,ROUND(F115*Assumptions!$B$18,0))</f>
        <v>5815</v>
      </c>
      <c r="AM115" s="45" t="n">
        <f aca="false">IF(H115="Yes",AL115,MAX(AL115,MIN(Assumptions!$B$20,ROUND(E115*Assumptions!$B$19,0))))</f>
        <v>5815</v>
      </c>
      <c r="AN115" s="47" t="n">
        <f aca="false">(AL115)*AE115-(((D115)+(AL115)*Assumptions!$B$4+IF(H115="Yes",Assumptions!$B$6*(D115),(AL115)*Assumptions!$B$5))*(1+Assumptions!$B$7*(Assumptions!$B$8*(Assumptions!$B$21)*Assumptions!$B$9+Assumptions!$B$10))+(D115)*Assumptions!$B$11*(Assumptions!$B$21)+(AL115)*AE115*(Assumptions!$B$12+Assumptions!$B$13+IF((AL115)*AE115&gt;=Assumptions!$B$16,Assumptions!$B$17,IF((AL115)*AE115&gt;=Assumptions!$B$14,Assumptions!$B$15,0))))</f>
        <v>-377495.78375</v>
      </c>
      <c r="AO115" s="47" t="n">
        <f aca="false">(AM115)*AE115-(((D115)+(AM115)*Assumptions!$B$4+IF(H115="Yes",Assumptions!$B$6*(D115),(AM115)*Assumptions!$B$5))*(1+Assumptions!$B$7*(Assumptions!$B$8*(IF(AM115&gt;AL115,Assumptions!$B$22,Assumptions!$B$21))*Assumptions!$B$9+Assumptions!$B$10))+(D115)*Assumptions!$B$11*(IF(AM115&gt;AL115,Assumptions!$B$22,Assumptions!$B$21))+(AM115)*AE115*(Assumptions!$B$12+Assumptions!$B$13+IF((AM115)*AE115&gt;=Assumptions!$B$16,Assumptions!$B$17,IF((AM115)*AE115&gt;=Assumptions!$B$14,Assumptions!$B$15,0))))</f>
        <v>-377495.78375</v>
      </c>
      <c r="AP115" s="47" t="n">
        <f aca="false">Assumptions!$B$7*(Q115+R115+S115)</f>
        <v>4066156.25</v>
      </c>
    </row>
    <row r="116" customFormat="false" ht="15" hidden="false" customHeight="false" outlineLevel="0" collapsed="false">
      <c r="A116" s="40" t="n">
        <v>114</v>
      </c>
      <c r="B116" s="40" t="s">
        <v>264</v>
      </c>
      <c r="C116" s="40" t="s">
        <v>254</v>
      </c>
      <c r="D116" s="41" t="n">
        <v>1895000</v>
      </c>
      <c r="E116" s="42" t="n">
        <v>19379</v>
      </c>
      <c r="F116" s="42" t="n">
        <v>5157</v>
      </c>
      <c r="G116" s="42"/>
      <c r="H116" s="43" t="s">
        <v>71</v>
      </c>
      <c r="I116" s="43" t="s">
        <v>71</v>
      </c>
      <c r="J116" s="43" t="s">
        <v>80</v>
      </c>
      <c r="K116" s="44"/>
      <c r="L116" s="45" t="n">
        <f aca="false">IF(AO116&gt;AN116,AM116,AL116)</f>
        <v>7752</v>
      </c>
      <c r="M116" s="40" t="str">
        <f aca="false">IF(AO116&gt;AN116,"Zoning estimate",IF(H116="Yes","Approved plans",IF(G116&gt;0,"Listing claim","110% old house")))</f>
        <v>Zoning estimate</v>
      </c>
      <c r="N116" s="45" t="n">
        <f aca="false">IF(AO116&gt;AN116,IF(AM116&gt;AL116,Assumptions!$B$22,Assumptions!$B$21),Assumptions!$B$21)</f>
        <v>3</v>
      </c>
      <c r="O116" s="46" t="n">
        <f aca="false">(INDEX(Assumptions!$B$36:$B$48,MATCH(AK116,Assumptions!$A$36:$A$48,0))+IF(I116="Yes",Assumptions!$B$23,0)+IF(J116="Yes",Assumptions!$B$24,0))*(1+IF(UPPER(Assumptions!$B$31)="WORST",Assumptions!$B$28,IF(UPPER(Assumptions!$B$31)="BEST",Assumptions!$B$30,Assumptions!$B$29)))</f>
        <v>1100</v>
      </c>
      <c r="P116" s="47" t="n">
        <f aca="false">L116*O116</f>
        <v>8527200</v>
      </c>
      <c r="Q116" s="47" t="n">
        <f aca="false">D116</f>
        <v>1895000</v>
      </c>
      <c r="R116" s="47" t="n">
        <f aca="false">L116*Assumptions!$B$4</f>
        <v>5426400</v>
      </c>
      <c r="S116" s="47" t="n">
        <f aca="false">IF(H116="Yes",Assumptions!$B$6*(D116),(L116)*Assumptions!$B$5)</f>
        <v>581400</v>
      </c>
      <c r="T116" s="47" t="n">
        <f aca="false">AP116*(Assumptions!$B$8*N116*Assumptions!$B$9+Assumptions!$B$10)</f>
        <v>1001679.9</v>
      </c>
      <c r="U116" s="47" t="n">
        <f aca="false">Q116*Assumptions!$B$11*N116</f>
        <v>68220</v>
      </c>
      <c r="V116" s="47" t="n">
        <f aca="false">P116*(Assumptions!$B$12+Assumptions!$B$13)</f>
        <v>346204.32</v>
      </c>
      <c r="W116" s="47" t="n">
        <f aca="false">P116*IF(P116&gt;=Assumptions!$B$16,Assumptions!$B$17,IF(P116&gt;=Assumptions!$B$14,Assumptions!$B$15,0))</f>
        <v>341088</v>
      </c>
      <c r="X116" s="48" t="n">
        <f aca="false">SUM(Q116:W116)</f>
        <v>9659992.22</v>
      </c>
      <c r="Y116" s="48" t="n">
        <f aca="false">P116-X116</f>
        <v>-1132792.22</v>
      </c>
      <c r="Z116" s="49" t="n">
        <f aca="false">IF(X116=0,0,Y116/X116)</f>
        <v>-0.117266369806662</v>
      </c>
      <c r="AA116" s="47" t="n">
        <f aca="false">MAX(0,(P116/(1+Assumptions!$B$27)-(L116*(Assumptions!$B$4+IF(H116="Yes",0,Assumptions!$B$5)))*(1+(Assumptions!$B$7*(Assumptions!$B$8*N116*Assumptions!$B$9+Assumptions!$B$10)))-P116*(Assumptions!$B$12+Assumptions!$B$13+IF(P116&gt;=Assumptions!$B$16,Assumptions!$B$17,IF(P116&gt;=Assumptions!$B$14,Assumptions!$B$15,0))))/((1+IF(H116="Yes",Assumptions!$B$6,0))*(1+(Assumptions!$B$7*(Assumptions!$B$8*N116*Assumptions!$B$9+Assumptions!$B$10)))+Assumptions!$B$11*N116))</f>
        <v>0</v>
      </c>
      <c r="AB116" s="50" t="str">
        <f aca="false">IF(AA116&lt;=0,"no price works",D116/AA116)</f>
        <v>no price works</v>
      </c>
      <c r="AC116" s="46" t="n">
        <f aca="false">(INDEX(Assumptions!$B$36:$B$48,MATCH(AK116,Assumptions!$A$36:$A$48,0))+IF(I116="Yes",Assumptions!$B$23,0)+IF(J116="Yes",Assumptions!$B$24,0))*(1+Assumptions!$B$28)</f>
        <v>1000</v>
      </c>
      <c r="AD116" s="47" t="n">
        <f aca="false">(L116)*AC116-(((D116)+(L116)*Assumptions!$B$4+IF(H116="Yes",Assumptions!$B$6*(D116),(L116)*Assumptions!$B$5))*(1+Assumptions!$B$7*(Assumptions!$B$8*(N116)*Assumptions!$B$9+Assumptions!$B$10))+(D116)*Assumptions!$B$11*(N116)+(L116)*AC116*(Assumptions!$B$12+Assumptions!$B$13+IF((L116)*AC116&gt;=Assumptions!$B$16,Assumptions!$B$17,IF((L116)*AC116&gt;=Assumptions!$B$14,Assumptions!$B$15,0))))</f>
        <v>-1845511.1</v>
      </c>
      <c r="AE116" s="46" t="n">
        <f aca="false">(INDEX(Assumptions!$B$36:$B$48,MATCH(AK116,Assumptions!$A$36:$A$48,0))+IF(I116="Yes",Assumptions!$B$23,0)+IF(J116="Yes",Assumptions!$B$24,0))*(1+Assumptions!$B$29)</f>
        <v>1100</v>
      </c>
      <c r="AF116" s="47" t="n">
        <f aca="false">(L116)*AE116-(((D116)+(L116)*Assumptions!$B$4+IF(H116="Yes",Assumptions!$B$6*(D116),(L116)*Assumptions!$B$5))*(1+Assumptions!$B$7*(Assumptions!$B$8*(N116)*Assumptions!$B$9+Assumptions!$B$10))+(D116)*Assumptions!$B$11*(N116)+(L116)*AE116*(Assumptions!$B$12+Assumptions!$B$13+IF((L116)*AE116&gt;=Assumptions!$B$16,Assumptions!$B$17,IF((L116)*AE116&gt;=Assumptions!$B$14,Assumptions!$B$15,0))))</f>
        <v>-1132792.22</v>
      </c>
      <c r="AG116" s="46" t="n">
        <f aca="false">(INDEX(Assumptions!$B$36:$B$48,MATCH(AK116,Assumptions!$A$36:$A$48,0))+IF(I116="Yes",Assumptions!$B$23,0)+IF(J116="Yes",Assumptions!$B$24,0))*(1+Assumptions!$B$30)</f>
        <v>1200</v>
      </c>
      <c r="AH116" s="47" t="n">
        <f aca="false">(L116)*AG116-(((D116)+(L116)*Assumptions!$B$4+IF(H116="Yes",Assumptions!$B$6*(D116),(L116)*Assumptions!$B$5))*(1+Assumptions!$B$7*(Assumptions!$B$8*(N116)*Assumptions!$B$9+Assumptions!$B$10))+(D116)*Assumptions!$B$11*(N116)+(L116)*AG116*(Assumptions!$B$12+Assumptions!$B$13+IF((L116)*AG116&gt;=Assumptions!$B$16,Assumptions!$B$17,IF((L116)*AG116&gt;=Assumptions!$B$14,Assumptions!$B$15,0))))</f>
        <v>-420073.339999998</v>
      </c>
      <c r="AI116" s="47" t="n">
        <f aca="false">(L116)*AE116-(((D116)+(L116)*Assumptions!$B$25+IF(H116="Yes",Assumptions!$B$6*(D116),(L116)*Assumptions!$B$5))*(1+Assumptions!$B$7*(Assumptions!$B$8*(N116)*Assumptions!$B$9+Assumptions!$B$10))+(D116)*Assumptions!$B$11*(N116)+(L116)*AE116*(Assumptions!$B$12+Assumptions!$B$13+IF((L116)*AE116&gt;=Assumptions!$B$16,Assumptions!$B$17,IF((L116)*AE116&gt;=Assumptions!$B$14,Assumptions!$B$15,0))))</f>
        <v>-696063.92</v>
      </c>
      <c r="AJ116" s="47" t="n">
        <f aca="false">(L116)*AE116-(((D116)+(L116)*Assumptions!$B$26+IF(H116="Yes",Assumptions!$B$6*(D116),(L116)*Assumptions!$B$5))*(1+Assumptions!$B$7*(Assumptions!$B$8*(N116)*Assumptions!$B$9+Assumptions!$B$10))+(D116)*Assumptions!$B$11*(N116)+(L116)*AE116*(Assumptions!$B$12+Assumptions!$B$13+IF((L116)*AE116&gt;=Assumptions!$B$16,Assumptions!$B$17,IF((L116)*AE116&gt;=Assumptions!$B$14,Assumptions!$B$15,0))))</f>
        <v>-259335.619999999</v>
      </c>
      <c r="AK116" s="40" t="s">
        <v>256</v>
      </c>
      <c r="AL116" s="45" t="n">
        <f aca="false">IF(G116&gt;0,G116,ROUND(F116*Assumptions!$B$18,0))</f>
        <v>5673</v>
      </c>
      <c r="AM116" s="45" t="n">
        <f aca="false">IF(H116="Yes",AL116,MAX(AL116,MIN(Assumptions!$B$20,ROUND(E116*Assumptions!$B$19,0))))</f>
        <v>7752</v>
      </c>
      <c r="AN116" s="47" t="n">
        <f aca="false">(AL116)*AE116-(((D116)+(AL116)*Assumptions!$B$4+IF(H116="Yes",Assumptions!$B$6*(D116),(AL116)*Assumptions!$B$5))*(1+Assumptions!$B$7*(Assumptions!$B$8*(Assumptions!$B$21)*Assumptions!$B$9+Assumptions!$B$10))+(D116)*Assumptions!$B$11*(Assumptions!$B$21)+(AL116)*AE116*(Assumptions!$B$12+Assumptions!$B$13+IF((AL116)*AE116&gt;=Assumptions!$B$16,Assumptions!$B$17,IF((AL116)*AE116&gt;=Assumptions!$B$14,Assumptions!$B$15,0))))</f>
        <v>-1151808.88625</v>
      </c>
      <c r="AO116" s="47" t="n">
        <f aca="false">(AM116)*AE116-(((D116)+(AM116)*Assumptions!$B$4+IF(H116="Yes",Assumptions!$B$6*(D116),(AM116)*Assumptions!$B$5))*(1+Assumptions!$B$7*(Assumptions!$B$8*(IF(AM116&gt;AL116,Assumptions!$B$22,Assumptions!$B$21))*Assumptions!$B$9+Assumptions!$B$10))+(D116)*Assumptions!$B$11*(IF(AM116&gt;AL116,Assumptions!$B$22,Assumptions!$B$21))+(AM116)*AE116*(Assumptions!$B$12+Assumptions!$B$13+IF((AM116)*AE116&gt;=Assumptions!$B$16,Assumptions!$B$17,IF((AM116)*AE116&gt;=Assumptions!$B$14,Assumptions!$B$15,0))))</f>
        <v>-1132792.22</v>
      </c>
      <c r="AP116" s="47" t="n">
        <f aca="false">Assumptions!$B$7*(Q116+R116+S116)</f>
        <v>5136820</v>
      </c>
    </row>
    <row r="117" customFormat="false" ht="15" hidden="false" customHeight="false" outlineLevel="0" collapsed="false">
      <c r="A117" s="40" t="n">
        <v>115</v>
      </c>
      <c r="B117" s="40" t="s">
        <v>265</v>
      </c>
      <c r="C117" s="40" t="s">
        <v>266</v>
      </c>
      <c r="D117" s="41" t="n">
        <v>2499000</v>
      </c>
      <c r="E117" s="42" t="n">
        <v>19166</v>
      </c>
      <c r="F117" s="42" t="n">
        <v>6463</v>
      </c>
      <c r="G117" s="42"/>
      <c r="H117" s="43" t="s">
        <v>71</v>
      </c>
      <c r="I117" s="43" t="s">
        <v>80</v>
      </c>
      <c r="J117" s="43" t="s">
        <v>71</v>
      </c>
      <c r="K117" s="44"/>
      <c r="L117" s="45" t="n">
        <f aca="false">IF(AO117&gt;AN117,AM117,AL117)</f>
        <v>7109</v>
      </c>
      <c r="M117" s="40" t="str">
        <f aca="false">IF(AO117&gt;AN117,"Zoning estimate",IF(H117="Yes","Approved plans",IF(G117&gt;0,"Listing claim","110% old house")))</f>
        <v>110% old house</v>
      </c>
      <c r="N117" s="45" t="n">
        <f aca="false">IF(AO117&gt;AN117,IF(AM117&gt;AL117,Assumptions!$B$22,Assumptions!$B$21),Assumptions!$B$21)</f>
        <v>2</v>
      </c>
      <c r="O117" s="46" t="n">
        <f aca="false">(INDEX(Assumptions!$B$36:$B$48,MATCH(AK117,Assumptions!$A$36:$A$48,0))+IF(I117="Yes",Assumptions!$B$23,0)+IF(J117="Yes",Assumptions!$B$24,0))*(1+IF(UPPER(Assumptions!$B$31)="WORST",Assumptions!$B$28,IF(UPPER(Assumptions!$B$31)="BEST",Assumptions!$B$30,Assumptions!$B$29)))</f>
        <v>1100</v>
      </c>
      <c r="P117" s="47" t="n">
        <f aca="false">L117*O117</f>
        <v>7819900</v>
      </c>
      <c r="Q117" s="47" t="n">
        <f aca="false">D117</f>
        <v>2499000</v>
      </c>
      <c r="R117" s="47" t="n">
        <f aca="false">L117*Assumptions!$B$4</f>
        <v>4976300</v>
      </c>
      <c r="S117" s="47" t="n">
        <f aca="false">IF(H117="Yes",Assumptions!$B$6*(D117),(L117)*Assumptions!$B$5)</f>
        <v>533175</v>
      </c>
      <c r="T117" s="47" t="n">
        <f aca="false">AP117*(Assumptions!$B$8*N117*Assumptions!$B$9+Assumptions!$B$10)</f>
        <v>702743.68125</v>
      </c>
      <c r="U117" s="47" t="n">
        <f aca="false">Q117*Assumptions!$B$11*N117</f>
        <v>59976</v>
      </c>
      <c r="V117" s="47" t="n">
        <f aca="false">P117*(Assumptions!$B$12+Assumptions!$B$13)</f>
        <v>317487.94</v>
      </c>
      <c r="W117" s="47" t="n">
        <f aca="false">P117*IF(P117&gt;=Assumptions!$B$16,Assumptions!$B$17,IF(P117&gt;=Assumptions!$B$14,Assumptions!$B$15,0))</f>
        <v>312796</v>
      </c>
      <c r="X117" s="48" t="n">
        <f aca="false">SUM(Q117:W117)</f>
        <v>9401478.62125</v>
      </c>
      <c r="Y117" s="48" t="n">
        <f aca="false">P117-X117</f>
        <v>-1581578.62125</v>
      </c>
      <c r="Z117" s="49" t="n">
        <f aca="false">IF(X117=0,0,Y117/X117)</f>
        <v>-0.168226582749993</v>
      </c>
      <c r="AA117" s="47" t="n">
        <f aca="false">MAX(0,(P117/(1+Assumptions!$B$27)-(L117*(Assumptions!$B$4+IF(H117="Yes",0,Assumptions!$B$5)))*(1+(Assumptions!$B$7*(Assumptions!$B$8*N117*Assumptions!$B$9+Assumptions!$B$10)))-P117*(Assumptions!$B$12+Assumptions!$B$13+IF(P117&gt;=Assumptions!$B$16,Assumptions!$B$17,IF(P117&gt;=Assumptions!$B$14,Assumptions!$B$15,0))))/((1+IF(H117="Yes",Assumptions!$B$6,0))*(1+(Assumptions!$B$7*(Assumptions!$B$8*N117*Assumptions!$B$9+Assumptions!$B$10)))+Assumptions!$B$11*N117))</f>
        <v>158936.516508443</v>
      </c>
      <c r="AB117" s="50" t="n">
        <f aca="false">IF(AA117&lt;=0,"no price works",D117/AA117)</f>
        <v>15.7232589143053</v>
      </c>
      <c r="AC117" s="46" t="n">
        <f aca="false">(INDEX(Assumptions!$B$36:$B$48,MATCH(AK117,Assumptions!$A$36:$A$48,0))+IF(I117="Yes",Assumptions!$B$23,0)+IF(J117="Yes",Assumptions!$B$24,0))*(1+Assumptions!$B$28)</f>
        <v>1000</v>
      </c>
      <c r="AD117" s="47" t="n">
        <f aca="false">(L117)*AC117-(((D117)+(L117)*Assumptions!$B$4+IF(H117="Yes",Assumptions!$B$6*(D117),(L117)*Assumptions!$B$5))*(1+Assumptions!$B$7*(Assumptions!$B$8*(N117)*Assumptions!$B$9+Assumptions!$B$10))+(D117)*Assumptions!$B$11*(N117)+(L117)*AC117*(Assumptions!$B$12+Assumptions!$B$13+IF((L117)*AC117&gt;=Assumptions!$B$16,Assumptions!$B$17,IF((L117)*AC117&gt;=Assumptions!$B$14,Assumptions!$B$15,0))))</f>
        <v>-2235180.08125</v>
      </c>
      <c r="AE117" s="46" t="n">
        <f aca="false">(INDEX(Assumptions!$B$36:$B$48,MATCH(AK117,Assumptions!$A$36:$A$48,0))+IF(I117="Yes",Assumptions!$B$23,0)+IF(J117="Yes",Assumptions!$B$24,0))*(1+Assumptions!$B$29)</f>
        <v>1100</v>
      </c>
      <c r="AF117" s="47" t="n">
        <f aca="false">(L117)*AE117-(((D117)+(L117)*Assumptions!$B$4+IF(H117="Yes",Assumptions!$B$6*(D117),(L117)*Assumptions!$B$5))*(1+Assumptions!$B$7*(Assumptions!$B$8*(N117)*Assumptions!$B$9+Assumptions!$B$10))+(D117)*Assumptions!$B$11*(N117)+(L117)*AE117*(Assumptions!$B$12+Assumptions!$B$13+IF((L117)*AE117&gt;=Assumptions!$B$16,Assumptions!$B$17,IF((L117)*AE117&gt;=Assumptions!$B$14,Assumptions!$B$15,0))))</f>
        <v>-1581578.62125</v>
      </c>
      <c r="AG117" s="46" t="n">
        <f aca="false">(INDEX(Assumptions!$B$36:$B$48,MATCH(AK117,Assumptions!$A$36:$A$48,0))+IF(I117="Yes",Assumptions!$B$23,0)+IF(J117="Yes",Assumptions!$B$24,0))*(1+Assumptions!$B$30)</f>
        <v>1200</v>
      </c>
      <c r="AH117" s="47" t="n">
        <f aca="false">(L117)*AG117-(((D117)+(L117)*Assumptions!$B$4+IF(H117="Yes",Assumptions!$B$6*(D117),(L117)*Assumptions!$B$5))*(1+Assumptions!$B$7*(Assumptions!$B$8*(N117)*Assumptions!$B$9+Assumptions!$B$10))+(D117)*Assumptions!$B$11*(N117)+(L117)*AG117*(Assumptions!$B$12+Assumptions!$B$13+IF((L117)*AG117&gt;=Assumptions!$B$16,Assumptions!$B$17,IF((L117)*AG117&gt;=Assumptions!$B$14,Assumptions!$B$15,0))))</f>
        <v>-927977.161250001</v>
      </c>
      <c r="AI117" s="47" t="n">
        <f aca="false">(L117)*AE117-(((D117)+(L117)*Assumptions!$B$25+IF(H117="Yes",Assumptions!$B$6*(D117),(L117)*Assumptions!$B$5))*(1+Assumptions!$B$7*(Assumptions!$B$8*(N117)*Assumptions!$B$9+Assumptions!$B$10))+(D117)*Assumptions!$B$11*(N117)+(L117)*AE117*(Assumptions!$B$12+Assumptions!$B$13+IF((L117)*AE117&gt;=Assumptions!$B$16,Assumptions!$B$17,IF((L117)*AE117&gt;=Assumptions!$B$14,Assumptions!$B$15,0))))</f>
        <v>-1194937.88375</v>
      </c>
      <c r="AJ117" s="47" t="n">
        <f aca="false">(L117)*AE117-(((D117)+(L117)*Assumptions!$B$26+IF(H117="Yes",Assumptions!$B$6*(D117),(L117)*Assumptions!$B$5))*(1+Assumptions!$B$7*(Assumptions!$B$8*(N117)*Assumptions!$B$9+Assumptions!$B$10))+(D117)*Assumptions!$B$11*(N117)+(L117)*AE117*(Assumptions!$B$12+Assumptions!$B$13+IF((L117)*AE117&gt;=Assumptions!$B$16,Assumptions!$B$17,IF((L117)*AE117&gt;=Assumptions!$B$14,Assumptions!$B$15,0))))</f>
        <v>-808297.14625</v>
      </c>
      <c r="AK117" s="40" t="s">
        <v>267</v>
      </c>
      <c r="AL117" s="45" t="n">
        <f aca="false">IF(G117&gt;0,G117,ROUND(F117*Assumptions!$B$18,0))</f>
        <v>7109</v>
      </c>
      <c r="AM117" s="45" t="n">
        <f aca="false">IF(H117="Yes",AL117,MAX(AL117,MIN(Assumptions!$B$20,ROUND(E117*Assumptions!$B$19,0))))</f>
        <v>7666</v>
      </c>
      <c r="AN117" s="47" t="n">
        <f aca="false">(AL117)*AE117-(((D117)+(AL117)*Assumptions!$B$4+IF(H117="Yes",Assumptions!$B$6*(D117),(AL117)*Assumptions!$B$5))*(1+Assumptions!$B$7*(Assumptions!$B$8*(Assumptions!$B$21)*Assumptions!$B$9+Assumptions!$B$10))+(D117)*Assumptions!$B$11*(Assumptions!$B$21)+(AL117)*AE117*(Assumptions!$B$12+Assumptions!$B$13+IF((AL117)*AE117&gt;=Assumptions!$B$16,Assumptions!$B$17,IF((AL117)*AE117&gt;=Assumptions!$B$14,Assumptions!$B$15,0))))</f>
        <v>-1581578.62125</v>
      </c>
      <c r="AO117" s="47" t="n">
        <f aca="false">(AM117)*AE117-(((D117)+(AM117)*Assumptions!$B$4+IF(H117="Yes",Assumptions!$B$6*(D117),(AM117)*Assumptions!$B$5))*(1+Assumptions!$B$7*(Assumptions!$B$8*(IF(AM117&gt;AL117,Assumptions!$B$22,Assumptions!$B$21))*Assumptions!$B$9+Assumptions!$B$10))+(D117)*Assumptions!$B$11*(IF(AM117&gt;AL117,Assumptions!$B$22,Assumptions!$B$21))+(AM117)*AE117*(Assumptions!$B$12+Assumptions!$B$13+IF((AM117)*AE117&gt;=Assumptions!$B$16,Assumptions!$B$17,IF((AM117)*AE117&gt;=Assumptions!$B$14,Assumptions!$B$15,0))))</f>
        <v>-1846970.5725</v>
      </c>
      <c r="AP117" s="47" t="n">
        <f aca="false">Assumptions!$B$7*(Q117+R117+S117)</f>
        <v>5205508.75</v>
      </c>
    </row>
    <row r="118" customFormat="false" ht="15" hidden="false" customHeight="false" outlineLevel="0" collapsed="false">
      <c r="A118" s="40" t="n">
        <v>116</v>
      </c>
      <c r="B118" s="40" t="s">
        <v>268</v>
      </c>
      <c r="C118" s="40" t="s">
        <v>266</v>
      </c>
      <c r="D118" s="41" t="n">
        <v>1825000</v>
      </c>
      <c r="E118" s="42" t="n">
        <v>16685</v>
      </c>
      <c r="F118" s="42" t="n">
        <v>4477</v>
      </c>
      <c r="G118" s="42"/>
      <c r="H118" s="43" t="s">
        <v>71</v>
      </c>
      <c r="I118" s="43" t="s">
        <v>80</v>
      </c>
      <c r="J118" s="43" t="s">
        <v>71</v>
      </c>
      <c r="K118" s="44"/>
      <c r="L118" s="45" t="n">
        <f aca="false">IF(AO118&gt;AN118,AM118,AL118)</f>
        <v>4925</v>
      </c>
      <c r="M118" s="40" t="str">
        <f aca="false">IF(AO118&gt;AN118,"Zoning estimate",IF(H118="Yes","Approved plans",IF(G118&gt;0,"Listing claim","110% old house")))</f>
        <v>110% old house</v>
      </c>
      <c r="N118" s="45" t="n">
        <f aca="false">IF(AO118&gt;AN118,IF(AM118&gt;AL118,Assumptions!$B$22,Assumptions!$B$21),Assumptions!$B$21)</f>
        <v>2</v>
      </c>
      <c r="O118" s="46" t="n">
        <f aca="false">(INDEX(Assumptions!$B$36:$B$48,MATCH(AK118,Assumptions!$A$36:$A$48,0))+IF(I118="Yes",Assumptions!$B$23,0)+IF(J118="Yes",Assumptions!$B$24,0))*(1+IF(UPPER(Assumptions!$B$31)="WORST",Assumptions!$B$28,IF(UPPER(Assumptions!$B$31)="BEST",Assumptions!$B$30,Assumptions!$B$29)))</f>
        <v>1100</v>
      </c>
      <c r="P118" s="47" t="n">
        <f aca="false">L118*O118</f>
        <v>5417500</v>
      </c>
      <c r="Q118" s="47" t="n">
        <f aca="false">D118</f>
        <v>1825000</v>
      </c>
      <c r="R118" s="47" t="n">
        <f aca="false">L118*Assumptions!$B$4</f>
        <v>3447500</v>
      </c>
      <c r="S118" s="47" t="n">
        <f aca="false">IF(H118="Yes",Assumptions!$B$6*(D118),(L118)*Assumptions!$B$5)</f>
        <v>369375</v>
      </c>
      <c r="T118" s="47" t="n">
        <f aca="false">AP118*(Assumptions!$B$8*N118*Assumptions!$B$9+Assumptions!$B$10)</f>
        <v>495074.53125</v>
      </c>
      <c r="U118" s="47" t="n">
        <f aca="false">Q118*Assumptions!$B$11*N118</f>
        <v>43800</v>
      </c>
      <c r="V118" s="47" t="n">
        <f aca="false">P118*(Assumptions!$B$12+Assumptions!$B$13)</f>
        <v>219950.5</v>
      </c>
      <c r="W118" s="47" t="n">
        <f aca="false">P118*IF(P118&gt;=Assumptions!$B$16,Assumptions!$B$17,IF(P118&gt;=Assumptions!$B$14,Assumptions!$B$15,0))</f>
        <v>216700</v>
      </c>
      <c r="X118" s="48" t="n">
        <f aca="false">SUM(Q118:W118)</f>
        <v>6617400.03125</v>
      </c>
      <c r="Y118" s="48" t="n">
        <f aca="false">P118-X118</f>
        <v>-1199900.03125</v>
      </c>
      <c r="Z118" s="49" t="n">
        <f aca="false">IF(X118=0,0,Y118/X118)</f>
        <v>-0.181324995554688</v>
      </c>
      <c r="AA118" s="47" t="n">
        <f aca="false">MAX(0,(P118/(1+Assumptions!$B$27)-(L118*(Assumptions!$B$4+IF(H118="Yes",0,Assumptions!$B$5)))*(1+(Assumptions!$B$7*(Assumptions!$B$8*N118*Assumptions!$B$9+Assumptions!$B$10)))-P118*(Assumptions!$B$12+Assumptions!$B$13+IF(P118&gt;=Assumptions!$B$16,Assumptions!$B$17,IF(P118&gt;=Assumptions!$B$14,Assumptions!$B$15,0))))/((1+IF(H118="Yes",Assumptions!$B$6,0))*(1+(Assumptions!$B$7*(Assumptions!$B$8*N118*Assumptions!$B$9+Assumptions!$B$10)))+Assumptions!$B$11*N118))</f>
        <v>110108.643100869</v>
      </c>
      <c r="AB118" s="50" t="n">
        <f aca="false">IF(AA118&lt;=0,"no price works",D118/AA118)</f>
        <v>16.5745390062444</v>
      </c>
      <c r="AC118" s="46" t="n">
        <f aca="false">(INDEX(Assumptions!$B$36:$B$48,MATCH(AK118,Assumptions!$A$36:$A$48,0))+IF(I118="Yes",Assumptions!$B$23,0)+IF(J118="Yes",Assumptions!$B$24,0))*(1+Assumptions!$B$28)</f>
        <v>1000</v>
      </c>
      <c r="AD118" s="47" t="n">
        <f aca="false">(L118)*AC118-(((D118)+(L118)*Assumptions!$B$4+IF(H118="Yes",Assumptions!$B$6*(D118),(L118)*Assumptions!$B$5))*(1+Assumptions!$B$7*(Assumptions!$B$8*(N118)*Assumptions!$B$9+Assumptions!$B$10))+(D118)*Assumptions!$B$11*(N118)+(L118)*AC118*(Assumptions!$B$12+Assumptions!$B$13+IF((L118)*AC118&gt;=Assumptions!$B$16,Assumptions!$B$17,IF((L118)*AC118&gt;=Assumptions!$B$14,Assumptions!$B$15,0))))</f>
        <v>-1455704.53125</v>
      </c>
      <c r="AE118" s="46" t="n">
        <f aca="false">(INDEX(Assumptions!$B$36:$B$48,MATCH(AK118,Assumptions!$A$36:$A$48,0))+IF(I118="Yes",Assumptions!$B$23,0)+IF(J118="Yes",Assumptions!$B$24,0))*(1+Assumptions!$B$29)</f>
        <v>1100</v>
      </c>
      <c r="AF118" s="47" t="n">
        <f aca="false">(L118)*AE118-(((D118)+(L118)*Assumptions!$B$4+IF(H118="Yes",Assumptions!$B$6*(D118),(L118)*Assumptions!$B$5))*(1+Assumptions!$B$7*(Assumptions!$B$8*(N118)*Assumptions!$B$9+Assumptions!$B$10))+(D118)*Assumptions!$B$11*(N118)+(L118)*AE118*(Assumptions!$B$12+Assumptions!$B$13+IF((L118)*AE118&gt;=Assumptions!$B$16,Assumptions!$B$17,IF((L118)*AE118&gt;=Assumptions!$B$14,Assumptions!$B$15,0))))</f>
        <v>-1199900.03125</v>
      </c>
      <c r="AG118" s="46" t="n">
        <f aca="false">(INDEX(Assumptions!$B$36:$B$48,MATCH(AK118,Assumptions!$A$36:$A$48,0))+IF(I118="Yes",Assumptions!$B$23,0)+IF(J118="Yes",Assumptions!$B$24,0))*(1+Assumptions!$B$30)</f>
        <v>1200</v>
      </c>
      <c r="AH118" s="47" t="n">
        <f aca="false">(L118)*AG118-(((D118)+(L118)*Assumptions!$B$4+IF(H118="Yes",Assumptions!$B$6*(D118),(L118)*Assumptions!$B$5))*(1+Assumptions!$B$7*(Assumptions!$B$8*(N118)*Assumptions!$B$9+Assumptions!$B$10))+(D118)*Assumptions!$B$11*(N118)+(L118)*AG118*(Assumptions!$B$12+Assumptions!$B$13+IF((L118)*AG118&gt;=Assumptions!$B$16,Assumptions!$B$17,IF((L118)*AG118&gt;=Assumptions!$B$14,Assumptions!$B$15,0))))</f>
        <v>-747095.53125</v>
      </c>
      <c r="AI118" s="47" t="n">
        <f aca="false">(L118)*AE118-(((D118)+(L118)*Assumptions!$B$25+IF(H118="Yes",Assumptions!$B$6*(D118),(L118)*Assumptions!$B$5))*(1+Assumptions!$B$7*(Assumptions!$B$8*(N118)*Assumptions!$B$9+Assumptions!$B$10))+(D118)*Assumptions!$B$11*(N118)+(L118)*AE118*(Assumptions!$B$12+Assumptions!$B$13+IF((L118)*AE118&gt;=Assumptions!$B$16,Assumptions!$B$17,IF((L118)*AE118&gt;=Assumptions!$B$14,Assumptions!$B$15,0))))</f>
        <v>-932041.59375</v>
      </c>
      <c r="AJ118" s="47" t="n">
        <f aca="false">(L118)*AE118-(((D118)+(L118)*Assumptions!$B$26+IF(H118="Yes",Assumptions!$B$6*(D118),(L118)*Assumptions!$B$5))*(1+Assumptions!$B$7*(Assumptions!$B$8*(N118)*Assumptions!$B$9+Assumptions!$B$10))+(D118)*Assumptions!$B$11*(N118)+(L118)*AE118*(Assumptions!$B$12+Assumptions!$B$13+IF((L118)*AE118&gt;=Assumptions!$B$16,Assumptions!$B$17,IF((L118)*AE118&gt;=Assumptions!$B$14,Assumptions!$B$15,0))))</f>
        <v>-664183.15625</v>
      </c>
      <c r="AK118" s="40" t="s">
        <v>267</v>
      </c>
      <c r="AL118" s="45" t="n">
        <f aca="false">IF(G118&gt;0,G118,ROUND(F118*Assumptions!$B$18,0))</f>
        <v>4925</v>
      </c>
      <c r="AM118" s="45" t="n">
        <f aca="false">IF(H118="Yes",AL118,MAX(AL118,MIN(Assumptions!$B$20,ROUND(E118*Assumptions!$B$19,0))))</f>
        <v>6674</v>
      </c>
      <c r="AN118" s="47" t="n">
        <f aca="false">(AL118)*AE118-(((D118)+(AL118)*Assumptions!$B$4+IF(H118="Yes",Assumptions!$B$6*(D118),(AL118)*Assumptions!$B$5))*(1+Assumptions!$B$7*(Assumptions!$B$8*(Assumptions!$B$21)*Assumptions!$B$9+Assumptions!$B$10))+(D118)*Assumptions!$B$11*(Assumptions!$B$21)+(AL118)*AE118*(Assumptions!$B$12+Assumptions!$B$13+IF((AL118)*AE118&gt;=Assumptions!$B$16,Assumptions!$B$17,IF((AL118)*AE118&gt;=Assumptions!$B$14,Assumptions!$B$15,0))))</f>
        <v>-1199900.03125</v>
      </c>
      <c r="AO118" s="47" t="n">
        <f aca="false">(AM118)*AE118-(((D118)+(AM118)*Assumptions!$B$4+IF(H118="Yes",Assumptions!$B$6*(D118),(AM118)*Assumptions!$B$5))*(1+Assumptions!$B$7*(Assumptions!$B$8*(IF(AM118&gt;AL118,Assumptions!$B$22,Assumptions!$B$21))*Assumptions!$B$9+Assumptions!$B$10))+(D118)*Assumptions!$B$11*(IF(AM118&gt;AL118,Assumptions!$B$22,Assumptions!$B$21))+(AM118)*AE118*(Assumptions!$B$12+Assumptions!$B$13+IF((AM118)*AE118&gt;=Assumptions!$B$16,Assumptions!$B$17,IF((AM118)*AE118&gt;=Assumptions!$B$14,Assumptions!$B$15,0))))</f>
        <v>-1200280.9525</v>
      </c>
      <c r="AP118" s="47" t="n">
        <f aca="false">Assumptions!$B$7*(Q118+R118+S118)</f>
        <v>3667218.75</v>
      </c>
    </row>
    <row r="119" customFormat="false" ht="15" hidden="false" customHeight="false" outlineLevel="0" collapsed="false">
      <c r="A119" s="40" t="n">
        <v>117</v>
      </c>
      <c r="B119" s="40" t="s">
        <v>269</v>
      </c>
      <c r="C119" s="40" t="s">
        <v>266</v>
      </c>
      <c r="D119" s="41" t="n">
        <v>1650000</v>
      </c>
      <c r="E119" s="42" t="n">
        <v>19418</v>
      </c>
      <c r="F119" s="42" t="n">
        <v>5708</v>
      </c>
      <c r="G119" s="42"/>
      <c r="H119" s="43" t="s">
        <v>71</v>
      </c>
      <c r="I119" s="43" t="s">
        <v>80</v>
      </c>
      <c r="J119" s="43" t="s">
        <v>71</v>
      </c>
      <c r="K119" s="44"/>
      <c r="L119" s="45" t="n">
        <f aca="false">IF(AO119&gt;AN119,AM119,AL119)</f>
        <v>6279</v>
      </c>
      <c r="M119" s="40" t="str">
        <f aca="false">IF(AO119&gt;AN119,"Zoning estimate",IF(H119="Yes","Approved plans",IF(G119&gt;0,"Listing claim","110% old house")))</f>
        <v>110% old house</v>
      </c>
      <c r="N119" s="45" t="n">
        <f aca="false">IF(AO119&gt;AN119,IF(AM119&gt;AL119,Assumptions!$B$22,Assumptions!$B$21),Assumptions!$B$21)</f>
        <v>2</v>
      </c>
      <c r="O119" s="46" t="n">
        <f aca="false">(INDEX(Assumptions!$B$36:$B$48,MATCH(AK119,Assumptions!$A$36:$A$48,0))+IF(I119="Yes",Assumptions!$B$23,0)+IF(J119="Yes",Assumptions!$B$24,0))*(1+IF(UPPER(Assumptions!$B$31)="WORST",Assumptions!$B$28,IF(UPPER(Assumptions!$B$31)="BEST",Assumptions!$B$30,Assumptions!$B$29)))</f>
        <v>1100</v>
      </c>
      <c r="P119" s="47" t="n">
        <f aca="false">L119*O119</f>
        <v>6906900</v>
      </c>
      <c r="Q119" s="47" t="n">
        <f aca="false">D119</f>
        <v>1650000</v>
      </c>
      <c r="R119" s="47" t="n">
        <f aca="false">L119*Assumptions!$B$4</f>
        <v>4395300</v>
      </c>
      <c r="S119" s="47" t="n">
        <f aca="false">IF(H119="Yes",Assumptions!$B$6*(D119),(L119)*Assumptions!$B$5)</f>
        <v>470925</v>
      </c>
      <c r="T119" s="47" t="n">
        <f aca="false">AP119*(Assumptions!$B$8*N119*Assumptions!$B$9+Assumptions!$B$10)</f>
        <v>571798.74375</v>
      </c>
      <c r="U119" s="47" t="n">
        <f aca="false">Q119*Assumptions!$B$11*N119</f>
        <v>39600</v>
      </c>
      <c r="V119" s="47" t="n">
        <f aca="false">P119*(Assumptions!$B$12+Assumptions!$B$13)</f>
        <v>280420.14</v>
      </c>
      <c r="W119" s="47" t="n">
        <f aca="false">P119*IF(P119&gt;=Assumptions!$B$16,Assumptions!$B$17,IF(P119&gt;=Assumptions!$B$14,Assumptions!$B$15,0))</f>
        <v>276276</v>
      </c>
      <c r="X119" s="48" t="n">
        <f aca="false">SUM(Q119:W119)</f>
        <v>7684319.88375</v>
      </c>
      <c r="Y119" s="48" t="n">
        <f aca="false">P119-X119</f>
        <v>-777419.88375</v>
      </c>
      <c r="Z119" s="49" t="n">
        <f aca="false">IF(X119=0,0,Y119/X119)</f>
        <v>-0.101169640971611</v>
      </c>
      <c r="AA119" s="47" t="n">
        <f aca="false">MAX(0,(P119/(1+Assumptions!$B$27)-(L119*(Assumptions!$B$4+IF(H119="Yes",0,Assumptions!$B$5)))*(1+(Assumptions!$B$7*(Assumptions!$B$8*N119*Assumptions!$B$9+Assumptions!$B$10)))-P119*(Assumptions!$B$12+Assumptions!$B$13+IF(P119&gt;=Assumptions!$B$16,Assumptions!$B$17,IF(P119&gt;=Assumptions!$B$14,Assumptions!$B$15,0))))/((1+IF(H119="Yes",Assumptions!$B$6,0))*(1+(Assumptions!$B$7*(Assumptions!$B$8*N119*Assumptions!$B$9+Assumptions!$B$10)))+Assumptions!$B$11*N119))</f>
        <v>140380.136046773</v>
      </c>
      <c r="AB119" s="50" t="n">
        <f aca="false">IF(AA119&lt;=0,"no price works",D119/AA119)</f>
        <v>11.7537996932147</v>
      </c>
      <c r="AC119" s="46" t="n">
        <f aca="false">(INDEX(Assumptions!$B$36:$B$48,MATCH(AK119,Assumptions!$A$36:$A$48,0))+IF(I119="Yes",Assumptions!$B$23,0)+IF(J119="Yes",Assumptions!$B$24,0))*(1+Assumptions!$B$28)</f>
        <v>1000</v>
      </c>
      <c r="AD119" s="47" t="n">
        <f aca="false">(L119)*AC119-(((D119)+(L119)*Assumptions!$B$4+IF(H119="Yes",Assumptions!$B$6*(D119),(L119)*Assumptions!$B$5))*(1+Assumptions!$B$7*(Assumptions!$B$8*(N119)*Assumptions!$B$9+Assumptions!$B$10))+(D119)*Assumptions!$B$11*(N119)+(L119)*AC119*(Assumptions!$B$12+Assumptions!$B$13+IF((L119)*AC119&gt;=Assumptions!$B$16,Assumptions!$B$17,IF((L119)*AC119&gt;=Assumptions!$B$14,Assumptions!$B$15,0))))</f>
        <v>-1354711.14375</v>
      </c>
      <c r="AE119" s="46" t="n">
        <f aca="false">(INDEX(Assumptions!$B$36:$B$48,MATCH(AK119,Assumptions!$A$36:$A$48,0))+IF(I119="Yes",Assumptions!$B$23,0)+IF(J119="Yes",Assumptions!$B$24,0))*(1+Assumptions!$B$29)</f>
        <v>1100</v>
      </c>
      <c r="AF119" s="47" t="n">
        <f aca="false">(L119)*AE119-(((D119)+(L119)*Assumptions!$B$4+IF(H119="Yes",Assumptions!$B$6*(D119),(L119)*Assumptions!$B$5))*(1+Assumptions!$B$7*(Assumptions!$B$8*(N119)*Assumptions!$B$9+Assumptions!$B$10))+(D119)*Assumptions!$B$11*(N119)+(L119)*AE119*(Assumptions!$B$12+Assumptions!$B$13+IF((L119)*AE119&gt;=Assumptions!$B$16,Assumptions!$B$17,IF((L119)*AE119&gt;=Assumptions!$B$14,Assumptions!$B$15,0))))</f>
        <v>-777419.88375</v>
      </c>
      <c r="AG119" s="46" t="n">
        <f aca="false">(INDEX(Assumptions!$B$36:$B$48,MATCH(AK119,Assumptions!$A$36:$A$48,0))+IF(I119="Yes",Assumptions!$B$23,0)+IF(J119="Yes",Assumptions!$B$24,0))*(1+Assumptions!$B$30)</f>
        <v>1200</v>
      </c>
      <c r="AH119" s="47" t="n">
        <f aca="false">(L119)*AG119-(((D119)+(L119)*Assumptions!$B$4+IF(H119="Yes",Assumptions!$B$6*(D119),(L119)*Assumptions!$B$5))*(1+Assumptions!$B$7*(Assumptions!$B$8*(N119)*Assumptions!$B$9+Assumptions!$B$10))+(D119)*Assumptions!$B$11*(N119)+(L119)*AG119*(Assumptions!$B$12+Assumptions!$B$13+IF((L119)*AG119&gt;=Assumptions!$B$16,Assumptions!$B$17,IF((L119)*AG119&gt;=Assumptions!$B$14,Assumptions!$B$15,0))))</f>
        <v>-200128.62375</v>
      </c>
      <c r="AI119" s="47" t="n">
        <f aca="false">(L119)*AE119-(((D119)+(L119)*Assumptions!$B$25+IF(H119="Yes",Assumptions!$B$6*(D119),(L119)*Assumptions!$B$5))*(1+Assumptions!$B$7*(Assumptions!$B$8*(N119)*Assumptions!$B$9+Assumptions!$B$10))+(D119)*Assumptions!$B$11*(N119)+(L119)*AE119*(Assumptions!$B$12+Assumptions!$B$13+IF((L119)*AE119&gt;=Assumptions!$B$16,Assumptions!$B$17,IF((L119)*AE119&gt;=Assumptions!$B$14,Assumptions!$B$15,0))))</f>
        <v>-435920.771249999</v>
      </c>
      <c r="AJ119" s="47" t="n">
        <f aca="false">(L119)*AE119-(((D119)+(L119)*Assumptions!$B$26+IF(H119="Yes",Assumptions!$B$6*(D119),(L119)*Assumptions!$B$5))*(1+Assumptions!$B$7*(Assumptions!$B$8*(N119)*Assumptions!$B$9+Assumptions!$B$10))+(D119)*Assumptions!$B$11*(N119)+(L119)*AE119*(Assumptions!$B$12+Assumptions!$B$13+IF((L119)*AE119&gt;=Assumptions!$B$16,Assumptions!$B$17,IF((L119)*AE119&gt;=Assumptions!$B$14,Assumptions!$B$15,0))))</f>
        <v>-94421.6587499995</v>
      </c>
      <c r="AK119" s="40" t="s">
        <v>267</v>
      </c>
      <c r="AL119" s="45" t="n">
        <f aca="false">IF(G119&gt;0,G119,ROUND(F119*Assumptions!$B$18,0))</f>
        <v>6279</v>
      </c>
      <c r="AM119" s="45" t="n">
        <f aca="false">IF(H119="Yes",AL119,MAX(AL119,MIN(Assumptions!$B$20,ROUND(E119*Assumptions!$B$19,0))))</f>
        <v>7767</v>
      </c>
      <c r="AN119" s="47" t="n">
        <f aca="false">(AL119)*AE119-(((D119)+(AL119)*Assumptions!$B$4+IF(H119="Yes",Assumptions!$B$6*(D119),(AL119)*Assumptions!$B$5))*(1+Assumptions!$B$7*(Assumptions!$B$8*(Assumptions!$B$21)*Assumptions!$B$9+Assumptions!$B$10))+(D119)*Assumptions!$B$11*(Assumptions!$B$21)+(AL119)*AE119*(Assumptions!$B$12+Assumptions!$B$13+IF((AL119)*AE119&gt;=Assumptions!$B$16,Assumptions!$B$17,IF((AL119)*AE119&gt;=Assumptions!$B$14,Assumptions!$B$15,0))))</f>
        <v>-777419.88375</v>
      </c>
      <c r="AO119" s="47" t="n">
        <f aca="false">(AM119)*AE119-(((D119)+(AM119)*Assumptions!$B$4+IF(H119="Yes",Assumptions!$B$6*(D119),(AM119)*Assumptions!$B$5))*(1+Assumptions!$B$7*(Assumptions!$B$8*(IF(AM119&gt;AL119,Assumptions!$B$22,Assumptions!$B$21))*Assumptions!$B$9+Assumptions!$B$10))+(D119)*Assumptions!$B$11*(IF(AM119&gt;AL119,Assumptions!$B$22,Assumptions!$B$21))+(AM119)*AE119*(Assumptions!$B$12+Assumptions!$B$13+IF((AM119)*AE119&gt;=Assumptions!$B$16,Assumptions!$B$17,IF((AM119)*AE119&gt;=Assumptions!$B$14,Assumptions!$B$15,0))))</f>
        <v>-845846.838749999</v>
      </c>
      <c r="AP119" s="47" t="n">
        <f aca="false">Assumptions!$B$7*(Q119+R119+S119)</f>
        <v>4235546.25</v>
      </c>
    </row>
    <row r="120" customFormat="false" ht="15" hidden="false" customHeight="false" outlineLevel="0" collapsed="false">
      <c r="A120" s="40" t="n">
        <v>118</v>
      </c>
      <c r="B120" s="40" t="s">
        <v>270</v>
      </c>
      <c r="C120" s="40" t="s">
        <v>266</v>
      </c>
      <c r="D120" s="41" t="n">
        <v>1675000</v>
      </c>
      <c r="E120" s="42" t="n">
        <v>19745</v>
      </c>
      <c r="F120" s="42" t="n">
        <v>5683</v>
      </c>
      <c r="G120" s="42"/>
      <c r="H120" s="43" t="s">
        <v>71</v>
      </c>
      <c r="I120" s="43" t="s">
        <v>80</v>
      </c>
      <c r="J120" s="43" t="s">
        <v>71</v>
      </c>
      <c r="K120" s="44"/>
      <c r="L120" s="45" t="n">
        <f aca="false">IF(AO120&gt;AN120,AM120,AL120)</f>
        <v>6251</v>
      </c>
      <c r="M120" s="40" t="str">
        <f aca="false">IF(AO120&gt;AN120,"Zoning estimate",IF(H120="Yes","Approved plans",IF(G120&gt;0,"Listing claim","110% old house")))</f>
        <v>110% old house</v>
      </c>
      <c r="N120" s="45" t="n">
        <f aca="false">IF(AO120&gt;AN120,IF(AM120&gt;AL120,Assumptions!$B$22,Assumptions!$B$21),Assumptions!$B$21)</f>
        <v>2</v>
      </c>
      <c r="O120" s="46" t="n">
        <f aca="false">(INDEX(Assumptions!$B$36:$B$48,MATCH(AK120,Assumptions!$A$36:$A$48,0))+IF(I120="Yes",Assumptions!$B$23,0)+IF(J120="Yes",Assumptions!$B$24,0))*(1+IF(UPPER(Assumptions!$B$31)="WORST",Assumptions!$B$28,IF(UPPER(Assumptions!$B$31)="BEST",Assumptions!$B$30,Assumptions!$B$29)))</f>
        <v>1100</v>
      </c>
      <c r="P120" s="47" t="n">
        <f aca="false">L120*O120</f>
        <v>6876100</v>
      </c>
      <c r="Q120" s="47" t="n">
        <f aca="false">D120</f>
        <v>1675000</v>
      </c>
      <c r="R120" s="47" t="n">
        <f aca="false">L120*Assumptions!$B$4</f>
        <v>4375700</v>
      </c>
      <c r="S120" s="47" t="n">
        <f aca="false">IF(H120="Yes",Assumptions!$B$6*(D120),(L120)*Assumptions!$B$5)</f>
        <v>468825</v>
      </c>
      <c r="T120" s="47" t="n">
        <f aca="false">AP120*(Assumptions!$B$8*N120*Assumptions!$B$9+Assumptions!$B$10)</f>
        <v>572088.31875</v>
      </c>
      <c r="U120" s="47" t="n">
        <f aca="false">Q120*Assumptions!$B$11*N120</f>
        <v>40200</v>
      </c>
      <c r="V120" s="47" t="n">
        <f aca="false">P120*(Assumptions!$B$12+Assumptions!$B$13)</f>
        <v>279169.66</v>
      </c>
      <c r="W120" s="47" t="n">
        <f aca="false">P120*IF(P120&gt;=Assumptions!$B$16,Assumptions!$B$17,IF(P120&gt;=Assumptions!$B$14,Assumptions!$B$15,0))</f>
        <v>275044</v>
      </c>
      <c r="X120" s="48" t="n">
        <f aca="false">SUM(Q120:W120)</f>
        <v>7686026.97875</v>
      </c>
      <c r="Y120" s="48" t="n">
        <f aca="false">P120-X120</f>
        <v>-809926.97875</v>
      </c>
      <c r="Z120" s="49" t="n">
        <f aca="false">IF(X120=0,0,Y120/X120)</f>
        <v>-0.105376546424993</v>
      </c>
      <c r="AA120" s="47" t="n">
        <f aca="false">MAX(0,(P120/(1+Assumptions!$B$27)-(L120*(Assumptions!$B$4+IF(H120="Yes",0,Assumptions!$B$5)))*(1+(Assumptions!$B$7*(Assumptions!$B$8*N120*Assumptions!$B$9+Assumptions!$B$10)))-P120*(Assumptions!$B$12+Assumptions!$B$13+IF(P120&gt;=Assumptions!$B$16,Assumptions!$B$17,IF(P120&gt;=Assumptions!$B$14,Assumptions!$B$15,0))))/((1+IF(H120="Yes",Assumptions!$B$6,0))*(1+(Assumptions!$B$7*(Assumptions!$B$8*N120*Assumptions!$B$9+Assumptions!$B$10)))+Assumptions!$B$11*N120))</f>
        <v>139754.137669754</v>
      </c>
      <c r="AB120" s="50" t="n">
        <f aca="false">IF(AA120&lt;=0,"no price works",D120/AA120)</f>
        <v>11.9853338722472</v>
      </c>
      <c r="AC120" s="46" t="n">
        <f aca="false">(INDEX(Assumptions!$B$36:$B$48,MATCH(AK120,Assumptions!$A$36:$A$48,0))+IF(I120="Yes",Assumptions!$B$23,0)+IF(J120="Yes",Assumptions!$B$24,0))*(1+Assumptions!$B$28)</f>
        <v>1000</v>
      </c>
      <c r="AD120" s="47" t="n">
        <f aca="false">(L120)*AC120-(((D120)+(L120)*Assumptions!$B$4+IF(H120="Yes",Assumptions!$B$6*(D120),(L120)*Assumptions!$B$5))*(1+Assumptions!$B$7*(Assumptions!$B$8*(N120)*Assumptions!$B$9+Assumptions!$B$10))+(D120)*Assumptions!$B$11*(N120)+(L120)*AC120*(Assumptions!$B$12+Assumptions!$B$13+IF((L120)*AC120&gt;=Assumptions!$B$16,Assumptions!$B$17,IF((L120)*AC120&gt;=Assumptions!$B$14,Assumptions!$B$15,0))))</f>
        <v>-1384643.91875</v>
      </c>
      <c r="AE120" s="46" t="n">
        <f aca="false">(INDEX(Assumptions!$B$36:$B$48,MATCH(AK120,Assumptions!$A$36:$A$48,0))+IF(I120="Yes",Assumptions!$B$23,0)+IF(J120="Yes",Assumptions!$B$24,0))*(1+Assumptions!$B$29)</f>
        <v>1100</v>
      </c>
      <c r="AF120" s="47" t="n">
        <f aca="false">(L120)*AE120-(((D120)+(L120)*Assumptions!$B$4+IF(H120="Yes",Assumptions!$B$6*(D120),(L120)*Assumptions!$B$5))*(1+Assumptions!$B$7*(Assumptions!$B$8*(N120)*Assumptions!$B$9+Assumptions!$B$10))+(D120)*Assumptions!$B$11*(N120)+(L120)*AE120*(Assumptions!$B$12+Assumptions!$B$13+IF((L120)*AE120&gt;=Assumptions!$B$16,Assumptions!$B$17,IF((L120)*AE120&gt;=Assumptions!$B$14,Assumptions!$B$15,0))))</f>
        <v>-809926.97875</v>
      </c>
      <c r="AG120" s="46" t="n">
        <f aca="false">(INDEX(Assumptions!$B$36:$B$48,MATCH(AK120,Assumptions!$A$36:$A$48,0))+IF(I120="Yes",Assumptions!$B$23,0)+IF(J120="Yes",Assumptions!$B$24,0))*(1+Assumptions!$B$30)</f>
        <v>1200</v>
      </c>
      <c r="AH120" s="47" t="n">
        <f aca="false">(L120)*AG120-(((D120)+(L120)*Assumptions!$B$4+IF(H120="Yes",Assumptions!$B$6*(D120),(L120)*Assumptions!$B$5))*(1+Assumptions!$B$7*(Assumptions!$B$8*(N120)*Assumptions!$B$9+Assumptions!$B$10))+(D120)*Assumptions!$B$11*(N120)+(L120)*AG120*(Assumptions!$B$12+Assumptions!$B$13+IF((L120)*AG120&gt;=Assumptions!$B$16,Assumptions!$B$17,IF((L120)*AG120&gt;=Assumptions!$B$14,Assumptions!$B$15,0))))</f>
        <v>-235210.038749999</v>
      </c>
      <c r="AI120" s="47" t="n">
        <f aca="false">(L120)*AE120-(((D120)+(L120)*Assumptions!$B$25+IF(H120="Yes",Assumptions!$B$6*(D120),(L120)*Assumptions!$B$5))*(1+Assumptions!$B$7*(Assumptions!$B$8*(N120)*Assumptions!$B$9+Assumptions!$B$10))+(D120)*Assumptions!$B$11*(N120)+(L120)*AE120*(Assumptions!$B$12+Assumptions!$B$13+IF((L120)*AE120&gt;=Assumptions!$B$16,Assumptions!$B$17,IF((L120)*AE120&gt;=Assumptions!$B$14,Assumptions!$B$15,0))))</f>
        <v>-469950.716250001</v>
      </c>
      <c r="AJ120" s="47" t="n">
        <f aca="false">(L120)*AE120-(((D120)+(L120)*Assumptions!$B$26+IF(H120="Yes",Assumptions!$B$6*(D120),(L120)*Assumptions!$B$5))*(1+Assumptions!$B$7*(Assumptions!$B$8*(N120)*Assumptions!$B$9+Assumptions!$B$10))+(D120)*Assumptions!$B$11*(N120)+(L120)*AE120*(Assumptions!$B$12+Assumptions!$B$13+IF((L120)*AE120&gt;=Assumptions!$B$16,Assumptions!$B$17,IF((L120)*AE120&gt;=Assumptions!$B$14,Assumptions!$B$15,0))))</f>
        <v>-129974.45375</v>
      </c>
      <c r="AK120" s="40" t="s">
        <v>267</v>
      </c>
      <c r="AL120" s="45" t="n">
        <f aca="false">IF(G120&gt;0,G120,ROUND(F120*Assumptions!$B$18,0))</f>
        <v>6251</v>
      </c>
      <c r="AM120" s="45" t="n">
        <f aca="false">IF(H120="Yes",AL120,MAX(AL120,MIN(Assumptions!$B$20,ROUND(E120*Assumptions!$B$19,0))))</f>
        <v>7898</v>
      </c>
      <c r="AN120" s="47" t="n">
        <f aca="false">(AL120)*AE120-(((D120)+(AL120)*Assumptions!$B$4+IF(H120="Yes",Assumptions!$B$6*(D120),(AL120)*Assumptions!$B$5))*(1+Assumptions!$B$7*(Assumptions!$B$8*(Assumptions!$B$21)*Assumptions!$B$9+Assumptions!$B$10))+(D120)*Assumptions!$B$11*(Assumptions!$B$21)+(AL120)*AE120*(Assumptions!$B$12+Assumptions!$B$13+IF((AL120)*AE120&gt;=Assumptions!$B$16,Assumptions!$B$17,IF((AL120)*AE120&gt;=Assumptions!$B$14,Assumptions!$B$15,0))))</f>
        <v>-809926.97875</v>
      </c>
      <c r="AO120" s="47" t="n">
        <f aca="false">(AM120)*AE120-(((D120)+(AM120)*Assumptions!$B$4+IF(H120="Yes",Assumptions!$B$6*(D120),(AM120)*Assumptions!$B$5))*(1+Assumptions!$B$7*(Assumptions!$B$8*(IF(AM120&gt;AL120,Assumptions!$B$22,Assumptions!$B$21))*Assumptions!$B$9+Assumptions!$B$10))+(D120)*Assumptions!$B$11*(IF(AM120&gt;AL120,Assumptions!$B$22,Assumptions!$B$21))+(AM120)*AE120*(Assumptions!$B$12+Assumptions!$B$13+IF((AM120)*AE120&gt;=Assumptions!$B$16,Assumptions!$B$17,IF((AM120)*AE120&gt;=Assumptions!$B$14,Assumptions!$B$15,0))))</f>
        <v>-856823.342499999</v>
      </c>
      <c r="AP120" s="47" t="n">
        <f aca="false">Assumptions!$B$7*(Q120+R120+S120)</f>
        <v>4237691.25</v>
      </c>
    </row>
    <row r="121" customFormat="false" ht="15" hidden="false" customHeight="false" outlineLevel="0" collapsed="false">
      <c r="A121" s="40" t="n">
        <v>119</v>
      </c>
      <c r="B121" s="40" t="s">
        <v>271</v>
      </c>
      <c r="C121" s="40" t="s">
        <v>266</v>
      </c>
      <c r="D121" s="41" t="n">
        <v>1650000</v>
      </c>
      <c r="E121" s="42" t="n">
        <v>19841</v>
      </c>
      <c r="F121" s="42" t="n">
        <v>4683</v>
      </c>
      <c r="G121" s="42"/>
      <c r="H121" s="43" t="s">
        <v>71</v>
      </c>
      <c r="I121" s="43" t="s">
        <v>80</v>
      </c>
      <c r="J121" s="43" t="s">
        <v>71</v>
      </c>
      <c r="K121" s="44" t="s">
        <v>272</v>
      </c>
      <c r="L121" s="45" t="n">
        <f aca="false">IF(AO121&gt;AN121,AM121,AL121)</f>
        <v>7936</v>
      </c>
      <c r="M121" s="40" t="str">
        <f aca="false">IF(AO121&gt;AN121,"Zoning estimate",IF(H121="Yes","Approved plans",IF(G121&gt;0,"Listing claim","110% old house")))</f>
        <v>Zoning estimate</v>
      </c>
      <c r="N121" s="45" t="n">
        <f aca="false">IF(AO121&gt;AN121,IF(AM121&gt;AL121,Assumptions!$B$22,Assumptions!$B$21),Assumptions!$B$21)</f>
        <v>3</v>
      </c>
      <c r="O121" s="46" t="n">
        <f aca="false">(INDEX(Assumptions!$B$36:$B$48,MATCH(AK121,Assumptions!$A$36:$A$48,0))+IF(I121="Yes",Assumptions!$B$23,0)+IF(J121="Yes",Assumptions!$B$24,0))*(1+IF(UPPER(Assumptions!$B$31)="WORST",Assumptions!$B$28,IF(UPPER(Assumptions!$B$31)="BEST",Assumptions!$B$30,Assumptions!$B$29)))</f>
        <v>1100</v>
      </c>
      <c r="P121" s="47" t="n">
        <f aca="false">L121*O121</f>
        <v>8729600</v>
      </c>
      <c r="Q121" s="47" t="n">
        <f aca="false">D121</f>
        <v>1650000</v>
      </c>
      <c r="R121" s="47" t="n">
        <f aca="false">L121*Assumptions!$B$4</f>
        <v>5555200</v>
      </c>
      <c r="S121" s="47" t="n">
        <f aca="false">IF(H121="Yes",Assumptions!$B$6*(D121),(L121)*Assumptions!$B$5)</f>
        <v>595200</v>
      </c>
      <c r="T121" s="47" t="n">
        <f aca="false">AP121*(Assumptions!$B$8*N121*Assumptions!$B$9+Assumptions!$B$10)</f>
        <v>988700.7</v>
      </c>
      <c r="U121" s="47" t="n">
        <f aca="false">Q121*Assumptions!$B$11*N121</f>
        <v>59400</v>
      </c>
      <c r="V121" s="47" t="n">
        <f aca="false">P121*(Assumptions!$B$12+Assumptions!$B$13)</f>
        <v>354421.76</v>
      </c>
      <c r="W121" s="47" t="n">
        <f aca="false">P121*IF(P121&gt;=Assumptions!$B$16,Assumptions!$B$17,IF(P121&gt;=Assumptions!$B$14,Assumptions!$B$15,0))</f>
        <v>349184</v>
      </c>
      <c r="X121" s="48" t="n">
        <f aca="false">SUM(Q121:W121)</f>
        <v>9552106.46</v>
      </c>
      <c r="Y121" s="48" t="n">
        <f aca="false">P121-X121</f>
        <v>-822506.460000001</v>
      </c>
      <c r="Z121" s="49" t="n">
        <f aca="false">IF(X121=0,0,Y121/X121)</f>
        <v>-0.0861073380457279</v>
      </c>
      <c r="AA121" s="47" t="n">
        <f aca="false">MAX(0,(P121/(1+Assumptions!$B$27)-(L121*(Assumptions!$B$4+IF(H121="Yes",0,Assumptions!$B$5)))*(1+(Assumptions!$B$7*(Assumptions!$B$8*N121*Assumptions!$B$9+Assumptions!$B$10)))-P121*(Assumptions!$B$12+Assumptions!$B$13+IF(P121&gt;=Assumptions!$B$16,Assumptions!$B$17,IF(P121&gt;=Assumptions!$B$14,Assumptions!$B$15,0))))/((1+IF(H121="Yes",Assumptions!$B$6,0))*(1+(Assumptions!$B$7*(Assumptions!$B$8*N121*Assumptions!$B$9+Assumptions!$B$10)))+Assumptions!$B$11*N121))</f>
        <v>0</v>
      </c>
      <c r="AB121" s="50" t="str">
        <f aca="false">IF(AA121&lt;=0,"no price works",D121/AA121)</f>
        <v>no price works</v>
      </c>
      <c r="AC121" s="46" t="n">
        <f aca="false">(INDEX(Assumptions!$B$36:$B$48,MATCH(AK121,Assumptions!$A$36:$A$48,0))+IF(I121="Yes",Assumptions!$B$23,0)+IF(J121="Yes",Assumptions!$B$24,0))*(1+Assumptions!$B$28)</f>
        <v>1000</v>
      </c>
      <c r="AD121" s="47" t="n">
        <f aca="false">(L121)*AC121-(((D121)+(L121)*Assumptions!$B$4+IF(H121="Yes",Assumptions!$B$6*(D121),(L121)*Assumptions!$B$5))*(1+Assumptions!$B$7*(Assumptions!$B$8*(N121)*Assumptions!$B$9+Assumptions!$B$10))+(D121)*Assumptions!$B$11*(N121)+(L121)*AC121*(Assumptions!$B$12+Assumptions!$B$13+IF((L121)*AC121&gt;=Assumptions!$B$16,Assumptions!$B$17,IF((L121)*AC121&gt;=Assumptions!$B$14,Assumptions!$B$15,0))))</f>
        <v>-1552142.3</v>
      </c>
      <c r="AE121" s="46" t="n">
        <f aca="false">(INDEX(Assumptions!$B$36:$B$48,MATCH(AK121,Assumptions!$A$36:$A$48,0))+IF(I121="Yes",Assumptions!$B$23,0)+IF(J121="Yes",Assumptions!$B$24,0))*(1+Assumptions!$B$29)</f>
        <v>1100</v>
      </c>
      <c r="AF121" s="47" t="n">
        <f aca="false">(L121)*AE121-(((D121)+(L121)*Assumptions!$B$4+IF(H121="Yes",Assumptions!$B$6*(D121),(L121)*Assumptions!$B$5))*(1+Assumptions!$B$7*(Assumptions!$B$8*(N121)*Assumptions!$B$9+Assumptions!$B$10))+(D121)*Assumptions!$B$11*(N121)+(L121)*AE121*(Assumptions!$B$12+Assumptions!$B$13+IF((L121)*AE121&gt;=Assumptions!$B$16,Assumptions!$B$17,IF((L121)*AE121&gt;=Assumptions!$B$14,Assumptions!$B$15,0))))</f>
        <v>-822506.459999999</v>
      </c>
      <c r="AG121" s="46" t="n">
        <f aca="false">(INDEX(Assumptions!$B$36:$B$48,MATCH(AK121,Assumptions!$A$36:$A$48,0))+IF(I121="Yes",Assumptions!$B$23,0)+IF(J121="Yes",Assumptions!$B$24,0))*(1+Assumptions!$B$30)</f>
        <v>1200</v>
      </c>
      <c r="AH121" s="47" t="n">
        <f aca="false">(L121)*AG121-(((D121)+(L121)*Assumptions!$B$4+IF(H121="Yes",Assumptions!$B$6*(D121),(L121)*Assumptions!$B$5))*(1+Assumptions!$B$7*(Assumptions!$B$8*(N121)*Assumptions!$B$9+Assumptions!$B$10))+(D121)*Assumptions!$B$11*(N121)+(L121)*AG121*(Assumptions!$B$12+Assumptions!$B$13+IF((L121)*AG121&gt;=Assumptions!$B$16,Assumptions!$B$17,IF((L121)*AG121&gt;=Assumptions!$B$14,Assumptions!$B$15,0))))</f>
        <v>-92870.6199999992</v>
      </c>
      <c r="AI121" s="47" t="n">
        <f aca="false">(L121)*AE121-(((D121)+(L121)*Assumptions!$B$25+IF(H121="Yes",Assumptions!$B$6*(D121),(L121)*Assumptions!$B$5))*(1+Assumptions!$B$7*(Assumptions!$B$8*(N121)*Assumptions!$B$9+Assumptions!$B$10))+(D121)*Assumptions!$B$11*(N121)+(L121)*AE121*(Assumptions!$B$12+Assumptions!$B$13+IF((L121)*AE121&gt;=Assumptions!$B$16,Assumptions!$B$17,IF((L121)*AE121&gt;=Assumptions!$B$14,Assumptions!$B$15,0))))</f>
        <v>-375412.060000001</v>
      </c>
      <c r="AJ121" s="47" t="n">
        <f aca="false">(L121)*AE121-(((D121)+(L121)*Assumptions!$B$26+IF(H121="Yes",Assumptions!$B$6*(D121),(L121)*Assumptions!$B$5))*(1+Assumptions!$B$7*(Assumptions!$B$8*(N121)*Assumptions!$B$9+Assumptions!$B$10))+(D121)*Assumptions!$B$11*(N121)+(L121)*AE121*(Assumptions!$B$12+Assumptions!$B$13+IF((L121)*AE121&gt;=Assumptions!$B$16,Assumptions!$B$17,IF((L121)*AE121&gt;=Assumptions!$B$14,Assumptions!$B$15,0))))</f>
        <v>71682.3399999999</v>
      </c>
      <c r="AK121" s="40" t="s">
        <v>267</v>
      </c>
      <c r="AL121" s="45" t="n">
        <f aca="false">IF(G121&gt;0,G121,ROUND(F121*Assumptions!$B$18,0))</f>
        <v>5151</v>
      </c>
      <c r="AM121" s="45" t="n">
        <f aca="false">IF(H121="Yes",AL121,MAX(AL121,MIN(Assumptions!$B$20,ROUND(E121*Assumptions!$B$19,0))))</f>
        <v>7936</v>
      </c>
      <c r="AN121" s="47" t="n">
        <f aca="false">(AL121)*AE121-(((D121)+(AL121)*Assumptions!$B$4+IF(H121="Yes",Assumptions!$B$6*(D121),(AL121)*Assumptions!$B$5))*(1+Assumptions!$B$7*(Assumptions!$B$8*(Assumptions!$B$21)*Assumptions!$B$9+Assumptions!$B$10))+(D121)*Assumptions!$B$11*(Assumptions!$B$21)+(AL121)*AE121*(Assumptions!$B$12+Assumptions!$B$13+IF((AL121)*AE121&gt;=Assumptions!$B$16,Assumptions!$B$17,IF((AL121)*AE121&gt;=Assumptions!$B$14,Assumptions!$B$15,0))))</f>
        <v>-967300.35375</v>
      </c>
      <c r="AO121" s="47" t="n">
        <f aca="false">(AM121)*AE121-(((D121)+(AM121)*Assumptions!$B$4+IF(H121="Yes",Assumptions!$B$6*(D121),(AM121)*Assumptions!$B$5))*(1+Assumptions!$B$7*(Assumptions!$B$8*(IF(AM121&gt;AL121,Assumptions!$B$22,Assumptions!$B$21))*Assumptions!$B$9+Assumptions!$B$10))+(D121)*Assumptions!$B$11*(IF(AM121&gt;AL121,Assumptions!$B$22,Assumptions!$B$21))+(AM121)*AE121*(Assumptions!$B$12+Assumptions!$B$13+IF((AM121)*AE121&gt;=Assumptions!$B$16,Assumptions!$B$17,IF((AM121)*AE121&gt;=Assumptions!$B$14,Assumptions!$B$15,0))))</f>
        <v>-822506.459999999</v>
      </c>
      <c r="AP121" s="47" t="n">
        <f aca="false">Assumptions!$B$7*(Q121+R121+S121)</f>
        <v>5070260</v>
      </c>
    </row>
    <row r="122" customFormat="false" ht="15" hidden="false" customHeight="false" outlineLevel="0" collapsed="false">
      <c r="A122" s="40" t="n">
        <v>120</v>
      </c>
      <c r="B122" s="40" t="s">
        <v>273</v>
      </c>
      <c r="C122" s="40" t="s">
        <v>266</v>
      </c>
      <c r="D122" s="41" t="n">
        <v>1450000</v>
      </c>
      <c r="E122" s="42" t="n">
        <v>14440</v>
      </c>
      <c r="F122" s="42" t="n">
        <v>4816</v>
      </c>
      <c r="G122" s="42"/>
      <c r="H122" s="43" t="s">
        <v>71</v>
      </c>
      <c r="I122" s="43" t="s">
        <v>71</v>
      </c>
      <c r="J122" s="43" t="s">
        <v>71</v>
      </c>
      <c r="K122" s="44"/>
      <c r="L122" s="45" t="n">
        <f aca="false">IF(AO122&gt;AN122,AM122,AL122)</f>
        <v>5298</v>
      </c>
      <c r="M122" s="40" t="str">
        <f aca="false">IF(AO122&gt;AN122,"Zoning estimate",IF(H122="Yes","Approved plans",IF(G122&gt;0,"Listing claim","110% old house")))</f>
        <v>110% old house</v>
      </c>
      <c r="N122" s="45" t="n">
        <f aca="false">IF(AO122&gt;AN122,IF(AM122&gt;AL122,Assumptions!$B$22,Assumptions!$B$21),Assumptions!$B$21)</f>
        <v>2</v>
      </c>
      <c r="O122" s="46" t="n">
        <f aca="false">(INDEX(Assumptions!$B$36:$B$48,MATCH(AK122,Assumptions!$A$36:$A$48,0))+IF(I122="Yes",Assumptions!$B$23,0)+IF(J122="Yes",Assumptions!$B$24,0))*(1+IF(UPPER(Assumptions!$B$31)="WORST",Assumptions!$B$28,IF(UPPER(Assumptions!$B$31)="BEST",Assumptions!$B$30,Assumptions!$B$29)))</f>
        <v>990</v>
      </c>
      <c r="P122" s="47" t="n">
        <f aca="false">L122*O122</f>
        <v>5245020</v>
      </c>
      <c r="Q122" s="47" t="n">
        <f aca="false">D122</f>
        <v>1450000</v>
      </c>
      <c r="R122" s="47" t="n">
        <f aca="false">L122*Assumptions!$B$4</f>
        <v>3708600</v>
      </c>
      <c r="S122" s="47" t="n">
        <f aca="false">IF(H122="Yes",Assumptions!$B$6*(D122),(L122)*Assumptions!$B$5)</f>
        <v>397350</v>
      </c>
      <c r="T122" s="47" t="n">
        <f aca="false">AP122*(Assumptions!$B$8*N122*Assumptions!$B$9+Assumptions!$B$10)</f>
        <v>487534.6125</v>
      </c>
      <c r="U122" s="47" t="n">
        <f aca="false">Q122*Assumptions!$B$11*N122</f>
        <v>34800</v>
      </c>
      <c r="V122" s="47" t="n">
        <f aca="false">P122*(Assumptions!$B$12+Assumptions!$B$13)</f>
        <v>212947.812</v>
      </c>
      <c r="W122" s="47" t="n">
        <f aca="false">P122*IF(P122&gt;=Assumptions!$B$16,Assumptions!$B$17,IF(P122&gt;=Assumptions!$B$14,Assumptions!$B$15,0))</f>
        <v>0</v>
      </c>
      <c r="X122" s="48" t="n">
        <f aca="false">SUM(Q122:W122)</f>
        <v>6291232.4245</v>
      </c>
      <c r="Y122" s="48" t="n">
        <f aca="false">P122-X122</f>
        <v>-1046212.4245</v>
      </c>
      <c r="Z122" s="49" t="n">
        <f aca="false">IF(X122=0,0,Y122/X122)</f>
        <v>-0.16629689604627</v>
      </c>
      <c r="AA122" s="47" t="n">
        <f aca="false">MAX(0,(P122/(1+Assumptions!$B$27)-(L122*(Assumptions!$B$4+IF(H122="Yes",0,Assumptions!$B$5)))*(1+(Assumptions!$B$7*(Assumptions!$B$8*N122*Assumptions!$B$9+Assumptions!$B$10)))-P122*(Assumptions!$B$12+Assumptions!$B$13+IF(P122&gt;=Assumptions!$B$16,Assumptions!$B$17,IF(P122&gt;=Assumptions!$B$14,Assumptions!$B$15,0))))/((1+IF(H122="Yes",Assumptions!$B$6,0))*(1+(Assumptions!$B$7*(Assumptions!$B$8*N122*Assumptions!$B$9+Assumptions!$B$10)))+Assumptions!$B$11*N122))</f>
        <v>0</v>
      </c>
      <c r="AB122" s="50" t="str">
        <f aca="false">IF(AA122&lt;=0,"no price works",D122/AA122)</f>
        <v>no price works</v>
      </c>
      <c r="AC122" s="46" t="n">
        <f aca="false">(INDEX(Assumptions!$B$36:$B$48,MATCH(AK122,Assumptions!$A$36:$A$48,0))+IF(I122="Yes",Assumptions!$B$23,0)+IF(J122="Yes",Assumptions!$B$24,0))*(1+Assumptions!$B$28)</f>
        <v>900</v>
      </c>
      <c r="AD122" s="47" t="n">
        <f aca="false">(L122)*AC122-(((D122)+(L122)*Assumptions!$B$4+IF(H122="Yes",Assumptions!$B$6*(D122),(L122)*Assumptions!$B$5))*(1+Assumptions!$B$7*(Assumptions!$B$8*(N122)*Assumptions!$B$9+Assumptions!$B$10))+(D122)*Assumptions!$B$11*(N122)+(L122)*AC122*(Assumptions!$B$12+Assumptions!$B$13+IF((L122)*AC122&gt;=Assumptions!$B$16,Assumptions!$B$17,IF((L122)*AC122&gt;=Assumptions!$B$14,Assumptions!$B$15,0))))</f>
        <v>-1503673.5325</v>
      </c>
      <c r="AE122" s="46" t="n">
        <f aca="false">(INDEX(Assumptions!$B$36:$B$48,MATCH(AK122,Assumptions!$A$36:$A$48,0))+IF(I122="Yes",Assumptions!$B$23,0)+IF(J122="Yes",Assumptions!$B$24,0))*(1+Assumptions!$B$29)</f>
        <v>990</v>
      </c>
      <c r="AF122" s="47" t="n">
        <f aca="false">(L122)*AE122-(((D122)+(L122)*Assumptions!$B$4+IF(H122="Yes",Assumptions!$B$6*(D122),(L122)*Assumptions!$B$5))*(1+Assumptions!$B$7*(Assumptions!$B$8*(N122)*Assumptions!$B$9+Assumptions!$B$10))+(D122)*Assumptions!$B$11*(N122)+(L122)*AE122*(Assumptions!$B$12+Assumptions!$B$13+IF((L122)*AE122&gt;=Assumptions!$B$16,Assumptions!$B$17,IF((L122)*AE122&gt;=Assumptions!$B$14,Assumptions!$B$15,0))))</f>
        <v>-1046212.4245</v>
      </c>
      <c r="AG122" s="46" t="n">
        <f aca="false">(INDEX(Assumptions!$B$36:$B$48,MATCH(AK122,Assumptions!$A$36:$A$48,0))+IF(I122="Yes",Assumptions!$B$23,0)+IF(J122="Yes",Assumptions!$B$24,0))*(1+Assumptions!$B$30)</f>
        <v>1080</v>
      </c>
      <c r="AH122" s="47" t="n">
        <f aca="false">(L122)*AG122-(((D122)+(L122)*Assumptions!$B$4+IF(H122="Yes",Assumptions!$B$6*(D122),(L122)*Assumptions!$B$5))*(1+Assumptions!$B$7*(Assumptions!$B$8*(N122)*Assumptions!$B$9+Assumptions!$B$10))+(D122)*Assumptions!$B$11*(N122)+(L122)*AG122*(Assumptions!$B$12+Assumptions!$B$13+IF((L122)*AG122&gt;=Assumptions!$B$16,Assumptions!$B$17,IF((L122)*AG122&gt;=Assumptions!$B$14,Assumptions!$B$15,0))))</f>
        <v>-817624.9165</v>
      </c>
      <c r="AI122" s="47" t="n">
        <f aca="false">(L122)*AE122-(((D122)+(L122)*Assumptions!$B$25+IF(H122="Yes",Assumptions!$B$6*(D122),(L122)*Assumptions!$B$5))*(1+Assumptions!$B$7*(Assumptions!$B$8*(N122)*Assumptions!$B$9+Assumptions!$B$10))+(D122)*Assumptions!$B$11*(N122)+(L122)*AE122*(Assumptions!$B$12+Assumptions!$B$13+IF((L122)*AE122&gt;=Assumptions!$B$16,Assumptions!$B$17,IF((L122)*AE122&gt;=Assumptions!$B$14,Assumptions!$B$15,0))))</f>
        <v>-758067.449499999</v>
      </c>
      <c r="AJ122" s="47" t="n">
        <f aca="false">(L122)*AE122-(((D122)+(L122)*Assumptions!$B$26+IF(H122="Yes",Assumptions!$B$6*(D122),(L122)*Assumptions!$B$5))*(1+Assumptions!$B$7*(Assumptions!$B$8*(N122)*Assumptions!$B$9+Assumptions!$B$10))+(D122)*Assumptions!$B$11*(N122)+(L122)*AE122*(Assumptions!$B$12+Assumptions!$B$13+IF((L122)*AE122&gt;=Assumptions!$B$16,Assumptions!$B$17,IF((L122)*AE122&gt;=Assumptions!$B$14,Assumptions!$B$15,0))))</f>
        <v>-469922.474499999</v>
      </c>
      <c r="AK122" s="40" t="s">
        <v>267</v>
      </c>
      <c r="AL122" s="45" t="n">
        <f aca="false">IF(G122&gt;0,G122,ROUND(F122*Assumptions!$B$18,0))</f>
        <v>5298</v>
      </c>
      <c r="AM122" s="45" t="n">
        <f aca="false">IF(H122="Yes",AL122,MAX(AL122,MIN(Assumptions!$B$20,ROUND(E122*Assumptions!$B$19,0))))</f>
        <v>5776</v>
      </c>
      <c r="AN122" s="47" t="n">
        <f aca="false">(AL122)*AE122-(((D122)+(AL122)*Assumptions!$B$4+IF(H122="Yes",Assumptions!$B$6*(D122),(AL122)*Assumptions!$B$5))*(1+Assumptions!$B$7*(Assumptions!$B$8*(Assumptions!$B$21)*Assumptions!$B$9+Assumptions!$B$10))+(D122)*Assumptions!$B$11*(Assumptions!$B$21)+(AL122)*AE122*(Assumptions!$B$12+Assumptions!$B$13+IF((AL122)*AE122&gt;=Assumptions!$B$16,Assumptions!$B$17,IF((AL122)*AE122&gt;=Assumptions!$B$14,Assumptions!$B$15,0))))</f>
        <v>-1046212.4245</v>
      </c>
      <c r="AO122" s="47" t="n">
        <f aca="false">(AM122)*AE122-(((D122)+(AM122)*Assumptions!$B$4+IF(H122="Yes",Assumptions!$B$6*(D122),(AM122)*Assumptions!$B$5))*(1+Assumptions!$B$7*(Assumptions!$B$8*(IF(AM122&gt;AL122,Assumptions!$B$22,Assumptions!$B$21))*Assumptions!$B$9+Assumptions!$B$10))+(D122)*Assumptions!$B$11*(IF(AM122&gt;AL122,Assumptions!$B$22,Assumptions!$B$21))+(AM122)*AE122*(Assumptions!$B$12+Assumptions!$B$13+IF((AM122)*AE122&gt;=Assumptions!$B$16,Assumptions!$B$17,IF((AM122)*AE122&gt;=Assumptions!$B$14,Assumptions!$B$15,0))))</f>
        <v>-1472421.344</v>
      </c>
      <c r="AP122" s="47" t="n">
        <f aca="false">Assumptions!$B$7*(Q122+R122+S122)</f>
        <v>3611367.5</v>
      </c>
    </row>
    <row r="123" customFormat="false" ht="15" hidden="false" customHeight="false" outlineLevel="0" collapsed="false">
      <c r="A123" s="40" t="n">
        <v>121</v>
      </c>
      <c r="B123" s="40" t="s">
        <v>274</v>
      </c>
      <c r="C123" s="40" t="s">
        <v>266</v>
      </c>
      <c r="D123" s="41" t="n">
        <v>1495000</v>
      </c>
      <c r="E123" s="42" t="n">
        <v>15224</v>
      </c>
      <c r="F123" s="42" t="n">
        <v>5364</v>
      </c>
      <c r="G123" s="42"/>
      <c r="H123" s="43" t="s">
        <v>71</v>
      </c>
      <c r="I123" s="43" t="s">
        <v>71</v>
      </c>
      <c r="J123" s="43" t="s">
        <v>71</v>
      </c>
      <c r="K123" s="44"/>
      <c r="L123" s="45" t="n">
        <f aca="false">IF(AO123&gt;AN123,AM123,AL123)</f>
        <v>5900</v>
      </c>
      <c r="M123" s="40" t="str">
        <f aca="false">IF(AO123&gt;AN123,"Zoning estimate",IF(H123="Yes","Approved plans",IF(G123&gt;0,"Listing claim","110% old house")))</f>
        <v>110% old house</v>
      </c>
      <c r="N123" s="45" t="n">
        <f aca="false">IF(AO123&gt;AN123,IF(AM123&gt;AL123,Assumptions!$B$22,Assumptions!$B$21),Assumptions!$B$21)</f>
        <v>2</v>
      </c>
      <c r="O123" s="46" t="n">
        <f aca="false">(INDEX(Assumptions!$B$36:$B$48,MATCH(AK123,Assumptions!$A$36:$A$48,0))+IF(I123="Yes",Assumptions!$B$23,0)+IF(J123="Yes",Assumptions!$B$24,0))*(1+IF(UPPER(Assumptions!$B$31)="WORST",Assumptions!$B$28,IF(UPPER(Assumptions!$B$31)="BEST",Assumptions!$B$30,Assumptions!$B$29)))</f>
        <v>990</v>
      </c>
      <c r="P123" s="47" t="n">
        <f aca="false">L123*O123</f>
        <v>5841000</v>
      </c>
      <c r="Q123" s="47" t="n">
        <f aca="false">D123</f>
        <v>1495000</v>
      </c>
      <c r="R123" s="47" t="n">
        <f aca="false">L123*Assumptions!$B$4</f>
        <v>4130000</v>
      </c>
      <c r="S123" s="47" t="n">
        <f aca="false">IF(H123="Yes",Assumptions!$B$6*(D123),(L123)*Assumptions!$B$5)</f>
        <v>442500</v>
      </c>
      <c r="T123" s="47" t="n">
        <f aca="false">AP123*(Assumptions!$B$8*N123*Assumptions!$B$9+Assumptions!$B$10)</f>
        <v>532423.125</v>
      </c>
      <c r="U123" s="47" t="n">
        <f aca="false">Q123*Assumptions!$B$11*N123</f>
        <v>35880</v>
      </c>
      <c r="V123" s="47" t="n">
        <f aca="false">P123*(Assumptions!$B$12+Assumptions!$B$13)</f>
        <v>237144.6</v>
      </c>
      <c r="W123" s="47" t="n">
        <f aca="false">P123*IF(P123&gt;=Assumptions!$B$16,Assumptions!$B$17,IF(P123&gt;=Assumptions!$B$14,Assumptions!$B$15,0))</f>
        <v>233640</v>
      </c>
      <c r="X123" s="48" t="n">
        <f aca="false">SUM(Q123:W123)</f>
        <v>7106587.725</v>
      </c>
      <c r="Y123" s="48" t="n">
        <f aca="false">P123-X123</f>
        <v>-1265587.725</v>
      </c>
      <c r="Z123" s="49" t="n">
        <f aca="false">IF(X123=0,0,Y123/X123)</f>
        <v>-0.178086554894388</v>
      </c>
      <c r="AA123" s="47" t="n">
        <f aca="false">MAX(0,(P123/(1+Assumptions!$B$27)-(L123*(Assumptions!$B$4+IF(H123="Yes",0,Assumptions!$B$5)))*(1+(Assumptions!$B$7*(Assumptions!$B$8*N123*Assumptions!$B$9+Assumptions!$B$10)))-P123*(Assumptions!$B$12+Assumptions!$B$13+IF(P123&gt;=Assumptions!$B$16,Assumptions!$B$17,IF(P123&gt;=Assumptions!$B$14,Assumptions!$B$15,0))))/((1+IF(H123="Yes",Assumptions!$B$6,0))*(1+(Assumptions!$B$7*(Assumptions!$B$8*N123*Assumptions!$B$9+Assumptions!$B$10)))+Assumptions!$B$11*N123))</f>
        <v>0</v>
      </c>
      <c r="AB123" s="50" t="str">
        <f aca="false">IF(AA123&lt;=0,"no price works",D123/AA123)</f>
        <v>no price works</v>
      </c>
      <c r="AC123" s="46" t="n">
        <f aca="false">(INDEX(Assumptions!$B$36:$B$48,MATCH(AK123,Assumptions!$A$36:$A$48,0))+IF(I123="Yes",Assumptions!$B$23,0)+IF(J123="Yes",Assumptions!$B$24,0))*(1+Assumptions!$B$28)</f>
        <v>900</v>
      </c>
      <c r="AD123" s="47" t="n">
        <f aca="false">(L123)*AC123-(((D123)+(L123)*Assumptions!$B$4+IF(H123="Yes",Assumptions!$B$6*(D123),(L123)*Assumptions!$B$5))*(1+Assumptions!$B$7*(Assumptions!$B$8*(N123)*Assumptions!$B$9+Assumptions!$B$10))+(D123)*Assumptions!$B$11*(N123)+(L123)*AC123*(Assumptions!$B$12+Assumptions!$B$13+IF((L123)*AC123&gt;=Assumptions!$B$16,Assumptions!$B$17,IF((L123)*AC123&gt;=Assumptions!$B$14,Assumptions!$B$15,0))))</f>
        <v>-1541389.125</v>
      </c>
      <c r="AE123" s="46" t="n">
        <f aca="false">(INDEX(Assumptions!$B$36:$B$48,MATCH(AK123,Assumptions!$A$36:$A$48,0))+IF(I123="Yes",Assumptions!$B$23,0)+IF(J123="Yes",Assumptions!$B$24,0))*(1+Assumptions!$B$29)</f>
        <v>990</v>
      </c>
      <c r="AF123" s="47" t="n">
        <f aca="false">(L123)*AE123-(((D123)+(L123)*Assumptions!$B$4+IF(H123="Yes",Assumptions!$B$6*(D123),(L123)*Assumptions!$B$5))*(1+Assumptions!$B$7*(Assumptions!$B$8*(N123)*Assumptions!$B$9+Assumptions!$B$10))+(D123)*Assumptions!$B$11*(N123)+(L123)*AE123*(Assumptions!$B$12+Assumptions!$B$13+IF((L123)*AE123&gt;=Assumptions!$B$16,Assumptions!$B$17,IF((L123)*AE123&gt;=Assumptions!$B$14,Assumptions!$B$15,0))))</f>
        <v>-1265587.725</v>
      </c>
      <c r="AG123" s="46" t="n">
        <f aca="false">(INDEX(Assumptions!$B$36:$B$48,MATCH(AK123,Assumptions!$A$36:$A$48,0))+IF(I123="Yes",Assumptions!$B$23,0)+IF(J123="Yes",Assumptions!$B$24,0))*(1+Assumptions!$B$30)</f>
        <v>1080</v>
      </c>
      <c r="AH123" s="47" t="n">
        <f aca="false">(L123)*AG123-(((D123)+(L123)*Assumptions!$B$4+IF(H123="Yes",Assumptions!$B$6*(D123),(L123)*Assumptions!$B$5))*(1+Assumptions!$B$7*(Assumptions!$B$8*(N123)*Assumptions!$B$9+Assumptions!$B$10))+(D123)*Assumptions!$B$11*(N123)+(L123)*AG123*(Assumptions!$B$12+Assumptions!$B$13+IF((L123)*AG123&gt;=Assumptions!$B$16,Assumptions!$B$17,IF((L123)*AG123&gt;=Assumptions!$B$14,Assumptions!$B$15,0))))</f>
        <v>-777386.325</v>
      </c>
      <c r="AI123" s="47" t="n">
        <f aca="false">(L123)*AE123-(((D123)+(L123)*Assumptions!$B$25+IF(H123="Yes",Assumptions!$B$6*(D123),(L123)*Assumptions!$B$5))*(1+Assumptions!$B$7*(Assumptions!$B$8*(N123)*Assumptions!$B$9+Assumptions!$B$10))+(D123)*Assumptions!$B$11*(N123)+(L123)*AE123*(Assumptions!$B$12+Assumptions!$B$13+IF((L123)*AE123&gt;=Assumptions!$B$16,Assumptions!$B$17,IF((L123)*AE123&gt;=Assumptions!$B$14,Assumptions!$B$15,0))))</f>
        <v>-944701.474999999</v>
      </c>
      <c r="AJ123" s="47" t="n">
        <f aca="false">(L123)*AE123-(((D123)+(L123)*Assumptions!$B$26+IF(H123="Yes",Assumptions!$B$6*(D123),(L123)*Assumptions!$B$5))*(1+Assumptions!$B$7*(Assumptions!$B$8*(N123)*Assumptions!$B$9+Assumptions!$B$10))+(D123)*Assumptions!$B$11*(N123)+(L123)*AE123*(Assumptions!$B$12+Assumptions!$B$13+IF((L123)*AE123&gt;=Assumptions!$B$16,Assumptions!$B$17,IF((L123)*AE123&gt;=Assumptions!$B$14,Assumptions!$B$15,0))))</f>
        <v>-623815.224999999</v>
      </c>
      <c r="AK123" s="40" t="s">
        <v>267</v>
      </c>
      <c r="AL123" s="45" t="n">
        <f aca="false">IF(G123&gt;0,G123,ROUND(F123*Assumptions!$B$18,0))</f>
        <v>5900</v>
      </c>
      <c r="AM123" s="45" t="n">
        <f aca="false">IF(H123="Yes",AL123,MAX(AL123,MIN(Assumptions!$B$20,ROUND(E123*Assumptions!$B$19,0))))</f>
        <v>6090</v>
      </c>
      <c r="AN123" s="47" t="n">
        <f aca="false">(AL123)*AE123-(((D123)+(AL123)*Assumptions!$B$4+IF(H123="Yes",Assumptions!$B$6*(D123),(AL123)*Assumptions!$B$5))*(1+Assumptions!$B$7*(Assumptions!$B$8*(Assumptions!$B$21)*Assumptions!$B$9+Assumptions!$B$10))+(D123)*Assumptions!$B$11*(Assumptions!$B$21)+(AL123)*AE123*(Assumptions!$B$12+Assumptions!$B$13+IF((AL123)*AE123&gt;=Assumptions!$B$16,Assumptions!$B$17,IF((AL123)*AE123&gt;=Assumptions!$B$14,Assumptions!$B$15,0))))</f>
        <v>-1265587.725</v>
      </c>
      <c r="AO123" s="47" t="n">
        <f aca="false">(AM123)*AE123-(((D123)+(AM123)*Assumptions!$B$4+IF(H123="Yes",Assumptions!$B$6*(D123),(AM123)*Assumptions!$B$5))*(1+Assumptions!$B$7*(Assumptions!$B$8*(IF(AM123&gt;AL123,Assumptions!$B$22,Assumptions!$B$21))*Assumptions!$B$9+Assumptions!$B$10))+(D123)*Assumptions!$B$11*(IF(AM123&gt;AL123,Assumptions!$B$22,Assumptions!$B$21))+(AM123)*AE123*(Assumptions!$B$12+Assumptions!$B$13+IF((AM123)*AE123&gt;=Assumptions!$B$16,Assumptions!$B$17,IF((AM123)*AE123&gt;=Assumptions!$B$14,Assumptions!$B$15,0))))</f>
        <v>-1513135.0225</v>
      </c>
      <c r="AP123" s="47" t="n">
        <f aca="false">Assumptions!$B$7*(Q123+R123+S123)</f>
        <v>3943875</v>
      </c>
    </row>
    <row r="124" customFormat="false" ht="15" hidden="false" customHeight="false" outlineLevel="0" collapsed="false">
      <c r="A124" s="40" t="n">
        <v>122</v>
      </c>
      <c r="B124" s="40" t="s">
        <v>275</v>
      </c>
      <c r="C124" s="40" t="s">
        <v>266</v>
      </c>
      <c r="D124" s="41" t="n">
        <v>899000</v>
      </c>
      <c r="E124" s="42" t="n">
        <v>7349</v>
      </c>
      <c r="F124" s="42" t="n">
        <v>2644</v>
      </c>
      <c r="G124" s="42"/>
      <c r="H124" s="43" t="s">
        <v>71</v>
      </c>
      <c r="I124" s="43" t="s">
        <v>71</v>
      </c>
      <c r="J124" s="43" t="s">
        <v>71</v>
      </c>
      <c r="K124" s="44"/>
      <c r="L124" s="45" t="n">
        <f aca="false">IF(AO124&gt;AN124,AM124,AL124)</f>
        <v>2908</v>
      </c>
      <c r="M124" s="40" t="str">
        <f aca="false">IF(AO124&gt;AN124,"Zoning estimate",IF(H124="Yes","Approved plans",IF(G124&gt;0,"Listing claim","110% old house")))</f>
        <v>110% old house</v>
      </c>
      <c r="N124" s="45" t="n">
        <f aca="false">IF(AO124&gt;AN124,IF(AM124&gt;AL124,Assumptions!$B$22,Assumptions!$B$21),Assumptions!$B$21)</f>
        <v>2</v>
      </c>
      <c r="O124" s="46" t="n">
        <f aca="false">(INDEX(Assumptions!$B$36:$B$48,MATCH(AK124,Assumptions!$A$36:$A$48,0))+IF(I124="Yes",Assumptions!$B$23,0)+IF(J124="Yes",Assumptions!$B$24,0))*(1+IF(UPPER(Assumptions!$B$31)="WORST",Assumptions!$B$28,IF(UPPER(Assumptions!$B$31)="BEST",Assumptions!$B$30,Assumptions!$B$29)))</f>
        <v>990</v>
      </c>
      <c r="P124" s="47" t="n">
        <f aca="false">L124*O124</f>
        <v>2878920</v>
      </c>
      <c r="Q124" s="47" t="n">
        <f aca="false">D124</f>
        <v>899000</v>
      </c>
      <c r="R124" s="47" t="n">
        <f aca="false">L124*Assumptions!$B$4</f>
        <v>2035600</v>
      </c>
      <c r="S124" s="47" t="n">
        <f aca="false">IF(H124="Yes",Assumptions!$B$6*(D124),(L124)*Assumptions!$B$5)</f>
        <v>218100</v>
      </c>
      <c r="T124" s="47" t="n">
        <f aca="false">AP124*(Assumptions!$B$8*N124*Assumptions!$B$9+Assumptions!$B$10)</f>
        <v>276649.425</v>
      </c>
      <c r="U124" s="47" t="n">
        <f aca="false">Q124*Assumptions!$B$11*N124</f>
        <v>21576</v>
      </c>
      <c r="V124" s="47" t="n">
        <f aca="false">P124*(Assumptions!$B$12+Assumptions!$B$13)</f>
        <v>116884.152</v>
      </c>
      <c r="W124" s="47" t="n">
        <f aca="false">P124*IF(P124&gt;=Assumptions!$B$16,Assumptions!$B$17,IF(P124&gt;=Assumptions!$B$14,Assumptions!$B$15,0))</f>
        <v>0</v>
      </c>
      <c r="X124" s="48" t="n">
        <f aca="false">SUM(Q124:W124)</f>
        <v>3567809.577</v>
      </c>
      <c r="Y124" s="48" t="n">
        <f aca="false">P124-X124</f>
        <v>-688889.577</v>
      </c>
      <c r="Z124" s="49" t="n">
        <f aca="false">IF(X124=0,0,Y124/X124)</f>
        <v>-0.193084737885382</v>
      </c>
      <c r="AA124" s="47" t="n">
        <f aca="false">MAX(0,(P124/(1+Assumptions!$B$27)-(L124*(Assumptions!$B$4+IF(H124="Yes",0,Assumptions!$B$5)))*(1+(Assumptions!$B$7*(Assumptions!$B$8*N124*Assumptions!$B$9+Assumptions!$B$10)))-P124*(Assumptions!$B$12+Assumptions!$B$13+IF(P124&gt;=Assumptions!$B$16,Assumptions!$B$17,IF(P124&gt;=Assumptions!$B$14,Assumptions!$B$15,0))))/((1+IF(H124="Yes",Assumptions!$B$6,0))*(1+(Assumptions!$B$7*(Assumptions!$B$8*N124*Assumptions!$B$9+Assumptions!$B$10)))+Assumptions!$B$11*N124))</f>
        <v>0</v>
      </c>
      <c r="AB124" s="50" t="str">
        <f aca="false">IF(AA124&lt;=0,"no price works",D124/AA124)</f>
        <v>no price works</v>
      </c>
      <c r="AC124" s="46" t="n">
        <f aca="false">(INDEX(Assumptions!$B$36:$B$48,MATCH(AK124,Assumptions!$A$36:$A$48,0))+IF(I124="Yes",Assumptions!$B$23,0)+IF(J124="Yes",Assumptions!$B$24,0))*(1+Assumptions!$B$28)</f>
        <v>900</v>
      </c>
      <c r="AD124" s="47" t="n">
        <f aca="false">(L124)*AC124-(((D124)+(L124)*Assumptions!$B$4+IF(H124="Yes",Assumptions!$B$6*(D124),(L124)*Assumptions!$B$5))*(1+Assumptions!$B$7*(Assumptions!$B$8*(N124)*Assumptions!$B$9+Assumptions!$B$10))+(D124)*Assumptions!$B$11*(N124)+(L124)*AC124*(Assumptions!$B$12+Assumptions!$B$13+IF((L124)*AC124&gt;=Assumptions!$B$16,Assumptions!$B$17,IF((L124)*AC124&gt;=Assumptions!$B$14,Assumptions!$B$15,0))))</f>
        <v>-939983.745</v>
      </c>
      <c r="AE124" s="46" t="n">
        <f aca="false">(INDEX(Assumptions!$B$36:$B$48,MATCH(AK124,Assumptions!$A$36:$A$48,0))+IF(I124="Yes",Assumptions!$B$23,0)+IF(J124="Yes",Assumptions!$B$24,0))*(1+Assumptions!$B$29)</f>
        <v>990</v>
      </c>
      <c r="AF124" s="47" t="n">
        <f aca="false">(L124)*AE124-(((D124)+(L124)*Assumptions!$B$4+IF(H124="Yes",Assumptions!$B$6*(D124),(L124)*Assumptions!$B$5))*(1+Assumptions!$B$7*(Assumptions!$B$8*(N124)*Assumptions!$B$9+Assumptions!$B$10))+(D124)*Assumptions!$B$11*(N124)+(L124)*AE124*(Assumptions!$B$12+Assumptions!$B$13+IF((L124)*AE124&gt;=Assumptions!$B$16,Assumptions!$B$17,IF((L124)*AE124&gt;=Assumptions!$B$14,Assumptions!$B$15,0))))</f>
        <v>-688889.577</v>
      </c>
      <c r="AG124" s="46" t="n">
        <f aca="false">(INDEX(Assumptions!$B$36:$B$48,MATCH(AK124,Assumptions!$A$36:$A$48,0))+IF(I124="Yes",Assumptions!$B$23,0)+IF(J124="Yes",Assumptions!$B$24,0))*(1+Assumptions!$B$30)</f>
        <v>1080</v>
      </c>
      <c r="AH124" s="47" t="n">
        <f aca="false">(L124)*AG124-(((D124)+(L124)*Assumptions!$B$4+IF(H124="Yes",Assumptions!$B$6*(D124),(L124)*Assumptions!$B$5))*(1+Assumptions!$B$7*(Assumptions!$B$8*(N124)*Assumptions!$B$9+Assumptions!$B$10))+(D124)*Assumptions!$B$11*(N124)+(L124)*AG124*(Assumptions!$B$12+Assumptions!$B$13+IF((L124)*AG124&gt;=Assumptions!$B$16,Assumptions!$B$17,IF((L124)*AG124&gt;=Assumptions!$B$14,Assumptions!$B$15,0))))</f>
        <v>-437795.409</v>
      </c>
      <c r="AI124" s="47" t="n">
        <f aca="false">(L124)*AE124-(((D124)+(L124)*Assumptions!$B$25+IF(H124="Yes",Assumptions!$B$6*(D124),(L124)*Assumptions!$B$5))*(1+Assumptions!$B$7*(Assumptions!$B$8*(N124)*Assumptions!$B$9+Assumptions!$B$10))+(D124)*Assumptions!$B$11*(N124)+(L124)*AE124*(Assumptions!$B$12+Assumptions!$B$13+IF((L124)*AE124&gt;=Assumptions!$B$16,Assumptions!$B$17,IF((L124)*AE124&gt;=Assumptions!$B$14,Assumptions!$B$15,0))))</f>
        <v>-530730.727</v>
      </c>
      <c r="AJ124" s="47" t="n">
        <f aca="false">(L124)*AE124-(((D124)+(L124)*Assumptions!$B$26+IF(H124="Yes",Assumptions!$B$6*(D124),(L124)*Assumptions!$B$5))*(1+Assumptions!$B$7*(Assumptions!$B$8*(N124)*Assumptions!$B$9+Assumptions!$B$10))+(D124)*Assumptions!$B$11*(N124)+(L124)*AE124*(Assumptions!$B$12+Assumptions!$B$13+IF((L124)*AE124&gt;=Assumptions!$B$16,Assumptions!$B$17,IF((L124)*AE124&gt;=Assumptions!$B$14,Assumptions!$B$15,0))))</f>
        <v>-372571.877</v>
      </c>
      <c r="AK124" s="40" t="s">
        <v>267</v>
      </c>
      <c r="AL124" s="45" t="n">
        <f aca="false">IF(G124&gt;0,G124,ROUND(F124*Assumptions!$B$18,0))</f>
        <v>2908</v>
      </c>
      <c r="AM124" s="45" t="n">
        <f aca="false">IF(H124="Yes",AL124,MAX(AL124,MIN(Assumptions!$B$20,ROUND(E124*Assumptions!$B$19,0))))</f>
        <v>2940</v>
      </c>
      <c r="AN124" s="47" t="n">
        <f aca="false">(AL124)*AE124-(((D124)+(AL124)*Assumptions!$B$4+IF(H124="Yes",Assumptions!$B$6*(D124),(AL124)*Assumptions!$B$5))*(1+Assumptions!$B$7*(Assumptions!$B$8*(Assumptions!$B$21)*Assumptions!$B$9+Assumptions!$B$10))+(D124)*Assumptions!$B$11*(Assumptions!$B$21)+(AL124)*AE124*(Assumptions!$B$12+Assumptions!$B$13+IF((AL124)*AE124&gt;=Assumptions!$B$16,Assumptions!$B$17,IF((AL124)*AE124&gt;=Assumptions!$B$14,Assumptions!$B$15,0))))</f>
        <v>-688889.577</v>
      </c>
      <c r="AO124" s="47" t="n">
        <f aca="false">(AM124)*AE124-(((D124)+(AM124)*Assumptions!$B$4+IF(H124="Yes",Assumptions!$B$6*(D124),(AM124)*Assumptions!$B$5))*(1+Assumptions!$B$7*(Assumptions!$B$8*(IF(AM124&gt;AL124,Assumptions!$B$22,Assumptions!$B$21))*Assumptions!$B$9+Assumptions!$B$10))+(D124)*Assumptions!$B$11*(IF(AM124&gt;AL124,Assumptions!$B$22,Assumptions!$B$21))+(AM124)*AE124*(Assumptions!$B$12+Assumptions!$B$13+IF((AM124)*AE124&gt;=Assumptions!$B$16,Assumptions!$B$17,IF((AM124)*AE124&gt;=Assumptions!$B$14,Assumptions!$B$15,0))))</f>
        <v>-820182.484999999</v>
      </c>
      <c r="AP124" s="47" t="n">
        <f aca="false">Assumptions!$B$7*(Q124+R124+S124)</f>
        <v>2049255</v>
      </c>
    </row>
    <row r="125" customFormat="false" ht="15" hidden="false" customHeight="false" outlineLevel="0" collapsed="false">
      <c r="A125" s="40" t="n">
        <v>123</v>
      </c>
      <c r="B125" s="40" t="s">
        <v>276</v>
      </c>
      <c r="C125" s="40" t="s">
        <v>266</v>
      </c>
      <c r="D125" s="41" t="n">
        <v>899000</v>
      </c>
      <c r="E125" s="42" t="n">
        <v>6535</v>
      </c>
      <c r="F125" s="42" t="n">
        <v>2255</v>
      </c>
      <c r="G125" s="42"/>
      <c r="H125" s="43" t="s">
        <v>71</v>
      </c>
      <c r="I125" s="43" t="s">
        <v>71</v>
      </c>
      <c r="J125" s="43" t="s">
        <v>71</v>
      </c>
      <c r="K125" s="44" t="s">
        <v>277</v>
      </c>
      <c r="L125" s="45" t="n">
        <f aca="false">IF(AO125&gt;AN125,AM125,AL125)</f>
        <v>2481</v>
      </c>
      <c r="M125" s="40" t="str">
        <f aca="false">IF(AO125&gt;AN125,"Zoning estimate",IF(H125="Yes","Approved plans",IF(G125&gt;0,"Listing claim","110% old house")))</f>
        <v>110% old house</v>
      </c>
      <c r="N125" s="45" t="n">
        <f aca="false">IF(AO125&gt;AN125,IF(AM125&gt;AL125,Assumptions!$B$22,Assumptions!$B$21),Assumptions!$B$21)</f>
        <v>2</v>
      </c>
      <c r="O125" s="46" t="n">
        <f aca="false">(INDEX(Assumptions!$B$36:$B$48,MATCH(AK125,Assumptions!$A$36:$A$48,0))+IF(I125="Yes",Assumptions!$B$23,0)+IF(J125="Yes",Assumptions!$B$24,0))*(1+IF(UPPER(Assumptions!$B$31)="WORST",Assumptions!$B$28,IF(UPPER(Assumptions!$B$31)="BEST",Assumptions!$B$30,Assumptions!$B$29)))</f>
        <v>990</v>
      </c>
      <c r="P125" s="47" t="n">
        <f aca="false">L125*O125</f>
        <v>2456190</v>
      </c>
      <c r="Q125" s="47" t="n">
        <f aca="false">D125</f>
        <v>899000</v>
      </c>
      <c r="R125" s="47" t="n">
        <f aca="false">L125*Assumptions!$B$4</f>
        <v>1736700</v>
      </c>
      <c r="S125" s="47" t="n">
        <f aca="false">IF(H125="Yes",Assumptions!$B$6*(D125),(L125)*Assumptions!$B$5)</f>
        <v>186075</v>
      </c>
      <c r="T125" s="47" t="n">
        <f aca="false">AP125*(Assumptions!$B$8*N125*Assumptions!$B$9+Assumptions!$B$10)</f>
        <v>247610.75625</v>
      </c>
      <c r="U125" s="47" t="n">
        <f aca="false">Q125*Assumptions!$B$11*N125</f>
        <v>21576</v>
      </c>
      <c r="V125" s="47" t="n">
        <f aca="false">P125*(Assumptions!$B$12+Assumptions!$B$13)</f>
        <v>99721.314</v>
      </c>
      <c r="W125" s="47" t="n">
        <f aca="false">P125*IF(P125&gt;=Assumptions!$B$16,Assumptions!$B$17,IF(P125&gt;=Assumptions!$B$14,Assumptions!$B$15,0))</f>
        <v>0</v>
      </c>
      <c r="X125" s="48" t="n">
        <f aca="false">SUM(Q125:W125)</f>
        <v>3190683.07025</v>
      </c>
      <c r="Y125" s="48" t="n">
        <f aca="false">P125-X125</f>
        <v>-734493.07025</v>
      </c>
      <c r="Z125" s="49" t="n">
        <f aca="false">IF(X125=0,0,Y125/X125)</f>
        <v>-0.230199319104561</v>
      </c>
      <c r="AA125" s="47" t="n">
        <f aca="false">MAX(0,(P125/(1+Assumptions!$B$27)-(L125*(Assumptions!$B$4+IF(H125="Yes",0,Assumptions!$B$5)))*(1+(Assumptions!$B$7*(Assumptions!$B$8*N125*Assumptions!$B$9+Assumptions!$B$10)))-P125*(Assumptions!$B$12+Assumptions!$B$13+IF(P125&gt;=Assumptions!$B$16,Assumptions!$B$17,IF(P125&gt;=Assumptions!$B$14,Assumptions!$B$15,0))))/((1+IF(H125="Yes",Assumptions!$B$6,0))*(1+(Assumptions!$B$7*(Assumptions!$B$8*N125*Assumptions!$B$9+Assumptions!$B$10)))+Assumptions!$B$11*N125))</f>
        <v>0</v>
      </c>
      <c r="AB125" s="50" t="str">
        <f aca="false">IF(AA125&lt;=0,"no price works",D125/AA125)</f>
        <v>no price works</v>
      </c>
      <c r="AC125" s="46" t="n">
        <f aca="false">(INDEX(Assumptions!$B$36:$B$48,MATCH(AK125,Assumptions!$A$36:$A$48,0))+IF(I125="Yes",Assumptions!$B$23,0)+IF(J125="Yes",Assumptions!$B$24,0))*(1+Assumptions!$B$28)</f>
        <v>900</v>
      </c>
      <c r="AD125" s="47" t="n">
        <f aca="false">(L125)*AC125-(((D125)+(L125)*Assumptions!$B$4+IF(H125="Yes",Assumptions!$B$6*(D125),(L125)*Assumptions!$B$5))*(1+Assumptions!$B$7*(Assumptions!$B$8*(N125)*Assumptions!$B$9+Assumptions!$B$10))+(D125)*Assumptions!$B$11*(N125)+(L125)*AC125*(Assumptions!$B$12+Assumptions!$B$13+IF((L125)*AC125&gt;=Assumptions!$B$16,Assumptions!$B$17,IF((L125)*AC125&gt;=Assumptions!$B$14,Assumptions!$B$15,0))))</f>
        <v>-948717.49625</v>
      </c>
      <c r="AE125" s="46" t="n">
        <f aca="false">(INDEX(Assumptions!$B$36:$B$48,MATCH(AK125,Assumptions!$A$36:$A$48,0))+IF(I125="Yes",Assumptions!$B$23,0)+IF(J125="Yes",Assumptions!$B$24,0))*(1+Assumptions!$B$29)</f>
        <v>990</v>
      </c>
      <c r="AF125" s="47" t="n">
        <f aca="false">(L125)*AE125-(((D125)+(L125)*Assumptions!$B$4+IF(H125="Yes",Assumptions!$B$6*(D125),(L125)*Assumptions!$B$5))*(1+Assumptions!$B$7*(Assumptions!$B$8*(N125)*Assumptions!$B$9+Assumptions!$B$10))+(D125)*Assumptions!$B$11*(N125)+(L125)*AE125*(Assumptions!$B$12+Assumptions!$B$13+IF((L125)*AE125&gt;=Assumptions!$B$16,Assumptions!$B$17,IF((L125)*AE125&gt;=Assumptions!$B$14,Assumptions!$B$15,0))))</f>
        <v>-734493.07025</v>
      </c>
      <c r="AG125" s="46" t="n">
        <f aca="false">(INDEX(Assumptions!$B$36:$B$48,MATCH(AK125,Assumptions!$A$36:$A$48,0))+IF(I125="Yes",Assumptions!$B$23,0)+IF(J125="Yes",Assumptions!$B$24,0))*(1+Assumptions!$B$30)</f>
        <v>1080</v>
      </c>
      <c r="AH125" s="47" t="n">
        <f aca="false">(L125)*AG125-(((D125)+(L125)*Assumptions!$B$4+IF(H125="Yes",Assumptions!$B$6*(D125),(L125)*Assumptions!$B$5))*(1+Assumptions!$B$7*(Assumptions!$B$8*(N125)*Assumptions!$B$9+Assumptions!$B$10))+(D125)*Assumptions!$B$11*(N125)+(L125)*AG125*(Assumptions!$B$12+Assumptions!$B$13+IF((L125)*AG125&gt;=Assumptions!$B$16,Assumptions!$B$17,IF((L125)*AG125&gt;=Assumptions!$B$14,Assumptions!$B$15,0))))</f>
        <v>-520268.64425</v>
      </c>
      <c r="AI125" s="47" t="n">
        <f aca="false">(L125)*AE125-(((D125)+(L125)*Assumptions!$B$25+IF(H125="Yes",Assumptions!$B$6*(D125),(L125)*Assumptions!$B$5))*(1+Assumptions!$B$7*(Assumptions!$B$8*(N125)*Assumptions!$B$9+Assumptions!$B$10))+(D125)*Assumptions!$B$11*(N125)+(L125)*AE125*(Assumptions!$B$12+Assumptions!$B$13+IF((L125)*AE125&gt;=Assumptions!$B$16,Assumptions!$B$17,IF((L125)*AE125&gt;=Assumptions!$B$14,Assumptions!$B$15,0))))</f>
        <v>-599557.68275</v>
      </c>
      <c r="AJ125" s="47" t="n">
        <f aca="false">(L125)*AE125-(((D125)+(L125)*Assumptions!$B$26+IF(H125="Yes",Assumptions!$B$6*(D125),(L125)*Assumptions!$B$5))*(1+Assumptions!$B$7*(Assumptions!$B$8*(N125)*Assumptions!$B$9+Assumptions!$B$10))+(D125)*Assumptions!$B$11*(N125)+(L125)*AE125*(Assumptions!$B$12+Assumptions!$B$13+IF((L125)*AE125&gt;=Assumptions!$B$16,Assumptions!$B$17,IF((L125)*AE125&gt;=Assumptions!$B$14,Assumptions!$B$15,0))))</f>
        <v>-464622.29525</v>
      </c>
      <c r="AK125" s="40" t="s">
        <v>267</v>
      </c>
      <c r="AL125" s="45" t="n">
        <f aca="false">IF(G125&gt;0,G125,ROUND(F125*Assumptions!$B$18,0))</f>
        <v>2481</v>
      </c>
      <c r="AM125" s="45" t="n">
        <f aca="false">IF(H125="Yes",AL125,MAX(AL125,MIN(Assumptions!$B$20,ROUND(E125*Assumptions!$B$19,0))))</f>
        <v>2614</v>
      </c>
      <c r="AN125" s="47" t="n">
        <f aca="false">(AL125)*AE125-(((D125)+(AL125)*Assumptions!$B$4+IF(H125="Yes",Assumptions!$B$6*(D125),(AL125)*Assumptions!$B$5))*(1+Assumptions!$B$7*(Assumptions!$B$8*(Assumptions!$B$21)*Assumptions!$B$9+Assumptions!$B$10))+(D125)*Assumptions!$B$11*(Assumptions!$B$21)+(AL125)*AE125*(Assumptions!$B$12+Assumptions!$B$13+IF((AL125)*AE125&gt;=Assumptions!$B$16,Assumptions!$B$17,IF((AL125)*AE125&gt;=Assumptions!$B$14,Assumptions!$B$15,0))))</f>
        <v>-734493.07025</v>
      </c>
      <c r="AO125" s="47" t="n">
        <f aca="false">(AM125)*AE125-(((D125)+(AM125)*Assumptions!$B$4+IF(H125="Yes",Assumptions!$B$6*(D125),(AM125)*Assumptions!$B$5))*(1+Assumptions!$B$7*(Assumptions!$B$8*(IF(AM125&gt;AL125,Assumptions!$B$22,Assumptions!$B$21))*Assumptions!$B$9+Assumptions!$B$10))+(D125)*Assumptions!$B$11*(IF(AM125&gt;AL125,Assumptions!$B$22,Assumptions!$B$21))+(AM125)*AE125*(Assumptions!$B$12+Assumptions!$B$13+IF((AM125)*AE125&gt;=Assumptions!$B$16,Assumptions!$B$17,IF((AM125)*AE125&gt;=Assumptions!$B$14,Assumptions!$B$15,0))))</f>
        <v>-845145.853499999</v>
      </c>
      <c r="AP125" s="47" t="n">
        <f aca="false">Assumptions!$B$7*(Q125+R125+S125)</f>
        <v>1834153.75</v>
      </c>
    </row>
    <row r="126" customFormat="false" ht="15" hidden="false" customHeight="false" outlineLevel="0" collapsed="false">
      <c r="A126" s="40" t="n">
        <v>124</v>
      </c>
      <c r="B126" s="40" t="s">
        <v>278</v>
      </c>
      <c r="C126" s="40" t="s">
        <v>279</v>
      </c>
      <c r="D126" s="41" t="n">
        <v>1545000</v>
      </c>
      <c r="E126" s="42" t="n">
        <v>10441</v>
      </c>
      <c r="F126" s="42" t="n">
        <v>5040</v>
      </c>
      <c r="G126" s="42"/>
      <c r="H126" s="43" t="s">
        <v>71</v>
      </c>
      <c r="I126" s="43" t="s">
        <v>80</v>
      </c>
      <c r="J126" s="43" t="s">
        <v>71</v>
      </c>
      <c r="K126" s="44" t="s">
        <v>272</v>
      </c>
      <c r="L126" s="45" t="n">
        <f aca="false">IF(AO126&gt;AN126,AM126,AL126)</f>
        <v>5544</v>
      </c>
      <c r="M126" s="40" t="str">
        <f aca="false">IF(AO126&gt;AN126,"Zoning estimate",IF(H126="Yes","Approved plans",IF(G126&gt;0,"Listing claim","110% old house")))</f>
        <v>110% old house</v>
      </c>
      <c r="N126" s="45" t="n">
        <f aca="false">IF(AO126&gt;AN126,IF(AM126&gt;AL126,Assumptions!$B$22,Assumptions!$B$21),Assumptions!$B$21)</f>
        <v>2</v>
      </c>
      <c r="O126" s="46" t="n">
        <f aca="false">(INDEX(Assumptions!$B$36:$B$48,MATCH(AK126,Assumptions!$A$36:$A$48,0))+IF(I126="Yes",Assumptions!$B$23,0)+IF(J126="Yes",Assumptions!$B$24,0))*(1+IF(UPPER(Assumptions!$B$31)="WORST",Assumptions!$B$28,IF(UPPER(Assumptions!$B$31)="BEST",Assumptions!$B$30,Assumptions!$B$29)))</f>
        <v>1100</v>
      </c>
      <c r="P126" s="47" t="n">
        <f aca="false">L126*O126</f>
        <v>6098400</v>
      </c>
      <c r="Q126" s="47" t="n">
        <f aca="false">D126</f>
        <v>1545000</v>
      </c>
      <c r="R126" s="47" t="n">
        <f aca="false">L126*Assumptions!$B$4</f>
        <v>3880800</v>
      </c>
      <c r="S126" s="47" t="n">
        <f aca="false">IF(H126="Yes",Assumptions!$B$6*(D126),(L126)*Assumptions!$B$5)</f>
        <v>415800</v>
      </c>
      <c r="T126" s="47" t="n">
        <f aca="false">AP126*(Assumptions!$B$8*N126*Assumptions!$B$9+Assumptions!$B$10)</f>
        <v>512600.4</v>
      </c>
      <c r="U126" s="47" t="n">
        <f aca="false">Q126*Assumptions!$B$11*N126</f>
        <v>37080</v>
      </c>
      <c r="V126" s="47" t="n">
        <f aca="false">P126*(Assumptions!$B$12+Assumptions!$B$13)</f>
        <v>247595.04</v>
      </c>
      <c r="W126" s="47" t="n">
        <f aca="false">P126*IF(P126&gt;=Assumptions!$B$16,Assumptions!$B$17,IF(P126&gt;=Assumptions!$B$14,Assumptions!$B$15,0))</f>
        <v>243936</v>
      </c>
      <c r="X126" s="48" t="n">
        <f aca="false">SUM(Q126:W126)</f>
        <v>6882811.44</v>
      </c>
      <c r="Y126" s="48" t="n">
        <f aca="false">P126-X126</f>
        <v>-784411.44</v>
      </c>
      <c r="Z126" s="49" t="n">
        <f aca="false">IF(X126=0,0,Y126/X126)</f>
        <v>-0.113966719390471</v>
      </c>
      <c r="AA126" s="47" t="n">
        <f aca="false">MAX(0,(P126/(1+Assumptions!$B$27)-(L126*(Assumptions!$B$4+IF(H126="Yes",0,Assumptions!$B$5)))*(1+(Assumptions!$B$7*(Assumptions!$B$8*N126*Assumptions!$B$9+Assumptions!$B$10)))-P126*(Assumptions!$B$12+Assumptions!$B$13+IF(P126&gt;=Assumptions!$B$16,Assumptions!$B$17,IF(P126&gt;=Assumptions!$B$14,Assumptions!$B$15,0))))/((1+IF(H126="Yes",Assumptions!$B$6,0))*(1+(Assumptions!$B$7*(Assumptions!$B$8*N126*Assumptions!$B$9+Assumptions!$B$10)))+Assumptions!$B$11*N126))</f>
        <v>123947.678649994</v>
      </c>
      <c r="AB126" s="50" t="n">
        <f aca="false">IF(AA126&lt;=0,"no price works",D126/AA126)</f>
        <v>12.4649369542677</v>
      </c>
      <c r="AC126" s="46" t="n">
        <f aca="false">(INDEX(Assumptions!$B$36:$B$48,MATCH(AK126,Assumptions!$A$36:$A$48,0))+IF(I126="Yes",Assumptions!$B$23,0)+IF(J126="Yes",Assumptions!$B$24,0))*(1+Assumptions!$B$28)</f>
        <v>1000</v>
      </c>
      <c r="AD126" s="47" t="n">
        <f aca="false">(L126)*AC126-(((D126)+(L126)*Assumptions!$B$4+IF(H126="Yes",Assumptions!$B$6*(D126),(L126)*Assumptions!$B$5))*(1+Assumptions!$B$7*(Assumptions!$B$8*(N126)*Assumptions!$B$9+Assumptions!$B$10))+(D126)*Assumptions!$B$11*(N126)+(L126)*AC126*(Assumptions!$B$12+Assumptions!$B$13+IF((L126)*AC126&gt;=Assumptions!$B$16,Assumptions!$B$17,IF((L126)*AC126&gt;=Assumptions!$B$14,Assumptions!$B$15,0))))</f>
        <v>-1294126.8</v>
      </c>
      <c r="AE126" s="46" t="n">
        <f aca="false">(INDEX(Assumptions!$B$36:$B$48,MATCH(AK126,Assumptions!$A$36:$A$48,0))+IF(I126="Yes",Assumptions!$B$23,0)+IF(J126="Yes",Assumptions!$B$24,0))*(1+Assumptions!$B$29)</f>
        <v>1100</v>
      </c>
      <c r="AF126" s="47" t="n">
        <f aca="false">(L126)*AE126-(((D126)+(L126)*Assumptions!$B$4+IF(H126="Yes",Assumptions!$B$6*(D126),(L126)*Assumptions!$B$5))*(1+Assumptions!$B$7*(Assumptions!$B$8*(N126)*Assumptions!$B$9+Assumptions!$B$10))+(D126)*Assumptions!$B$11*(N126)+(L126)*AE126*(Assumptions!$B$12+Assumptions!$B$13+IF((L126)*AE126&gt;=Assumptions!$B$16,Assumptions!$B$17,IF((L126)*AE126&gt;=Assumptions!$B$14,Assumptions!$B$15,0))))</f>
        <v>-784411.44</v>
      </c>
      <c r="AG126" s="46" t="n">
        <f aca="false">(INDEX(Assumptions!$B$36:$B$48,MATCH(AK126,Assumptions!$A$36:$A$48,0))+IF(I126="Yes",Assumptions!$B$23,0)+IF(J126="Yes",Assumptions!$B$24,0))*(1+Assumptions!$B$30)</f>
        <v>1200</v>
      </c>
      <c r="AH126" s="47" t="n">
        <f aca="false">(L126)*AG126-(((D126)+(L126)*Assumptions!$B$4+IF(H126="Yes",Assumptions!$B$6*(D126),(L126)*Assumptions!$B$5))*(1+Assumptions!$B$7*(Assumptions!$B$8*(N126)*Assumptions!$B$9+Assumptions!$B$10))+(D126)*Assumptions!$B$11*(N126)+(L126)*AG126*(Assumptions!$B$12+Assumptions!$B$13+IF((L126)*AG126&gt;=Assumptions!$B$16,Assumptions!$B$17,IF((L126)*AG126&gt;=Assumptions!$B$14,Assumptions!$B$15,0))))</f>
        <v>-274696.08</v>
      </c>
      <c r="AI126" s="47" t="n">
        <f aca="false">(L126)*AE126-(((D126)+(L126)*Assumptions!$B$25+IF(H126="Yes",Assumptions!$B$6*(D126),(L126)*Assumptions!$B$5))*(1+Assumptions!$B$7*(Assumptions!$B$8*(N126)*Assumptions!$B$9+Assumptions!$B$10))+(D126)*Assumptions!$B$11*(N126)+(L126)*AE126*(Assumptions!$B$12+Assumptions!$B$13+IF((L126)*AE126&gt;=Assumptions!$B$16,Assumptions!$B$17,IF((L126)*AE126&gt;=Assumptions!$B$14,Assumptions!$B$15,0))))</f>
        <v>-482887.14</v>
      </c>
      <c r="AJ126" s="47" t="n">
        <f aca="false">(L126)*AE126-(((D126)+(L126)*Assumptions!$B$26+IF(H126="Yes",Assumptions!$B$6*(D126),(L126)*Assumptions!$B$5))*(1+Assumptions!$B$7*(Assumptions!$B$8*(N126)*Assumptions!$B$9+Assumptions!$B$10))+(D126)*Assumptions!$B$11*(N126)+(L126)*AE126*(Assumptions!$B$12+Assumptions!$B$13+IF((L126)*AE126&gt;=Assumptions!$B$16,Assumptions!$B$17,IF((L126)*AE126&gt;=Assumptions!$B$14,Assumptions!$B$15,0))))</f>
        <v>-181362.84</v>
      </c>
      <c r="AK126" s="40" t="s">
        <v>280</v>
      </c>
      <c r="AL126" s="45" t="n">
        <f aca="false">IF(G126&gt;0,G126,ROUND(F126*Assumptions!$B$18,0))</f>
        <v>5544</v>
      </c>
      <c r="AM126" s="45" t="n">
        <f aca="false">IF(H126="Yes",AL126,MAX(AL126,MIN(Assumptions!$B$20,ROUND(E126*Assumptions!$B$19,0))))</f>
        <v>5544</v>
      </c>
      <c r="AN126" s="47" t="n">
        <f aca="false">(AL126)*AE126-(((D126)+(AL126)*Assumptions!$B$4+IF(H126="Yes",Assumptions!$B$6*(D126),(AL126)*Assumptions!$B$5))*(1+Assumptions!$B$7*(Assumptions!$B$8*(Assumptions!$B$21)*Assumptions!$B$9+Assumptions!$B$10))+(D126)*Assumptions!$B$11*(Assumptions!$B$21)+(AL126)*AE126*(Assumptions!$B$12+Assumptions!$B$13+IF((AL126)*AE126&gt;=Assumptions!$B$16,Assumptions!$B$17,IF((AL126)*AE126&gt;=Assumptions!$B$14,Assumptions!$B$15,0))))</f>
        <v>-784411.44</v>
      </c>
      <c r="AO126" s="47" t="n">
        <f aca="false">(AM126)*AE126-(((D126)+(AM126)*Assumptions!$B$4+IF(H126="Yes",Assumptions!$B$6*(D126),(AM126)*Assumptions!$B$5))*(1+Assumptions!$B$7*(Assumptions!$B$8*(IF(AM126&gt;AL126,Assumptions!$B$22,Assumptions!$B$21))*Assumptions!$B$9+Assumptions!$B$10))+(D126)*Assumptions!$B$11*(IF(AM126&gt;AL126,Assumptions!$B$22,Assumptions!$B$21))+(AM126)*AE126*(Assumptions!$B$12+Assumptions!$B$13+IF((AM126)*AE126&gt;=Assumptions!$B$16,Assumptions!$B$17,IF((AM126)*AE126&gt;=Assumptions!$B$14,Assumptions!$B$15,0))))</f>
        <v>-784411.44</v>
      </c>
      <c r="AP126" s="47" t="n">
        <f aca="false">Assumptions!$B$7*(Q126+R126+S126)</f>
        <v>3797040</v>
      </c>
    </row>
    <row r="127" customFormat="false" ht="23.85" hidden="false" customHeight="false" outlineLevel="0" collapsed="false">
      <c r="A127" s="40" t="n">
        <v>125</v>
      </c>
      <c r="B127" s="40" t="s">
        <v>281</v>
      </c>
      <c r="C127" s="40" t="s">
        <v>254</v>
      </c>
      <c r="D127" s="41" t="n">
        <v>1299000</v>
      </c>
      <c r="E127" s="42" t="n">
        <v>15462</v>
      </c>
      <c r="F127" s="42" t="n">
        <v>3672</v>
      </c>
      <c r="G127" s="42"/>
      <c r="H127" s="43" t="s">
        <v>71</v>
      </c>
      <c r="I127" s="43" t="s">
        <v>71</v>
      </c>
      <c r="J127" s="43" t="s">
        <v>71</v>
      </c>
      <c r="K127" s="44" t="s">
        <v>282</v>
      </c>
      <c r="L127" s="45" t="n">
        <f aca="false">IF(AO127&gt;AN127,AM127,AL127)</f>
        <v>4039</v>
      </c>
      <c r="M127" s="40" t="str">
        <f aca="false">IF(AO127&gt;AN127,"Zoning estimate",IF(H127="Yes","Approved plans",IF(G127&gt;0,"Listing claim","110% old house")))</f>
        <v>110% old house</v>
      </c>
      <c r="N127" s="45" t="n">
        <f aca="false">IF(AO127&gt;AN127,IF(AM127&gt;AL127,Assumptions!$B$22,Assumptions!$B$21),Assumptions!$B$21)</f>
        <v>2</v>
      </c>
      <c r="O127" s="46" t="n">
        <f aca="false">(INDEX(Assumptions!$B$36:$B$48,MATCH(AK127,Assumptions!$A$36:$A$48,0))+IF(I127="Yes",Assumptions!$B$23,0)+IF(J127="Yes",Assumptions!$B$24,0))*(1+IF(UPPER(Assumptions!$B$31)="WORST",Assumptions!$B$28,IF(UPPER(Assumptions!$B$31)="BEST",Assumptions!$B$30,Assumptions!$B$29)))</f>
        <v>1100</v>
      </c>
      <c r="P127" s="47" t="n">
        <f aca="false">L127*O127</f>
        <v>4442900</v>
      </c>
      <c r="Q127" s="47" t="n">
        <f aca="false">D127</f>
        <v>1299000</v>
      </c>
      <c r="R127" s="47" t="n">
        <f aca="false">L127*Assumptions!$B$4</f>
        <v>2827300</v>
      </c>
      <c r="S127" s="47" t="n">
        <f aca="false">IF(H127="Yes",Assumptions!$B$6*(D127),(L127)*Assumptions!$B$5)</f>
        <v>302925</v>
      </c>
      <c r="T127" s="47" t="n">
        <f aca="false">AP127*(Assumptions!$B$8*N127*Assumptions!$B$9+Assumptions!$B$10)</f>
        <v>388664.49375</v>
      </c>
      <c r="U127" s="47" t="n">
        <f aca="false">Q127*Assumptions!$B$11*N127</f>
        <v>31176</v>
      </c>
      <c r="V127" s="47" t="n">
        <f aca="false">P127*(Assumptions!$B$12+Assumptions!$B$13)</f>
        <v>180381.74</v>
      </c>
      <c r="W127" s="47" t="n">
        <f aca="false">P127*IF(P127&gt;=Assumptions!$B$16,Assumptions!$B$17,IF(P127&gt;=Assumptions!$B$14,Assumptions!$B$15,0))</f>
        <v>0</v>
      </c>
      <c r="X127" s="48" t="n">
        <f aca="false">SUM(Q127:W127)</f>
        <v>5029447.23375</v>
      </c>
      <c r="Y127" s="48" t="n">
        <f aca="false">P127-X127</f>
        <v>-586547.233750001</v>
      </c>
      <c r="Z127" s="49" t="n">
        <f aca="false">IF(X127=0,0,Y127/X127)</f>
        <v>-0.116622604133112</v>
      </c>
      <c r="AA127" s="47" t="n">
        <f aca="false">MAX(0,(P127/(1+Assumptions!$B$27)-(L127*(Assumptions!$B$4+IF(H127="Yes",0,Assumptions!$B$5)))*(1+(Assumptions!$B$7*(Assumptions!$B$8*N127*Assumptions!$B$9+Assumptions!$B$10)))-P127*(Assumptions!$B$12+Assumptions!$B$13+IF(P127&gt;=Assumptions!$B$16,Assumptions!$B$17,IF(P127&gt;=Assumptions!$B$14,Assumptions!$B$15,0))))/((1+IF(H127="Yes",Assumptions!$B$6,0))*(1+(Assumptions!$B$7*(Assumptions!$B$8*N127*Assumptions!$B$9+Assumptions!$B$10)))+Assumptions!$B$11*N127))</f>
        <v>250152.750706387</v>
      </c>
      <c r="AB127" s="50" t="n">
        <f aca="false">IF(AA127&lt;=0,"no price works",D127/AA127)</f>
        <v>5.1928271679278</v>
      </c>
      <c r="AC127" s="46" t="n">
        <f aca="false">(INDEX(Assumptions!$B$36:$B$48,MATCH(AK127,Assumptions!$A$36:$A$48,0))+IF(I127="Yes",Assumptions!$B$23,0)+IF(J127="Yes",Assumptions!$B$24,0))*(1+Assumptions!$B$28)</f>
        <v>1000</v>
      </c>
      <c r="AD127" s="47" t="n">
        <f aca="false">(L127)*AC127-(((D127)+(L127)*Assumptions!$B$4+IF(H127="Yes",Assumptions!$B$6*(D127),(L127)*Assumptions!$B$5))*(1+Assumptions!$B$7*(Assumptions!$B$8*(N127)*Assumptions!$B$9+Assumptions!$B$10))+(D127)*Assumptions!$B$11*(N127)+(L127)*AC127*(Assumptions!$B$12+Assumptions!$B$13+IF((L127)*AC127&gt;=Assumptions!$B$16,Assumptions!$B$17,IF((L127)*AC127&gt;=Assumptions!$B$14,Assumptions!$B$15,0))))</f>
        <v>-974048.893750001</v>
      </c>
      <c r="AE127" s="46" t="n">
        <f aca="false">(INDEX(Assumptions!$B$36:$B$48,MATCH(AK127,Assumptions!$A$36:$A$48,0))+IF(I127="Yes",Assumptions!$B$23,0)+IF(J127="Yes",Assumptions!$B$24,0))*(1+Assumptions!$B$29)</f>
        <v>1100</v>
      </c>
      <c r="AF127" s="47" t="n">
        <f aca="false">(L127)*AE127-(((D127)+(L127)*Assumptions!$B$4+IF(H127="Yes",Assumptions!$B$6*(D127),(L127)*Assumptions!$B$5))*(1+Assumptions!$B$7*(Assumptions!$B$8*(N127)*Assumptions!$B$9+Assumptions!$B$10))+(D127)*Assumptions!$B$11*(N127)+(L127)*AE127*(Assumptions!$B$12+Assumptions!$B$13+IF((L127)*AE127&gt;=Assumptions!$B$16,Assumptions!$B$17,IF((L127)*AE127&gt;=Assumptions!$B$14,Assumptions!$B$15,0))))</f>
        <v>-586547.233750001</v>
      </c>
      <c r="AG127" s="46" t="n">
        <f aca="false">(INDEX(Assumptions!$B$36:$B$48,MATCH(AK127,Assumptions!$A$36:$A$48,0))+IF(I127="Yes",Assumptions!$B$23,0)+IF(J127="Yes",Assumptions!$B$24,0))*(1+Assumptions!$B$30)</f>
        <v>1200</v>
      </c>
      <c r="AH127" s="47" t="n">
        <f aca="false">(L127)*AG127-(((D127)+(L127)*Assumptions!$B$4+IF(H127="Yes",Assumptions!$B$6*(D127),(L127)*Assumptions!$B$5))*(1+Assumptions!$B$7*(Assumptions!$B$8*(N127)*Assumptions!$B$9+Assumptions!$B$10))+(D127)*Assumptions!$B$11*(N127)+(L127)*AG127*(Assumptions!$B$12+Assumptions!$B$13+IF((L127)*AG127&gt;=Assumptions!$B$16,Assumptions!$B$17,IF((L127)*AG127&gt;=Assumptions!$B$14,Assumptions!$B$15,0))))</f>
        <v>-199045.57375</v>
      </c>
      <c r="AI127" s="47" t="n">
        <f aca="false">(L127)*AE127-(((D127)+(L127)*Assumptions!$B$25+IF(H127="Yes",Assumptions!$B$6*(D127),(L127)*Assumptions!$B$5))*(1+Assumptions!$B$7*(Assumptions!$B$8*(N127)*Assumptions!$B$9+Assumptions!$B$10))+(D127)*Assumptions!$B$11*(N127)+(L127)*AE127*(Assumptions!$B$12+Assumptions!$B$13+IF((L127)*AE127&gt;=Assumptions!$B$16,Assumptions!$B$17,IF((L127)*AE127&gt;=Assumptions!$B$14,Assumptions!$B$15,0))))</f>
        <v>-366876.12125</v>
      </c>
      <c r="AJ127" s="47" t="n">
        <f aca="false">(L127)*AE127-(((D127)+(L127)*Assumptions!$B$26+IF(H127="Yes",Assumptions!$B$6*(D127),(L127)*Assumptions!$B$5))*(1+Assumptions!$B$7*(Assumptions!$B$8*(N127)*Assumptions!$B$9+Assumptions!$B$10))+(D127)*Assumptions!$B$11*(N127)+(L127)*AE127*(Assumptions!$B$12+Assumptions!$B$13+IF((L127)*AE127&gt;=Assumptions!$B$16,Assumptions!$B$17,IF((L127)*AE127&gt;=Assumptions!$B$14,Assumptions!$B$15,0))))</f>
        <v>-147205.00875</v>
      </c>
      <c r="AK127" s="40" t="s">
        <v>256</v>
      </c>
      <c r="AL127" s="45" t="n">
        <f aca="false">IF(G127&gt;0,G127,ROUND(F127*Assumptions!$B$18,0))</f>
        <v>4039</v>
      </c>
      <c r="AM127" s="45" t="n">
        <f aca="false">IF(H127="Yes",AL127,MAX(AL127,MIN(Assumptions!$B$20,ROUND(E127*Assumptions!$B$19,0))))</f>
        <v>6185</v>
      </c>
      <c r="AN127" s="47" t="n">
        <f aca="false">(AL127)*AE127-(((D127)+(AL127)*Assumptions!$B$4+IF(H127="Yes",Assumptions!$B$6*(D127),(AL127)*Assumptions!$B$5))*(1+Assumptions!$B$7*(Assumptions!$B$8*(Assumptions!$B$21)*Assumptions!$B$9+Assumptions!$B$10))+(D127)*Assumptions!$B$11*(Assumptions!$B$21)+(AL127)*AE127*(Assumptions!$B$12+Assumptions!$B$13+IF((AL127)*AE127&gt;=Assumptions!$B$16,Assumptions!$B$17,IF((AL127)*AE127&gt;=Assumptions!$B$14,Assumptions!$B$15,0))))</f>
        <v>-586547.233750001</v>
      </c>
      <c r="AO127" s="47" t="n">
        <f aca="false">(AM127)*AE127-(((D127)+(AM127)*Assumptions!$B$4+IF(H127="Yes",Assumptions!$B$6*(D127),(AM127)*Assumptions!$B$5))*(1+Assumptions!$B$7*(Assumptions!$B$8*(IF(AM127&gt;AL127,Assumptions!$B$22,Assumptions!$B$21))*Assumptions!$B$9+Assumptions!$B$10))+(D127)*Assumptions!$B$11*(IF(AM127&gt;AL127,Assumptions!$B$22,Assumptions!$B$21))+(AM127)*AE127*(Assumptions!$B$12+Assumptions!$B$13+IF((AM127)*AE127&gt;=Assumptions!$B$16,Assumptions!$B$17,IF((AM127)*AE127&gt;=Assumptions!$B$14,Assumptions!$B$15,0))))</f>
        <v>-656209.631249999</v>
      </c>
      <c r="AP127" s="47" t="n">
        <f aca="false">Assumptions!$B$7*(Q127+R127+S127)</f>
        <v>2878996.25</v>
      </c>
    </row>
    <row r="128" customFormat="false" ht="35.05" hidden="false" customHeight="false" outlineLevel="0" collapsed="false">
      <c r="A128" s="40" t="n">
        <v>126</v>
      </c>
      <c r="B128" s="40" t="s">
        <v>283</v>
      </c>
      <c r="C128" s="40" t="s">
        <v>75</v>
      </c>
      <c r="D128" s="41" t="n">
        <v>5295000</v>
      </c>
      <c r="E128" s="42" t="n">
        <v>64396</v>
      </c>
      <c r="F128" s="42" t="n">
        <v>0</v>
      </c>
      <c r="G128" s="42"/>
      <c r="H128" s="43" t="s">
        <v>71</v>
      </c>
      <c r="I128" s="43" t="s">
        <v>71</v>
      </c>
      <c r="J128" s="43" t="s">
        <v>71</v>
      </c>
      <c r="K128" s="44" t="s">
        <v>284</v>
      </c>
      <c r="L128" s="45" t="n">
        <f aca="false">IF(AO128&gt;AN128,AM128,AL128)</f>
        <v>8000</v>
      </c>
      <c r="M128" s="40" t="str">
        <f aca="false">IF(AO128&gt;AN128,"Zoning estimate",IF(H128="Yes","Approved plans",IF(G128&gt;0,"Listing claim","110% old house")))</f>
        <v>Zoning estimate</v>
      </c>
      <c r="N128" s="45" t="n">
        <f aca="false">IF(AO128&gt;AN128,IF(AM128&gt;AL128,Assumptions!$B$22,Assumptions!$B$21),Assumptions!$B$21)</f>
        <v>3</v>
      </c>
      <c r="O128" s="46" t="n">
        <f aca="false">(INDEX(Assumptions!$B$36:$B$48,MATCH(AK128,Assumptions!$A$36:$A$48,0))+IF(I128="Yes",Assumptions!$B$23,0)+IF(J128="Yes",Assumptions!$B$24,0))*(1+IF(UPPER(Assumptions!$B$31)="WORST",Assumptions!$B$28,IF(UPPER(Assumptions!$B$31)="BEST",Assumptions!$B$30,Assumptions!$B$29)))</f>
        <v>1540</v>
      </c>
      <c r="P128" s="47" t="n">
        <f aca="false">L128*O128</f>
        <v>12320000</v>
      </c>
      <c r="Q128" s="47" t="n">
        <f aca="false">D128</f>
        <v>5295000</v>
      </c>
      <c r="R128" s="47" t="n">
        <f aca="false">L128*Assumptions!$B$4</f>
        <v>5600000</v>
      </c>
      <c r="S128" s="47" t="n">
        <f aca="false">IF(H128="Yes",Assumptions!$B$6*(D128),(L128)*Assumptions!$B$5)</f>
        <v>600000</v>
      </c>
      <c r="T128" s="47" t="n">
        <f aca="false">AP128*(Assumptions!$B$8*N128*Assumptions!$B$9+Assumptions!$B$10)</f>
        <v>1456991.25</v>
      </c>
      <c r="U128" s="47" t="n">
        <f aca="false">Q128*Assumptions!$B$11*N128</f>
        <v>190620</v>
      </c>
      <c r="V128" s="47" t="n">
        <f aca="false">P128*(Assumptions!$B$12+Assumptions!$B$13)</f>
        <v>500192</v>
      </c>
      <c r="W128" s="47" t="n">
        <f aca="false">P128*IF(P128&gt;=Assumptions!$B$16,Assumptions!$B$17,IF(P128&gt;=Assumptions!$B$14,Assumptions!$B$15,0))</f>
        <v>677600</v>
      </c>
      <c r="X128" s="48" t="n">
        <f aca="false">SUM(Q128:W128)</f>
        <v>14320403.25</v>
      </c>
      <c r="Y128" s="48" t="n">
        <f aca="false">P128-X128</f>
        <v>-2000403.25</v>
      </c>
      <c r="Z128" s="49" t="n">
        <f aca="false">IF(X128=0,0,Y128/X128)</f>
        <v>-0.139689030754075</v>
      </c>
      <c r="AA128" s="47" t="n">
        <f aca="false">MAX(0,(P128/(1+Assumptions!$B$27)-(L128*(Assumptions!$B$4+IF(H128="Yes",0,Assumptions!$B$5)))*(1+(Assumptions!$B$7*(Assumptions!$B$8*N128*Assumptions!$B$9+Assumptions!$B$10)))-P128*(Assumptions!$B$12+Assumptions!$B$13+IF(P128&gt;=Assumptions!$B$16,Assumptions!$B$17,IF(P128&gt;=Assumptions!$B$14,Assumptions!$B$15,0))))/((1+IF(H128="Yes",Assumptions!$B$6,0))*(1+(Assumptions!$B$7*(Assumptions!$B$8*N128*Assumptions!$B$9+Assumptions!$B$10)))+Assumptions!$B$11*N128))</f>
        <v>2192562.01097474</v>
      </c>
      <c r="AB128" s="50" t="n">
        <f aca="false">IF(AA128&lt;=0,"no price works",D128/AA128)</f>
        <v>2.41498300777638</v>
      </c>
      <c r="AC128" s="46" t="n">
        <f aca="false">(INDEX(Assumptions!$B$36:$B$48,MATCH(AK128,Assumptions!$A$36:$A$48,0))+IF(I128="Yes",Assumptions!$B$23,0)+IF(J128="Yes",Assumptions!$B$24,0))*(1+Assumptions!$B$28)</f>
        <v>1400</v>
      </c>
      <c r="AD128" s="47" t="n">
        <f aca="false">(L128)*AC128-(((D128)+(L128)*Assumptions!$B$4+IF(H128="Yes",Assumptions!$B$6*(D128),(L128)*Assumptions!$B$5))*(1+Assumptions!$B$7*(Assumptions!$B$8*(N128)*Assumptions!$B$9+Assumptions!$B$10))+(D128)*Assumptions!$B$11*(N128)+(L128)*AC128*(Assumptions!$B$12+Assumptions!$B$13+IF((L128)*AC128&gt;=Assumptions!$B$16,Assumptions!$B$17,IF((L128)*AC128&gt;=Assumptions!$B$14,Assumptions!$B$15,0))))</f>
        <v>-3013331.25</v>
      </c>
      <c r="AE128" s="46" t="n">
        <f aca="false">(INDEX(Assumptions!$B$36:$B$48,MATCH(AK128,Assumptions!$A$36:$A$48,0))+IF(I128="Yes",Assumptions!$B$23,0)+IF(J128="Yes",Assumptions!$B$24,0))*(1+Assumptions!$B$29)</f>
        <v>1540</v>
      </c>
      <c r="AF128" s="47" t="n">
        <f aca="false">(L128)*AE128-(((D128)+(L128)*Assumptions!$B$4+IF(H128="Yes",Assumptions!$B$6*(D128),(L128)*Assumptions!$B$5))*(1+Assumptions!$B$7*(Assumptions!$B$8*(N128)*Assumptions!$B$9+Assumptions!$B$10))+(D128)*Assumptions!$B$11*(N128)+(L128)*AE128*(Assumptions!$B$12+Assumptions!$B$13+IF((L128)*AE128&gt;=Assumptions!$B$16,Assumptions!$B$17,IF((L128)*AE128&gt;=Assumptions!$B$14,Assumptions!$B$15,0))))</f>
        <v>-2000403.25</v>
      </c>
      <c r="AG128" s="46" t="n">
        <f aca="false">(INDEX(Assumptions!$B$36:$B$48,MATCH(AK128,Assumptions!$A$36:$A$48,0))+IF(I128="Yes",Assumptions!$B$23,0)+IF(J128="Yes",Assumptions!$B$24,0))*(1+Assumptions!$B$30)</f>
        <v>1680</v>
      </c>
      <c r="AH128" s="47" t="n">
        <f aca="false">(L128)*AG128-(((D128)+(L128)*Assumptions!$B$4+IF(H128="Yes",Assumptions!$B$6*(D128),(L128)*Assumptions!$B$5))*(1+Assumptions!$B$7*(Assumptions!$B$8*(N128)*Assumptions!$B$9+Assumptions!$B$10))+(D128)*Assumptions!$B$11*(N128)+(L128)*AG128*(Assumptions!$B$12+Assumptions!$B$13+IF((L128)*AG128&gt;=Assumptions!$B$16,Assumptions!$B$17,IF((L128)*AG128&gt;=Assumptions!$B$14,Assumptions!$B$15,0))))</f>
        <v>-987475.249999998</v>
      </c>
      <c r="AI128" s="47" t="n">
        <f aca="false">(L128)*AE128-(((D128)+(L128)*Assumptions!$B$25+IF(H128="Yes",Assumptions!$B$6*(D128),(L128)*Assumptions!$B$5))*(1+Assumptions!$B$7*(Assumptions!$B$8*(N128)*Assumptions!$B$9+Assumptions!$B$10))+(D128)*Assumptions!$B$11*(N128)+(L128)*AE128*(Assumptions!$B$12+Assumptions!$B$13+IF((L128)*AE128&gt;=Assumptions!$B$16,Assumptions!$B$17,IF((L128)*AE128&gt;=Assumptions!$B$14,Assumptions!$B$15,0))))</f>
        <v>-1549703.25</v>
      </c>
      <c r="AJ128" s="47" t="n">
        <f aca="false">(L128)*AE128-(((D128)+(L128)*Assumptions!$B$26+IF(H128="Yes",Assumptions!$B$6*(D128),(L128)*Assumptions!$B$5))*(1+Assumptions!$B$7*(Assumptions!$B$8*(N128)*Assumptions!$B$9+Assumptions!$B$10))+(D128)*Assumptions!$B$11*(N128)+(L128)*AE128*(Assumptions!$B$12+Assumptions!$B$13+IF((L128)*AE128&gt;=Assumptions!$B$16,Assumptions!$B$17,IF((L128)*AE128&gt;=Assumptions!$B$14,Assumptions!$B$15,0))))</f>
        <v>-1099003.25</v>
      </c>
      <c r="AK128" s="40" t="s">
        <v>77</v>
      </c>
      <c r="AL128" s="45" t="n">
        <f aca="false">IF(G128&gt;0,G128,ROUND(F128*Assumptions!$B$18,0))</f>
        <v>0</v>
      </c>
      <c r="AM128" s="45" t="n">
        <f aca="false">IF(H128="Yes",AL128,MAX(AL128,MIN(Assumptions!$B$20,ROUND(E128*Assumptions!$B$19,0))))</f>
        <v>8000</v>
      </c>
      <c r="AN128" s="47" t="n">
        <f aca="false">(AL128)*AE128-(((D128)+(AL128)*Assumptions!$B$4+IF(H128="Yes",Assumptions!$B$6*(D128),(AL128)*Assumptions!$B$5))*(1+Assumptions!$B$7*(Assumptions!$B$8*(Assumptions!$B$21)*Assumptions!$B$9+Assumptions!$B$10))+(D128)*Assumptions!$B$11*(Assumptions!$B$21)+(AL128)*AE128*(Assumptions!$B$12+Assumptions!$B$13+IF((AL128)*AE128&gt;=Assumptions!$B$16,Assumptions!$B$17,IF((AL128)*AE128&gt;=Assumptions!$B$14,Assumptions!$B$15,0))))</f>
        <v>-5886716.25</v>
      </c>
      <c r="AO128" s="47" t="n">
        <f aca="false">(AM128)*AE128-(((D128)+(AM128)*Assumptions!$B$4+IF(H128="Yes",Assumptions!$B$6*(D128),(AM128)*Assumptions!$B$5))*(1+Assumptions!$B$7*(Assumptions!$B$8*(IF(AM128&gt;AL128,Assumptions!$B$22,Assumptions!$B$21))*Assumptions!$B$9+Assumptions!$B$10))+(D128)*Assumptions!$B$11*(IF(AM128&gt;AL128,Assumptions!$B$22,Assumptions!$B$21))+(AM128)*AE128*(Assumptions!$B$12+Assumptions!$B$13+IF((AM128)*AE128&gt;=Assumptions!$B$16,Assumptions!$B$17,IF((AM128)*AE128&gt;=Assumptions!$B$14,Assumptions!$B$15,0))))</f>
        <v>-2000403.25</v>
      </c>
      <c r="AP128" s="47" t="n">
        <f aca="false">Assumptions!$B$7*(Q128+R128+S128)</f>
        <v>7471750</v>
      </c>
    </row>
    <row r="129" customFormat="false" ht="23.85" hidden="false" customHeight="false" outlineLevel="0" collapsed="false">
      <c r="A129" s="40" t="n">
        <v>127</v>
      </c>
      <c r="B129" s="40" t="s">
        <v>285</v>
      </c>
      <c r="C129" s="40" t="s">
        <v>102</v>
      </c>
      <c r="D129" s="41" t="n">
        <v>1475000</v>
      </c>
      <c r="E129" s="42" t="n">
        <v>6902</v>
      </c>
      <c r="F129" s="42" t="n">
        <v>1770</v>
      </c>
      <c r="G129" s="42"/>
      <c r="H129" s="43" t="s">
        <v>71</v>
      </c>
      <c r="I129" s="43" t="s">
        <v>80</v>
      </c>
      <c r="J129" s="43" t="s">
        <v>71</v>
      </c>
      <c r="K129" s="44" t="s">
        <v>282</v>
      </c>
      <c r="L129" s="45" t="n">
        <f aca="false">IF(AO129&gt;AN129,AM129,AL129)</f>
        <v>2761</v>
      </c>
      <c r="M129" s="40" t="str">
        <f aca="false">IF(AO129&gt;AN129,"Zoning estimate",IF(H129="Yes","Approved plans",IF(G129&gt;0,"Listing claim","110% old house")))</f>
        <v>Zoning estimate</v>
      </c>
      <c r="N129" s="45" t="n">
        <f aca="false">IF(AO129&gt;AN129,IF(AM129&gt;AL129,Assumptions!$B$22,Assumptions!$B$21),Assumptions!$B$21)</f>
        <v>3</v>
      </c>
      <c r="O129" s="46" t="n">
        <f aca="false">(INDEX(Assumptions!$B$36:$B$48,MATCH(AK129,Assumptions!$A$36:$A$48,0))+IF(I129="Yes",Assumptions!$B$23,0)+IF(J129="Yes",Assumptions!$B$24,0))*(1+IF(UPPER(Assumptions!$B$31)="WORST",Assumptions!$B$28,IF(UPPER(Assumptions!$B$31)="BEST",Assumptions!$B$30,Assumptions!$B$29)))</f>
        <v>1485</v>
      </c>
      <c r="P129" s="47" t="n">
        <f aca="false">L129*O129</f>
        <v>4100085</v>
      </c>
      <c r="Q129" s="47" t="n">
        <f aca="false">D129</f>
        <v>1475000</v>
      </c>
      <c r="R129" s="47" t="n">
        <f aca="false">L129*Assumptions!$B$4</f>
        <v>1932700</v>
      </c>
      <c r="S129" s="47" t="n">
        <f aca="false">IF(H129="Yes",Assumptions!$B$6*(D129),(L129)*Assumptions!$B$5)</f>
        <v>207075</v>
      </c>
      <c r="T129" s="47" t="n">
        <f aca="false">AP129*(Assumptions!$B$8*N129*Assumptions!$B$9+Assumptions!$B$10)</f>
        <v>458172.73125</v>
      </c>
      <c r="U129" s="47" t="n">
        <f aca="false">Q129*Assumptions!$B$11*N129</f>
        <v>53100</v>
      </c>
      <c r="V129" s="47" t="n">
        <f aca="false">P129*(Assumptions!$B$12+Assumptions!$B$13)</f>
        <v>166463.451</v>
      </c>
      <c r="W129" s="47" t="n">
        <f aca="false">P129*IF(P129&gt;=Assumptions!$B$16,Assumptions!$B$17,IF(P129&gt;=Assumptions!$B$14,Assumptions!$B$15,0))</f>
        <v>0</v>
      </c>
      <c r="X129" s="48" t="n">
        <f aca="false">SUM(Q129:W129)</f>
        <v>4292511.18225</v>
      </c>
      <c r="Y129" s="48" t="n">
        <f aca="false">P129-X129</f>
        <v>-192426.18225</v>
      </c>
      <c r="Z129" s="49" t="n">
        <f aca="false">IF(X129=0,0,Y129/X129)</f>
        <v>-0.0448283473426239</v>
      </c>
      <c r="AA129" s="47" t="n">
        <f aca="false">MAX(0,(P129/(1+Assumptions!$B$27)-(L129*(Assumptions!$B$4+IF(H129="Yes",0,Assumptions!$B$5)))*(1+(Assumptions!$B$7*(Assumptions!$B$8*N129*Assumptions!$B$9+Assumptions!$B$10)))-P129*(Assumptions!$B$12+Assumptions!$B$13+IF(P129&gt;=Assumptions!$B$16,Assumptions!$B$17,IF(P129&gt;=Assumptions!$B$14,Assumptions!$B$15,0))))/((1+IF(H129="Yes",Assumptions!$B$6,0))*(1+(Assumptions!$B$7*(Assumptions!$B$8*N129*Assumptions!$B$9+Assumptions!$B$10)))+Assumptions!$B$11*N129))</f>
        <v>849569.014919653</v>
      </c>
      <c r="AB129" s="50" t="n">
        <f aca="false">IF(AA129&lt;=0,"no price works",D129/AA129)</f>
        <v>1.73617442973658</v>
      </c>
      <c r="AC129" s="46" t="n">
        <f aca="false">(INDEX(Assumptions!$B$36:$B$48,MATCH(AK129,Assumptions!$A$36:$A$48,0))+IF(I129="Yes",Assumptions!$B$23,0)+IF(J129="Yes",Assumptions!$B$24,0))*(1+Assumptions!$B$28)</f>
        <v>1350</v>
      </c>
      <c r="AD129" s="47" t="n">
        <f aca="false">(L129)*AC129-(((D129)+(L129)*Assumptions!$B$4+IF(H129="Yes",Assumptions!$B$6*(D129),(L129)*Assumptions!$B$5))*(1+Assumptions!$B$7*(Assumptions!$B$8*(N129)*Assumptions!$B$9+Assumptions!$B$10))+(D129)*Assumptions!$B$11*(N129)+(L129)*AC129*(Assumptions!$B$12+Assumptions!$B$13+IF((L129)*AC129&gt;=Assumptions!$B$16,Assumptions!$B$17,IF((L129)*AC129&gt;=Assumptions!$B$14,Assumptions!$B$15,0))))</f>
        <v>-550028.141249999</v>
      </c>
      <c r="AE129" s="46" t="n">
        <f aca="false">(INDEX(Assumptions!$B$36:$B$48,MATCH(AK129,Assumptions!$A$36:$A$48,0))+IF(I129="Yes",Assumptions!$B$23,0)+IF(J129="Yes",Assumptions!$B$24,0))*(1+Assumptions!$B$29)</f>
        <v>1485</v>
      </c>
      <c r="AF129" s="47" t="n">
        <f aca="false">(L129)*AE129-(((D129)+(L129)*Assumptions!$B$4+IF(H129="Yes",Assumptions!$B$6*(D129),(L129)*Assumptions!$B$5))*(1+Assumptions!$B$7*(Assumptions!$B$8*(N129)*Assumptions!$B$9+Assumptions!$B$10))+(D129)*Assumptions!$B$11*(N129)+(L129)*AE129*(Assumptions!$B$12+Assumptions!$B$13+IF((L129)*AE129&gt;=Assumptions!$B$16,Assumptions!$B$17,IF((L129)*AE129&gt;=Assumptions!$B$14,Assumptions!$B$15,0))))</f>
        <v>-192426.182249999</v>
      </c>
      <c r="AG129" s="46" t="n">
        <f aca="false">(INDEX(Assumptions!$B$36:$B$48,MATCH(AK129,Assumptions!$A$36:$A$48,0))+IF(I129="Yes",Assumptions!$B$23,0)+IF(J129="Yes",Assumptions!$B$24,0))*(1+Assumptions!$B$30)</f>
        <v>1620</v>
      </c>
      <c r="AH129" s="47" t="n">
        <f aca="false">(L129)*AG129-(((D129)+(L129)*Assumptions!$B$4+IF(H129="Yes",Assumptions!$B$6*(D129),(L129)*Assumptions!$B$5))*(1+Assumptions!$B$7*(Assumptions!$B$8*(N129)*Assumptions!$B$9+Assumptions!$B$10))+(D129)*Assumptions!$B$11*(N129)+(L129)*AG129*(Assumptions!$B$12+Assumptions!$B$13+IF((L129)*AG129&gt;=Assumptions!$B$16,Assumptions!$B$17,IF((L129)*AG129&gt;=Assumptions!$B$14,Assumptions!$B$15,0))))</f>
        <v>165175.77675</v>
      </c>
      <c r="AI129" s="47" t="n">
        <f aca="false">(L129)*AE129-(((D129)+(L129)*Assumptions!$B$25+IF(H129="Yes",Assumptions!$B$6*(D129),(L129)*Assumptions!$B$5))*(1+Assumptions!$B$7*(Assumptions!$B$8*(N129)*Assumptions!$B$9+Assumptions!$B$10))+(D129)*Assumptions!$B$11*(N129)+(L129)*AE129*(Assumptions!$B$12+Assumptions!$B$13+IF((L129)*AE129&gt;=Assumptions!$B$16,Assumptions!$B$17,IF((L129)*AE129&gt;=Assumptions!$B$14,Assumptions!$B$15,0))))</f>
        <v>-36878.3447499992</v>
      </c>
      <c r="AJ129" s="47" t="n">
        <f aca="false">(L129)*AE129-(((D129)+(L129)*Assumptions!$B$26+IF(H129="Yes",Assumptions!$B$6*(D129),(L129)*Assumptions!$B$5))*(1+Assumptions!$B$7*(Assumptions!$B$8*(N129)*Assumptions!$B$9+Assumptions!$B$10))+(D129)*Assumptions!$B$11*(N129)+(L129)*AE129*(Assumptions!$B$12+Assumptions!$B$13+IF((L129)*AE129&gt;=Assumptions!$B$16,Assumptions!$B$17,IF((L129)*AE129&gt;=Assumptions!$B$14,Assumptions!$B$15,0))))</f>
        <v>118669.492750001</v>
      </c>
      <c r="AK129" s="40" t="s">
        <v>104</v>
      </c>
      <c r="AL129" s="45" t="n">
        <f aca="false">IF(G129&gt;0,G129,ROUND(F129*Assumptions!$B$18,0))</f>
        <v>1947</v>
      </c>
      <c r="AM129" s="45" t="n">
        <f aca="false">IF(H129="Yes",AL129,MAX(AL129,MIN(Assumptions!$B$20,ROUND(E129*Assumptions!$B$19,0))))</f>
        <v>2761</v>
      </c>
      <c r="AN129" s="47" t="n">
        <f aca="false">(AL129)*AE129-(((D129)+(AL129)*Assumptions!$B$4+IF(H129="Yes",Assumptions!$B$6*(D129),(AL129)*Assumptions!$B$5))*(1+Assumptions!$B$7*(Assumptions!$B$8*(Assumptions!$B$21)*Assumptions!$B$9+Assumptions!$B$10))+(D129)*Assumptions!$B$11*(Assumptions!$B$21)+(AL129)*AE129*(Assumptions!$B$12+Assumptions!$B$13+IF((AL129)*AE129&gt;=Assumptions!$B$16,Assumptions!$B$17,IF((AL129)*AE129&gt;=Assumptions!$B$14,Assumptions!$B$15,0))))</f>
        <v>-507255.99575</v>
      </c>
      <c r="AO129" s="47" t="n">
        <f aca="false">(AM129)*AE129-(((D129)+(AM129)*Assumptions!$B$4+IF(H129="Yes",Assumptions!$B$6*(D129),(AM129)*Assumptions!$B$5))*(1+Assumptions!$B$7*(Assumptions!$B$8*(IF(AM129&gt;AL129,Assumptions!$B$22,Assumptions!$B$21))*Assumptions!$B$9+Assumptions!$B$10))+(D129)*Assumptions!$B$11*(IF(AM129&gt;AL129,Assumptions!$B$22,Assumptions!$B$21))+(AM129)*AE129*(Assumptions!$B$12+Assumptions!$B$13+IF((AM129)*AE129&gt;=Assumptions!$B$16,Assumptions!$B$17,IF((AM129)*AE129&gt;=Assumptions!$B$14,Assumptions!$B$15,0))))</f>
        <v>-192426.182249999</v>
      </c>
      <c r="AP129" s="47" t="n">
        <f aca="false">Assumptions!$B$7*(Q129+R129+S129)</f>
        <v>2349603.75</v>
      </c>
    </row>
    <row r="130" customFormat="false" ht="23.85" hidden="false" customHeight="false" outlineLevel="0" collapsed="false">
      <c r="A130" s="40" t="n">
        <v>128</v>
      </c>
      <c r="B130" s="40" t="s">
        <v>286</v>
      </c>
      <c r="C130" s="40" t="s">
        <v>117</v>
      </c>
      <c r="D130" s="41" t="n">
        <v>2695000</v>
      </c>
      <c r="E130" s="42" t="n">
        <v>6925</v>
      </c>
      <c r="F130" s="42" t="n">
        <v>3151</v>
      </c>
      <c r="G130" s="42"/>
      <c r="H130" s="43" t="s">
        <v>71</v>
      </c>
      <c r="I130" s="43" t="s">
        <v>71</v>
      </c>
      <c r="J130" s="43" t="s">
        <v>71</v>
      </c>
      <c r="K130" s="44" t="s">
        <v>282</v>
      </c>
      <c r="L130" s="45" t="n">
        <f aca="false">IF(AO130&gt;AN130,AM130,AL130)</f>
        <v>3466</v>
      </c>
      <c r="M130" s="40" t="str">
        <f aca="false">IF(AO130&gt;AN130,"Zoning estimate",IF(H130="Yes","Approved plans",IF(G130&gt;0,"Listing claim","110% old house")))</f>
        <v>110% old house</v>
      </c>
      <c r="N130" s="45" t="n">
        <f aca="false">IF(AO130&gt;AN130,IF(AM130&gt;AL130,Assumptions!$B$22,Assumptions!$B$21),Assumptions!$B$21)</f>
        <v>2</v>
      </c>
      <c r="O130" s="46" t="n">
        <f aca="false">(INDEX(Assumptions!$B$36:$B$48,MATCH(AK130,Assumptions!$A$36:$A$48,0))+IF(I130="Yes",Assumptions!$B$23,0)+IF(J130="Yes",Assumptions!$B$24,0))*(1+IF(UPPER(Assumptions!$B$31)="WORST",Assumptions!$B$28,IF(UPPER(Assumptions!$B$31)="BEST",Assumptions!$B$30,Assumptions!$B$29)))</f>
        <v>1540</v>
      </c>
      <c r="P130" s="47" t="n">
        <f aca="false">L130*O130</f>
        <v>5337640</v>
      </c>
      <c r="Q130" s="47" t="n">
        <f aca="false">D130</f>
        <v>2695000</v>
      </c>
      <c r="R130" s="47" t="n">
        <f aca="false">L130*Assumptions!$B$4</f>
        <v>2426200</v>
      </c>
      <c r="S130" s="47" t="n">
        <f aca="false">IF(H130="Yes",Assumptions!$B$6*(D130),(L130)*Assumptions!$B$5)</f>
        <v>259950</v>
      </c>
      <c r="T130" s="47" t="n">
        <f aca="false">AP130*(Assumptions!$B$8*N130*Assumptions!$B$9+Assumptions!$B$10)</f>
        <v>472195.9125</v>
      </c>
      <c r="U130" s="47" t="n">
        <f aca="false">Q130*Assumptions!$B$11*N130</f>
        <v>64680</v>
      </c>
      <c r="V130" s="47" t="n">
        <f aca="false">P130*(Assumptions!$B$12+Assumptions!$B$13)</f>
        <v>216708.184</v>
      </c>
      <c r="W130" s="47" t="n">
        <f aca="false">P130*IF(P130&gt;=Assumptions!$B$16,Assumptions!$B$17,IF(P130&gt;=Assumptions!$B$14,Assumptions!$B$15,0))</f>
        <v>0</v>
      </c>
      <c r="X130" s="48" t="n">
        <f aca="false">SUM(Q130:W130)</f>
        <v>6134734.0965</v>
      </c>
      <c r="Y130" s="48" t="n">
        <f aca="false">P130-X130</f>
        <v>-797094.096499999</v>
      </c>
      <c r="Z130" s="49" t="n">
        <f aca="false">IF(X130=0,0,Y130/X130)</f>
        <v>-0.129931319591302</v>
      </c>
      <c r="AA130" s="47" t="n">
        <f aca="false">MAX(0,(P130/(1+Assumptions!$B$27)-(L130*(Assumptions!$B$4+IF(H130="Yes",0,Assumptions!$B$5)))*(1+(Assumptions!$B$7*(Assumptions!$B$8*N130*Assumptions!$B$9+Assumptions!$B$10)))-P130*(Assumptions!$B$12+Assumptions!$B$13+IF(P130&gt;=Assumptions!$B$16,Assumptions!$B$17,IF(P130&gt;=Assumptions!$B$14,Assumptions!$B$15,0))))/((1+IF(H130="Yes",Assumptions!$B$6,0))*(1+(Assumptions!$B$7*(Assumptions!$B$8*N130*Assumptions!$B$9+Assumptions!$B$10)))+Assumptions!$B$11*N130))</f>
        <v>1351795.1342087</v>
      </c>
      <c r="AB130" s="50" t="n">
        <f aca="false">IF(AA130&lt;=0,"no price works",D130/AA130)</f>
        <v>1.9936452882541</v>
      </c>
      <c r="AC130" s="46" t="n">
        <f aca="false">(INDEX(Assumptions!$B$36:$B$48,MATCH(AK130,Assumptions!$A$36:$A$48,0))+IF(I130="Yes",Assumptions!$B$23,0)+IF(J130="Yes",Assumptions!$B$24,0))*(1+Assumptions!$B$28)</f>
        <v>1400</v>
      </c>
      <c r="AD130" s="47" t="n">
        <f aca="false">(L130)*AC130-(((D130)+(L130)*Assumptions!$B$4+IF(H130="Yes",Assumptions!$B$6*(D130),(L130)*Assumptions!$B$5))*(1+Assumptions!$B$7*(Assumptions!$B$8*(N130)*Assumptions!$B$9+Assumptions!$B$10))+(D130)*Assumptions!$B$11*(N130)+(L130)*AC130*(Assumptions!$B$12+Assumptions!$B$13+IF((L130)*AC130&gt;=Assumptions!$B$16,Assumptions!$B$17,IF((L130)*AC130&gt;=Assumptions!$B$14,Assumptions!$B$15,0))))</f>
        <v>-1262633.3525</v>
      </c>
      <c r="AE130" s="46" t="n">
        <f aca="false">(INDEX(Assumptions!$B$36:$B$48,MATCH(AK130,Assumptions!$A$36:$A$48,0))+IF(I130="Yes",Assumptions!$B$23,0)+IF(J130="Yes",Assumptions!$B$24,0))*(1+Assumptions!$B$29)</f>
        <v>1540</v>
      </c>
      <c r="AF130" s="47" t="n">
        <f aca="false">(L130)*AE130-(((D130)+(L130)*Assumptions!$B$4+IF(H130="Yes",Assumptions!$B$6*(D130),(L130)*Assumptions!$B$5))*(1+Assumptions!$B$7*(Assumptions!$B$8*(N130)*Assumptions!$B$9+Assumptions!$B$10))+(D130)*Assumptions!$B$11*(N130)+(L130)*AE130*(Assumptions!$B$12+Assumptions!$B$13+IF((L130)*AE130&gt;=Assumptions!$B$16,Assumptions!$B$17,IF((L130)*AE130&gt;=Assumptions!$B$14,Assumptions!$B$15,0))))</f>
        <v>-797094.096499999</v>
      </c>
      <c r="AG130" s="46" t="n">
        <f aca="false">(INDEX(Assumptions!$B$36:$B$48,MATCH(AK130,Assumptions!$A$36:$A$48,0))+IF(I130="Yes",Assumptions!$B$23,0)+IF(J130="Yes",Assumptions!$B$24,0))*(1+Assumptions!$B$30)</f>
        <v>1680</v>
      </c>
      <c r="AH130" s="47" t="n">
        <f aca="false">(L130)*AG130-(((D130)+(L130)*Assumptions!$B$4+IF(H130="Yes",Assumptions!$B$6*(D130),(L130)*Assumptions!$B$5))*(1+Assumptions!$B$7*(Assumptions!$B$8*(N130)*Assumptions!$B$9+Assumptions!$B$10))+(D130)*Assumptions!$B$11*(N130)+(L130)*AG130*(Assumptions!$B$12+Assumptions!$B$13+IF((L130)*AG130&gt;=Assumptions!$B$16,Assumptions!$B$17,IF((L130)*AG130&gt;=Assumptions!$B$14,Assumptions!$B$15,0))))</f>
        <v>-564470.0405</v>
      </c>
      <c r="AI130" s="47" t="n">
        <f aca="false">(L130)*AE130-(((D130)+(L130)*Assumptions!$B$25+IF(H130="Yes",Assumptions!$B$6*(D130),(L130)*Assumptions!$B$5))*(1+Assumptions!$B$7*(Assumptions!$B$8*(N130)*Assumptions!$B$9+Assumptions!$B$10))+(D130)*Assumptions!$B$11*(N130)+(L130)*AE130*(Assumptions!$B$12+Assumptions!$B$13+IF((L130)*AE130&gt;=Assumptions!$B$16,Assumptions!$B$17,IF((L130)*AE130&gt;=Assumptions!$B$14,Assumptions!$B$15,0))))</f>
        <v>-608587.0215</v>
      </c>
      <c r="AJ130" s="47" t="n">
        <f aca="false">(L130)*AE130-(((D130)+(L130)*Assumptions!$B$26+IF(H130="Yes",Assumptions!$B$6*(D130),(L130)*Assumptions!$B$5))*(1+Assumptions!$B$7*(Assumptions!$B$8*(N130)*Assumptions!$B$9+Assumptions!$B$10))+(D130)*Assumptions!$B$11*(N130)+(L130)*AE130*(Assumptions!$B$12+Assumptions!$B$13+IF((L130)*AE130&gt;=Assumptions!$B$16,Assumptions!$B$17,IF((L130)*AE130&gt;=Assumptions!$B$14,Assumptions!$B$15,0))))</f>
        <v>-420079.9465</v>
      </c>
      <c r="AK130" s="40" t="s">
        <v>119</v>
      </c>
      <c r="AL130" s="45" t="n">
        <f aca="false">IF(G130&gt;0,G130,ROUND(F130*Assumptions!$B$18,0))</f>
        <v>3466</v>
      </c>
      <c r="AM130" s="45" t="n">
        <f aca="false">IF(H130="Yes",AL130,MAX(AL130,MIN(Assumptions!$B$20,ROUND(E130*Assumptions!$B$19,0))))</f>
        <v>3466</v>
      </c>
      <c r="AN130" s="47" t="n">
        <f aca="false">(AL130)*AE130-(((D130)+(AL130)*Assumptions!$B$4+IF(H130="Yes",Assumptions!$B$6*(D130),(AL130)*Assumptions!$B$5))*(1+Assumptions!$B$7*(Assumptions!$B$8*(Assumptions!$B$21)*Assumptions!$B$9+Assumptions!$B$10))+(D130)*Assumptions!$B$11*(Assumptions!$B$21)+(AL130)*AE130*(Assumptions!$B$12+Assumptions!$B$13+IF((AL130)*AE130&gt;=Assumptions!$B$16,Assumptions!$B$17,IF((AL130)*AE130&gt;=Assumptions!$B$14,Assumptions!$B$15,0))))</f>
        <v>-797094.096499999</v>
      </c>
      <c r="AO130" s="47" t="n">
        <f aca="false">(AM130)*AE130-(((D130)+(AM130)*Assumptions!$B$4+IF(H130="Yes",Assumptions!$B$6*(D130),(AM130)*Assumptions!$B$5))*(1+Assumptions!$B$7*(Assumptions!$B$8*(IF(AM130&gt;AL130,Assumptions!$B$22,Assumptions!$B$21))*Assumptions!$B$9+Assumptions!$B$10))+(D130)*Assumptions!$B$11*(IF(AM130&gt;AL130,Assumptions!$B$22,Assumptions!$B$21))+(AM130)*AE130*(Assumptions!$B$12+Assumptions!$B$13+IF((AM130)*AE130&gt;=Assumptions!$B$16,Assumptions!$B$17,IF((AM130)*AE130&gt;=Assumptions!$B$14,Assumptions!$B$15,0))))</f>
        <v>-797094.096499999</v>
      </c>
      <c r="AP130" s="47" t="n">
        <f aca="false">Assumptions!$B$7*(Q130+R130+S130)</f>
        <v>3497747.5</v>
      </c>
    </row>
    <row r="131" customFormat="false" ht="23.85" hidden="false" customHeight="false" outlineLevel="0" collapsed="false">
      <c r="A131" s="40" t="n">
        <v>129</v>
      </c>
      <c r="B131" s="40" t="s">
        <v>287</v>
      </c>
      <c r="C131" s="40" t="s">
        <v>126</v>
      </c>
      <c r="D131" s="41" t="n">
        <v>2350000</v>
      </c>
      <c r="E131" s="42" t="n">
        <v>6501</v>
      </c>
      <c r="F131" s="42" t="n">
        <v>2022</v>
      </c>
      <c r="G131" s="42"/>
      <c r="H131" s="43" t="s">
        <v>71</v>
      </c>
      <c r="I131" s="43" t="s">
        <v>71</v>
      </c>
      <c r="J131" s="43" t="s">
        <v>71</v>
      </c>
      <c r="K131" s="44" t="s">
        <v>282</v>
      </c>
      <c r="L131" s="45" t="n">
        <f aca="false">IF(AO131&gt;AN131,AM131,AL131)</f>
        <v>2600</v>
      </c>
      <c r="M131" s="40" t="str">
        <f aca="false">IF(AO131&gt;AN131,"Zoning estimate",IF(H131="Yes","Approved plans",IF(G131&gt;0,"Listing claim","110% old house")))</f>
        <v>Zoning estimate</v>
      </c>
      <c r="N131" s="45" t="n">
        <f aca="false">IF(AO131&gt;AN131,IF(AM131&gt;AL131,Assumptions!$B$22,Assumptions!$B$21),Assumptions!$B$21)</f>
        <v>3</v>
      </c>
      <c r="O131" s="46" t="n">
        <f aca="false">(INDEX(Assumptions!$B$36:$B$48,MATCH(AK131,Assumptions!$A$36:$A$48,0))+IF(I131="Yes",Assumptions!$B$23,0)+IF(J131="Yes",Assumptions!$B$24,0))*(1+IF(UPPER(Assumptions!$B$31)="WORST",Assumptions!$B$28,IF(UPPER(Assumptions!$B$31)="BEST",Assumptions!$B$30,Assumptions!$B$29)))</f>
        <v>1430</v>
      </c>
      <c r="P131" s="47" t="n">
        <f aca="false">L131*O131</f>
        <v>3718000</v>
      </c>
      <c r="Q131" s="47" t="n">
        <f aca="false">D131</f>
        <v>2350000</v>
      </c>
      <c r="R131" s="47" t="n">
        <f aca="false">L131*Assumptions!$B$4</f>
        <v>1820000</v>
      </c>
      <c r="S131" s="47" t="n">
        <f aca="false">IF(H131="Yes",Assumptions!$B$6*(D131),(L131)*Assumptions!$B$5)</f>
        <v>195000</v>
      </c>
      <c r="T131" s="47" t="n">
        <f aca="false">AP131*(Assumptions!$B$8*N131*Assumptions!$B$9+Assumptions!$B$10)</f>
        <v>553263.75</v>
      </c>
      <c r="U131" s="47" t="n">
        <f aca="false">Q131*Assumptions!$B$11*N131</f>
        <v>84600</v>
      </c>
      <c r="V131" s="47" t="n">
        <f aca="false">P131*(Assumptions!$B$12+Assumptions!$B$13)</f>
        <v>150950.8</v>
      </c>
      <c r="W131" s="47" t="n">
        <f aca="false">P131*IF(P131&gt;=Assumptions!$B$16,Assumptions!$B$17,IF(P131&gt;=Assumptions!$B$14,Assumptions!$B$15,0))</f>
        <v>0</v>
      </c>
      <c r="X131" s="48" t="n">
        <f aca="false">SUM(Q131:W131)</f>
        <v>5153814.55</v>
      </c>
      <c r="Y131" s="48" t="n">
        <f aca="false">P131-X131</f>
        <v>-1435814.55</v>
      </c>
      <c r="Z131" s="49" t="n">
        <f aca="false">IF(X131=0,0,Y131/X131)</f>
        <v>-0.278592591190539</v>
      </c>
      <c r="AA131" s="47" t="n">
        <f aca="false">MAX(0,(P131/(1+Assumptions!$B$27)-(L131*(Assumptions!$B$4+IF(H131="Yes",0,Assumptions!$B$5)))*(1+(Assumptions!$B$7*(Assumptions!$B$8*N131*Assumptions!$B$9+Assumptions!$B$10)))-P131*(Assumptions!$B$12+Assumptions!$B$13+IF(P131&gt;=Assumptions!$B$16,Assumptions!$B$17,IF(P131&gt;=Assumptions!$B$14,Assumptions!$B$15,0))))/((1+IF(H131="Yes",Assumptions!$B$6,0))*(1+(Assumptions!$B$7*(Assumptions!$B$8*N131*Assumptions!$B$9+Assumptions!$B$10)))+Assumptions!$B$11*N131))</f>
        <v>698079.061071486</v>
      </c>
      <c r="AB131" s="50" t="n">
        <f aca="false">IF(AA131&lt;=0,"no price works",D131/AA131)</f>
        <v>3.36638087438545</v>
      </c>
      <c r="AC131" s="46" t="n">
        <f aca="false">(INDEX(Assumptions!$B$36:$B$48,MATCH(AK131,Assumptions!$A$36:$A$48,0))+IF(I131="Yes",Assumptions!$B$23,0)+IF(J131="Yes",Assumptions!$B$24,0))*(1+Assumptions!$B$28)</f>
        <v>1300</v>
      </c>
      <c r="AD131" s="47" t="n">
        <f aca="false">(L131)*AC131-(((D131)+(L131)*Assumptions!$B$4+IF(H131="Yes",Assumptions!$B$6*(D131),(L131)*Assumptions!$B$5))*(1+Assumptions!$B$7*(Assumptions!$B$8*(N131)*Assumptions!$B$9+Assumptions!$B$10))+(D131)*Assumptions!$B$11*(N131)+(L131)*AC131*(Assumptions!$B$12+Assumptions!$B$13+IF((L131)*AC131&gt;=Assumptions!$B$16,Assumptions!$B$17,IF((L131)*AC131&gt;=Assumptions!$B$14,Assumptions!$B$15,0))))</f>
        <v>-1760091.75</v>
      </c>
      <c r="AE131" s="46" t="n">
        <f aca="false">(INDEX(Assumptions!$B$36:$B$48,MATCH(AK131,Assumptions!$A$36:$A$48,0))+IF(I131="Yes",Assumptions!$B$23,0)+IF(J131="Yes",Assumptions!$B$24,0))*(1+Assumptions!$B$29)</f>
        <v>1430</v>
      </c>
      <c r="AF131" s="47" t="n">
        <f aca="false">(L131)*AE131-(((D131)+(L131)*Assumptions!$B$4+IF(H131="Yes",Assumptions!$B$6*(D131),(L131)*Assumptions!$B$5))*(1+Assumptions!$B$7*(Assumptions!$B$8*(N131)*Assumptions!$B$9+Assumptions!$B$10))+(D131)*Assumptions!$B$11*(N131)+(L131)*AE131*(Assumptions!$B$12+Assumptions!$B$13+IF((L131)*AE131&gt;=Assumptions!$B$16,Assumptions!$B$17,IF((L131)*AE131&gt;=Assumptions!$B$14,Assumptions!$B$15,0))))</f>
        <v>-1435814.55</v>
      </c>
      <c r="AG131" s="46" t="n">
        <f aca="false">(INDEX(Assumptions!$B$36:$B$48,MATCH(AK131,Assumptions!$A$36:$A$48,0))+IF(I131="Yes",Assumptions!$B$23,0)+IF(J131="Yes",Assumptions!$B$24,0))*(1+Assumptions!$B$30)</f>
        <v>1560</v>
      </c>
      <c r="AH131" s="47" t="n">
        <f aca="false">(L131)*AG131-(((D131)+(L131)*Assumptions!$B$4+IF(H131="Yes",Assumptions!$B$6*(D131),(L131)*Assumptions!$B$5))*(1+Assumptions!$B$7*(Assumptions!$B$8*(N131)*Assumptions!$B$9+Assumptions!$B$10))+(D131)*Assumptions!$B$11*(N131)+(L131)*AG131*(Assumptions!$B$12+Assumptions!$B$13+IF((L131)*AG131&gt;=Assumptions!$B$16,Assumptions!$B$17,IF((L131)*AG131&gt;=Assumptions!$B$14,Assumptions!$B$15,0))))</f>
        <v>-1111537.35</v>
      </c>
      <c r="AI131" s="47" t="n">
        <f aca="false">(L131)*AE131-(((D131)+(L131)*Assumptions!$B$25+IF(H131="Yes",Assumptions!$B$6*(D131),(L131)*Assumptions!$B$5))*(1+Assumptions!$B$7*(Assumptions!$B$8*(N131)*Assumptions!$B$9+Assumptions!$B$10))+(D131)*Assumptions!$B$11*(N131)+(L131)*AE131*(Assumptions!$B$12+Assumptions!$B$13+IF((L131)*AE131&gt;=Assumptions!$B$16,Assumptions!$B$17,IF((L131)*AE131&gt;=Assumptions!$B$14,Assumptions!$B$15,0))))</f>
        <v>-1289337.05</v>
      </c>
      <c r="AJ131" s="47" t="n">
        <f aca="false">(L131)*AE131-(((D131)+(L131)*Assumptions!$B$26+IF(H131="Yes",Assumptions!$B$6*(D131),(L131)*Assumptions!$B$5))*(1+Assumptions!$B$7*(Assumptions!$B$8*(N131)*Assumptions!$B$9+Assumptions!$B$10))+(D131)*Assumptions!$B$11*(N131)+(L131)*AE131*(Assumptions!$B$12+Assumptions!$B$13+IF((L131)*AE131&gt;=Assumptions!$B$16,Assumptions!$B$17,IF((L131)*AE131&gt;=Assumptions!$B$14,Assumptions!$B$15,0))))</f>
        <v>-1142859.55</v>
      </c>
      <c r="AK131" s="40" t="s">
        <v>128</v>
      </c>
      <c r="AL131" s="45" t="n">
        <f aca="false">IF(G131&gt;0,G131,ROUND(F131*Assumptions!$B$18,0))</f>
        <v>2224</v>
      </c>
      <c r="AM131" s="45" t="n">
        <f aca="false">IF(H131="Yes",AL131,MAX(AL131,MIN(Assumptions!$B$20,ROUND(E131*Assumptions!$B$19,0))))</f>
        <v>2600</v>
      </c>
      <c r="AN131" s="47" t="n">
        <f aca="false">(AL131)*AE131-(((D131)+(AL131)*Assumptions!$B$4+IF(H131="Yes",Assumptions!$B$6*(D131),(AL131)*Assumptions!$B$5))*(1+Assumptions!$B$7*(Assumptions!$B$8*(Assumptions!$B$21)*Assumptions!$B$9+Assumptions!$B$10))+(D131)*Assumptions!$B$11*(Assumptions!$B$21)+(AL131)*AE131*(Assumptions!$B$12+Assumptions!$B$13+IF((AL131)*AE131&gt;=Assumptions!$B$16,Assumptions!$B$17,IF((AL131)*AE131&gt;=Assumptions!$B$14,Assumptions!$B$15,0))))</f>
        <v>-1436259.392</v>
      </c>
      <c r="AO131" s="47" t="n">
        <f aca="false">(AM131)*AE131-(((D131)+(AM131)*Assumptions!$B$4+IF(H131="Yes",Assumptions!$B$6*(D131),(AM131)*Assumptions!$B$5))*(1+Assumptions!$B$7*(Assumptions!$B$8*(IF(AM131&gt;AL131,Assumptions!$B$22,Assumptions!$B$21))*Assumptions!$B$9+Assumptions!$B$10))+(D131)*Assumptions!$B$11*(IF(AM131&gt;AL131,Assumptions!$B$22,Assumptions!$B$21))+(AM131)*AE131*(Assumptions!$B$12+Assumptions!$B$13+IF((AM131)*AE131&gt;=Assumptions!$B$16,Assumptions!$B$17,IF((AM131)*AE131&gt;=Assumptions!$B$14,Assumptions!$B$15,0))))</f>
        <v>-1435814.55</v>
      </c>
      <c r="AP131" s="47" t="n">
        <f aca="false">Assumptions!$B$7*(Q131+R131+S131)</f>
        <v>2837250</v>
      </c>
    </row>
    <row r="132" customFormat="false" ht="23.85" hidden="false" customHeight="false" outlineLevel="0" collapsed="false">
      <c r="A132" s="40" t="n">
        <v>130</v>
      </c>
      <c r="B132" s="40" t="s">
        <v>288</v>
      </c>
      <c r="C132" s="40" t="s">
        <v>75</v>
      </c>
      <c r="D132" s="41" t="n">
        <v>8288000</v>
      </c>
      <c r="E132" s="42" t="n">
        <v>12581</v>
      </c>
      <c r="F132" s="42" t="n">
        <v>3085</v>
      </c>
      <c r="G132" s="42"/>
      <c r="H132" s="43" t="s">
        <v>71</v>
      </c>
      <c r="I132" s="43" t="s">
        <v>80</v>
      </c>
      <c r="J132" s="43" t="s">
        <v>71</v>
      </c>
      <c r="K132" s="44" t="s">
        <v>282</v>
      </c>
      <c r="L132" s="45" t="n">
        <f aca="false">IF(AO132&gt;AN132,AM132,AL132)</f>
        <v>5032</v>
      </c>
      <c r="M132" s="40" t="str">
        <f aca="false">IF(AO132&gt;AN132,"Zoning estimate",IF(H132="Yes","Approved plans",IF(G132&gt;0,"Listing claim","110% old house")))</f>
        <v>Zoning estimate</v>
      </c>
      <c r="N132" s="45" t="n">
        <f aca="false">IF(AO132&gt;AN132,IF(AM132&gt;AL132,Assumptions!$B$22,Assumptions!$B$21),Assumptions!$B$21)</f>
        <v>3</v>
      </c>
      <c r="O132" s="46" t="n">
        <f aca="false">(INDEX(Assumptions!$B$36:$B$48,MATCH(AK132,Assumptions!$A$36:$A$48,0))+IF(I132="Yes",Assumptions!$B$23,0)+IF(J132="Yes",Assumptions!$B$24,0))*(1+IF(UPPER(Assumptions!$B$31)="WORST",Assumptions!$B$28,IF(UPPER(Assumptions!$B$31)="BEST",Assumptions!$B$30,Assumptions!$B$29)))</f>
        <v>1650</v>
      </c>
      <c r="P132" s="47" t="n">
        <f aca="false">L132*O132</f>
        <v>8302800</v>
      </c>
      <c r="Q132" s="47" t="n">
        <f aca="false">D132</f>
        <v>8288000</v>
      </c>
      <c r="R132" s="47" t="n">
        <f aca="false">L132*Assumptions!$B$4</f>
        <v>3522400</v>
      </c>
      <c r="S132" s="47" t="n">
        <f aca="false">IF(H132="Yes",Assumptions!$B$6*(D132),(L132)*Assumptions!$B$5)</f>
        <v>377400</v>
      </c>
      <c r="T132" s="47" t="n">
        <f aca="false">AP132*(Assumptions!$B$8*N132*Assumptions!$B$9+Assumptions!$B$10)</f>
        <v>1544803.65</v>
      </c>
      <c r="U132" s="47" t="n">
        <f aca="false">Q132*Assumptions!$B$11*N132</f>
        <v>298368</v>
      </c>
      <c r="V132" s="47" t="n">
        <f aca="false">P132*(Assumptions!$B$12+Assumptions!$B$13)</f>
        <v>337093.68</v>
      </c>
      <c r="W132" s="47" t="n">
        <f aca="false">P132*IF(P132&gt;=Assumptions!$B$16,Assumptions!$B$17,IF(P132&gt;=Assumptions!$B$14,Assumptions!$B$15,0))</f>
        <v>332112</v>
      </c>
      <c r="X132" s="48" t="n">
        <f aca="false">SUM(Q132:W132)</f>
        <v>14700177.33</v>
      </c>
      <c r="Y132" s="48" t="n">
        <f aca="false">P132-X132</f>
        <v>-6397377.33</v>
      </c>
      <c r="Z132" s="49" t="n">
        <f aca="false">IF(X132=0,0,Y132/X132)</f>
        <v>-0.435190486916391</v>
      </c>
      <c r="AA132" s="47" t="n">
        <f aca="false">MAX(0,(P132/(1+Assumptions!$B$27)-(L132*(Assumptions!$B$4+IF(H132="Yes",0,Assumptions!$B$5)))*(1+(Assumptions!$B$7*(Assumptions!$B$8*N132*Assumptions!$B$9+Assumptions!$B$10)))-P132*(Assumptions!$B$12+Assumptions!$B$13+IF(P132&gt;=Assumptions!$B$16,Assumptions!$B$17,IF(P132&gt;=Assumptions!$B$14,Assumptions!$B$15,0))))/((1+IF(H132="Yes",Assumptions!$B$6,0))*(1+(Assumptions!$B$7*(Assumptions!$B$8*N132*Assumptions!$B$9+Assumptions!$B$10)))+Assumptions!$B$11*N132))</f>
        <v>1854672.76452937</v>
      </c>
      <c r="AB132" s="50" t="n">
        <f aca="false">IF(AA132&lt;=0,"no price works",D132/AA132)</f>
        <v>4.46871284169804</v>
      </c>
      <c r="AC132" s="46" t="n">
        <f aca="false">(INDEX(Assumptions!$B$36:$B$48,MATCH(AK132,Assumptions!$A$36:$A$48,0))+IF(I132="Yes",Assumptions!$B$23,0)+IF(J132="Yes",Assumptions!$B$24,0))*(1+Assumptions!$B$28)</f>
        <v>1500</v>
      </c>
      <c r="AD132" s="47" t="n">
        <f aca="false">(L132)*AC132-(((D132)+(L132)*Assumptions!$B$4+IF(H132="Yes",Assumptions!$B$6*(D132),(L132)*Assumptions!$B$5))*(1+Assumptions!$B$7*(Assumptions!$B$8*(N132)*Assumptions!$B$9+Assumptions!$B$10))+(D132)*Assumptions!$B$11*(N132)+(L132)*AC132*(Assumptions!$B$12+Assumptions!$B$13+IF((L132)*AC132&gt;=Assumptions!$B$16,Assumptions!$B$17,IF((L132)*AC132&gt;=Assumptions!$B$14,Assumptions!$B$15,0))))</f>
        <v>-7091340.45</v>
      </c>
      <c r="AE132" s="46" t="n">
        <f aca="false">(INDEX(Assumptions!$B$36:$B$48,MATCH(AK132,Assumptions!$A$36:$A$48,0))+IF(I132="Yes",Assumptions!$B$23,0)+IF(J132="Yes",Assumptions!$B$24,0))*(1+Assumptions!$B$29)</f>
        <v>1650</v>
      </c>
      <c r="AF132" s="47" t="n">
        <f aca="false">(L132)*AE132-(((D132)+(L132)*Assumptions!$B$4+IF(H132="Yes",Assumptions!$B$6*(D132),(L132)*Assumptions!$B$5))*(1+Assumptions!$B$7*(Assumptions!$B$8*(N132)*Assumptions!$B$9+Assumptions!$B$10))+(D132)*Assumptions!$B$11*(N132)+(L132)*AE132*(Assumptions!$B$12+Assumptions!$B$13+IF((L132)*AE132&gt;=Assumptions!$B$16,Assumptions!$B$17,IF((L132)*AE132&gt;=Assumptions!$B$14,Assumptions!$B$15,0))))</f>
        <v>-6397377.33</v>
      </c>
      <c r="AG132" s="46" t="n">
        <f aca="false">(INDEX(Assumptions!$B$36:$B$48,MATCH(AK132,Assumptions!$A$36:$A$48,0))+IF(I132="Yes",Assumptions!$B$23,0)+IF(J132="Yes",Assumptions!$B$24,0))*(1+Assumptions!$B$30)</f>
        <v>1800</v>
      </c>
      <c r="AH132" s="47" t="n">
        <f aca="false">(L132)*AG132-(((D132)+(L132)*Assumptions!$B$4+IF(H132="Yes",Assumptions!$B$6*(D132),(L132)*Assumptions!$B$5))*(1+Assumptions!$B$7*(Assumptions!$B$8*(N132)*Assumptions!$B$9+Assumptions!$B$10))+(D132)*Assumptions!$B$11*(N132)+(L132)*AG132*(Assumptions!$B$12+Assumptions!$B$13+IF((L132)*AG132&gt;=Assumptions!$B$16,Assumptions!$B$17,IF((L132)*AG132&gt;=Assumptions!$B$14,Assumptions!$B$15,0))))</f>
        <v>-5703414.21</v>
      </c>
      <c r="AI132" s="47" t="n">
        <f aca="false">(L132)*AE132-(((D132)+(L132)*Assumptions!$B$25+IF(H132="Yes",Assumptions!$B$6*(D132),(L132)*Assumptions!$B$5))*(1+Assumptions!$B$7*(Assumptions!$B$8*(N132)*Assumptions!$B$9+Assumptions!$B$10))+(D132)*Assumptions!$B$11*(N132)+(L132)*AE132*(Assumptions!$B$12+Assumptions!$B$13+IF((L132)*AE132&gt;=Assumptions!$B$16,Assumptions!$B$17,IF((L132)*AE132&gt;=Assumptions!$B$14,Assumptions!$B$15,0))))</f>
        <v>-6113887.03</v>
      </c>
      <c r="AJ132" s="47" t="n">
        <f aca="false">(L132)*AE132-(((D132)+(L132)*Assumptions!$B$26+IF(H132="Yes",Assumptions!$B$6*(D132),(L132)*Assumptions!$B$5))*(1+Assumptions!$B$7*(Assumptions!$B$8*(N132)*Assumptions!$B$9+Assumptions!$B$10))+(D132)*Assumptions!$B$11*(N132)+(L132)*AE132*(Assumptions!$B$12+Assumptions!$B$13+IF((L132)*AE132&gt;=Assumptions!$B$16,Assumptions!$B$17,IF((L132)*AE132&gt;=Assumptions!$B$14,Assumptions!$B$15,0))))</f>
        <v>-5830396.73</v>
      </c>
      <c r="AK132" s="40" t="s">
        <v>77</v>
      </c>
      <c r="AL132" s="45" t="n">
        <f aca="false">IF(G132&gt;0,G132,ROUND(F132*Assumptions!$B$18,0))</f>
        <v>3394</v>
      </c>
      <c r="AM132" s="45" t="n">
        <f aca="false">IF(H132="Yes",AL132,MAX(AL132,MIN(Assumptions!$B$20,ROUND(E132*Assumptions!$B$19,0))))</f>
        <v>5032</v>
      </c>
      <c r="AN132" s="47" t="n">
        <f aca="false">(AL132)*AE132-(((D132)+(AL132)*Assumptions!$B$4+IF(H132="Yes",Assumptions!$B$6*(D132),(AL132)*Assumptions!$B$5))*(1+Assumptions!$B$7*(Assumptions!$B$8*(Assumptions!$B$21)*Assumptions!$B$9+Assumptions!$B$10))+(D132)*Assumptions!$B$11*(Assumptions!$B$21)+(AL132)*AE132*(Assumptions!$B$12+Assumptions!$B$13+IF((AL132)*AE132&gt;=Assumptions!$B$16,Assumptions!$B$17,IF((AL132)*AE132&gt;=Assumptions!$B$14,Assumptions!$B$15,0))))</f>
        <v>-6926615.2725</v>
      </c>
      <c r="AO132" s="47" t="n">
        <f aca="false">(AM132)*AE132-(((D132)+(AM132)*Assumptions!$B$4+IF(H132="Yes",Assumptions!$B$6*(D132),(AM132)*Assumptions!$B$5))*(1+Assumptions!$B$7*(Assumptions!$B$8*(IF(AM132&gt;AL132,Assumptions!$B$22,Assumptions!$B$21))*Assumptions!$B$9+Assumptions!$B$10))+(D132)*Assumptions!$B$11*(IF(AM132&gt;AL132,Assumptions!$B$22,Assumptions!$B$21))+(AM132)*AE132*(Assumptions!$B$12+Assumptions!$B$13+IF((AM132)*AE132&gt;=Assumptions!$B$16,Assumptions!$B$17,IF((AM132)*AE132&gt;=Assumptions!$B$14,Assumptions!$B$15,0))))</f>
        <v>-6397377.33</v>
      </c>
      <c r="AP132" s="47" t="n">
        <f aca="false">Assumptions!$B$7*(Q132+R132+S132)</f>
        <v>7922070</v>
      </c>
    </row>
    <row r="133" customFormat="false" ht="35.05" hidden="false" customHeight="false" outlineLevel="0" collapsed="false">
      <c r="A133" s="40" t="n">
        <v>131</v>
      </c>
      <c r="B133" s="40" t="s">
        <v>289</v>
      </c>
      <c r="C133" s="40" t="s">
        <v>266</v>
      </c>
      <c r="D133" s="41" t="n">
        <v>2495000</v>
      </c>
      <c r="E133" s="42" t="n">
        <v>13538</v>
      </c>
      <c r="F133" s="42" t="n">
        <v>3850</v>
      </c>
      <c r="G133" s="42" t="n">
        <v>4991</v>
      </c>
      <c r="H133" s="43" t="s">
        <v>80</v>
      </c>
      <c r="I133" s="43" t="s">
        <v>80</v>
      </c>
      <c r="J133" s="43" t="s">
        <v>71</v>
      </c>
      <c r="K133" s="44" t="s">
        <v>290</v>
      </c>
      <c r="L133" s="45" t="n">
        <f aca="false">IF(AO133&gt;AN133,AM133,AL133)</f>
        <v>4991</v>
      </c>
      <c r="M133" s="40" t="str">
        <f aca="false">IF(AO133&gt;AN133,"Zoning estimate",IF(H133="Yes","Approved plans",IF(G133&gt;0,"Listing claim","110% old house")))</f>
        <v>Approved plans</v>
      </c>
      <c r="N133" s="45" t="n">
        <f aca="false">IF(AO133&gt;AN133,IF(AM133&gt;AL133,Assumptions!$B$22,Assumptions!$B$21),Assumptions!$B$21)</f>
        <v>2</v>
      </c>
      <c r="O133" s="46" t="n">
        <f aca="false">(INDEX(Assumptions!$B$36:$B$48,MATCH(AK133,Assumptions!$A$36:$A$48,0))+IF(I133="Yes",Assumptions!$B$23,0)+IF(J133="Yes",Assumptions!$B$24,0))*(1+IF(UPPER(Assumptions!$B$31)="WORST",Assumptions!$B$28,IF(UPPER(Assumptions!$B$31)="BEST",Assumptions!$B$30,Assumptions!$B$29)))</f>
        <v>1100</v>
      </c>
      <c r="P133" s="47" t="n">
        <f aca="false">L133*O133</f>
        <v>5490100</v>
      </c>
      <c r="Q133" s="47" t="n">
        <f aca="false">D133</f>
        <v>2495000</v>
      </c>
      <c r="R133" s="47" t="n">
        <f aca="false">L133*Assumptions!$B$4</f>
        <v>3493700</v>
      </c>
      <c r="S133" s="47" t="n">
        <f aca="false">IF(H133="Yes",Assumptions!$B$6*(D133),(L133)*Assumptions!$B$5)</f>
        <v>124750</v>
      </c>
      <c r="T133" s="47" t="n">
        <f aca="false">AP133*(Assumptions!$B$8*N133*Assumptions!$B$9+Assumptions!$B$10)</f>
        <v>536455.2375</v>
      </c>
      <c r="U133" s="47" t="n">
        <f aca="false">Q133*Assumptions!$B$11*N133</f>
        <v>59880</v>
      </c>
      <c r="V133" s="47" t="n">
        <f aca="false">P133*(Assumptions!$B$12+Assumptions!$B$13)</f>
        <v>222898.06</v>
      </c>
      <c r="W133" s="47" t="n">
        <f aca="false">P133*IF(P133&gt;=Assumptions!$B$16,Assumptions!$B$17,IF(P133&gt;=Assumptions!$B$14,Assumptions!$B$15,0))</f>
        <v>219604</v>
      </c>
      <c r="X133" s="48" t="n">
        <f aca="false">SUM(Q133:W133)</f>
        <v>7152287.2975</v>
      </c>
      <c r="Y133" s="48" t="n">
        <f aca="false">P133-X133</f>
        <v>-1662187.2975</v>
      </c>
      <c r="Z133" s="49" t="n">
        <f aca="false">IF(X133=0,0,Y133/X133)</f>
        <v>-0.232399402926809</v>
      </c>
      <c r="AA133" s="47" t="n">
        <f aca="false">MAX(0,(P133/(1+Assumptions!$B$27)-(L133*(Assumptions!$B$4+IF(H133="Yes",0,Assumptions!$B$5)))*(1+(Assumptions!$B$7*(Assumptions!$B$8*N133*Assumptions!$B$9+Assumptions!$B$10)))-P133*(Assumptions!$B$12+Assumptions!$B$13+IF(P133&gt;=Assumptions!$B$16,Assumptions!$B$17,IF(P133&gt;=Assumptions!$B$14,Assumptions!$B$15,0))))/((1+IF(H133="Yes",Assumptions!$B$6,0))*(1+(Assumptions!$B$7*(Assumptions!$B$8*N133*Assumptions!$B$9+Assumptions!$B$10)))+Assumptions!$B$11*N133))</f>
        <v>455542.991285333</v>
      </c>
      <c r="AB133" s="50" t="n">
        <f aca="false">IF(AA133&lt;=0,"no price works",D133/AA133)</f>
        <v>5.47698032398711</v>
      </c>
      <c r="AC133" s="46" t="n">
        <f aca="false">(INDEX(Assumptions!$B$36:$B$48,MATCH(AK133,Assumptions!$A$36:$A$48,0))+IF(I133="Yes",Assumptions!$B$23,0)+IF(J133="Yes",Assumptions!$B$24,0))*(1+Assumptions!$B$28)</f>
        <v>1000</v>
      </c>
      <c r="AD133" s="47" t="n">
        <f aca="false">(L133)*AC133-(((D133)+(L133)*Assumptions!$B$4+IF(H133="Yes",Assumptions!$B$6*(D133),(L133)*Assumptions!$B$5))*(1+Assumptions!$B$7*(Assumptions!$B$8*(N133)*Assumptions!$B$9+Assumptions!$B$10))+(D133)*Assumptions!$B$11*(N133)+(L133)*AC133*(Assumptions!$B$12+Assumptions!$B$13+IF((L133)*AC133&gt;=Assumptions!$B$16,Assumptions!$B$17,IF((L133)*AC133&gt;=Assumptions!$B$14,Assumptions!$B$15,0))))</f>
        <v>-1921419.8375</v>
      </c>
      <c r="AE133" s="46" t="n">
        <f aca="false">(INDEX(Assumptions!$B$36:$B$48,MATCH(AK133,Assumptions!$A$36:$A$48,0))+IF(I133="Yes",Assumptions!$B$23,0)+IF(J133="Yes",Assumptions!$B$24,0))*(1+Assumptions!$B$29)</f>
        <v>1100</v>
      </c>
      <c r="AF133" s="47" t="n">
        <f aca="false">(L133)*AE133-(((D133)+(L133)*Assumptions!$B$4+IF(H133="Yes",Assumptions!$B$6*(D133),(L133)*Assumptions!$B$5))*(1+Assumptions!$B$7*(Assumptions!$B$8*(N133)*Assumptions!$B$9+Assumptions!$B$10))+(D133)*Assumptions!$B$11*(N133)+(L133)*AE133*(Assumptions!$B$12+Assumptions!$B$13+IF((L133)*AE133&gt;=Assumptions!$B$16,Assumptions!$B$17,IF((L133)*AE133&gt;=Assumptions!$B$14,Assumptions!$B$15,0))))</f>
        <v>-1662187.2975</v>
      </c>
      <c r="AG133" s="46" t="n">
        <f aca="false">(INDEX(Assumptions!$B$36:$B$48,MATCH(AK133,Assumptions!$A$36:$A$48,0))+IF(I133="Yes",Assumptions!$B$23,0)+IF(J133="Yes",Assumptions!$B$24,0))*(1+Assumptions!$B$30)</f>
        <v>1200</v>
      </c>
      <c r="AH133" s="47" t="n">
        <f aca="false">(L133)*AG133-(((D133)+(L133)*Assumptions!$B$4+IF(H133="Yes",Assumptions!$B$6*(D133),(L133)*Assumptions!$B$5))*(1+Assumptions!$B$7*(Assumptions!$B$8*(N133)*Assumptions!$B$9+Assumptions!$B$10))+(D133)*Assumptions!$B$11*(N133)+(L133)*AG133*(Assumptions!$B$12+Assumptions!$B$13+IF((L133)*AG133&gt;=Assumptions!$B$16,Assumptions!$B$17,IF((L133)*AG133&gt;=Assumptions!$B$14,Assumptions!$B$15,0))))</f>
        <v>-1203314.7575</v>
      </c>
      <c r="AI133" s="47" t="n">
        <f aca="false">(L133)*AE133-(((D133)+(L133)*Assumptions!$B$25+IF(H133="Yes",Assumptions!$B$6*(D133),(L133)*Assumptions!$B$5))*(1+Assumptions!$B$7*(Assumptions!$B$8*(N133)*Assumptions!$B$9+Assumptions!$B$10))+(D133)*Assumptions!$B$11*(N133)+(L133)*AE133*(Assumptions!$B$12+Assumptions!$B$13+IF((L133)*AE133&gt;=Assumptions!$B$16,Assumptions!$B$17,IF((L133)*AE133&gt;=Assumptions!$B$14,Assumptions!$B$15,0))))</f>
        <v>-1390739.285</v>
      </c>
      <c r="AJ133" s="47" t="n">
        <f aca="false">(L133)*AE133-(((D133)+(L133)*Assumptions!$B$26+IF(H133="Yes",Assumptions!$B$6*(D133),(L133)*Assumptions!$B$5))*(1+Assumptions!$B$7*(Assumptions!$B$8*(N133)*Assumptions!$B$9+Assumptions!$B$10))+(D133)*Assumptions!$B$11*(N133)+(L133)*AE133*(Assumptions!$B$12+Assumptions!$B$13+IF((L133)*AE133&gt;=Assumptions!$B$16,Assumptions!$B$17,IF((L133)*AE133&gt;=Assumptions!$B$14,Assumptions!$B$15,0))))</f>
        <v>-1119291.2725</v>
      </c>
      <c r="AK133" s="40" t="s">
        <v>267</v>
      </c>
      <c r="AL133" s="45" t="n">
        <f aca="false">IF(G133&gt;0,G133,ROUND(F133*Assumptions!$B$18,0))</f>
        <v>4991</v>
      </c>
      <c r="AM133" s="45" t="n">
        <f aca="false">IF(H133="Yes",AL133,MAX(AL133,MIN(Assumptions!$B$20,ROUND(E133*Assumptions!$B$19,0))))</f>
        <v>4991</v>
      </c>
      <c r="AN133" s="47" t="n">
        <f aca="false">(AL133)*AE133-(((D133)+(AL133)*Assumptions!$B$4+IF(H133="Yes",Assumptions!$B$6*(D133),(AL133)*Assumptions!$B$5))*(1+Assumptions!$B$7*(Assumptions!$B$8*(Assumptions!$B$21)*Assumptions!$B$9+Assumptions!$B$10))+(D133)*Assumptions!$B$11*(Assumptions!$B$21)+(AL133)*AE133*(Assumptions!$B$12+Assumptions!$B$13+IF((AL133)*AE133&gt;=Assumptions!$B$16,Assumptions!$B$17,IF((AL133)*AE133&gt;=Assumptions!$B$14,Assumptions!$B$15,0))))</f>
        <v>-1662187.2975</v>
      </c>
      <c r="AO133" s="47" t="n">
        <f aca="false">(AM133)*AE133-(((D133)+(AM133)*Assumptions!$B$4+IF(H133="Yes",Assumptions!$B$6*(D133),(AM133)*Assumptions!$B$5))*(1+Assumptions!$B$7*(Assumptions!$B$8*(IF(AM133&gt;AL133,Assumptions!$B$22,Assumptions!$B$21))*Assumptions!$B$9+Assumptions!$B$10))+(D133)*Assumptions!$B$11*(IF(AM133&gt;AL133,Assumptions!$B$22,Assumptions!$B$21))+(AM133)*AE133*(Assumptions!$B$12+Assumptions!$B$13+IF((AM133)*AE133&gt;=Assumptions!$B$16,Assumptions!$B$17,IF((AM133)*AE133&gt;=Assumptions!$B$14,Assumptions!$B$15,0))))</f>
        <v>-1662187.2975</v>
      </c>
      <c r="AP133" s="47" t="n">
        <f aca="false">Assumptions!$B$7*(Q133+R133+S133)</f>
        <v>3973742.5</v>
      </c>
    </row>
    <row r="134" customFormat="false" ht="35.05" hidden="false" customHeight="false" outlineLevel="0" collapsed="false">
      <c r="A134" s="40" t="n">
        <v>132</v>
      </c>
      <c r="B134" s="40" t="s">
        <v>291</v>
      </c>
      <c r="C134" s="40" t="s">
        <v>202</v>
      </c>
      <c r="D134" s="41" t="n">
        <v>999000</v>
      </c>
      <c r="E134" s="42" t="n">
        <v>3717</v>
      </c>
      <c r="F134" s="42" t="n">
        <v>0</v>
      </c>
      <c r="G134" s="42"/>
      <c r="H134" s="43" t="s">
        <v>71</v>
      </c>
      <c r="I134" s="43" t="s">
        <v>80</v>
      </c>
      <c r="J134" s="43" t="s">
        <v>71</v>
      </c>
      <c r="K134" s="44" t="s">
        <v>292</v>
      </c>
      <c r="L134" s="45" t="n">
        <f aca="false">IF(AO134&gt;AN134,AM134,AL134)</f>
        <v>1487</v>
      </c>
      <c r="M134" s="40" t="str">
        <f aca="false">IF(AO134&gt;AN134,"Zoning estimate",IF(H134="Yes","Approved plans",IF(G134&gt;0,"Listing claim","110% old house")))</f>
        <v>Zoning estimate</v>
      </c>
      <c r="N134" s="45" t="n">
        <f aca="false">IF(AO134&gt;AN134,IF(AM134&gt;AL134,Assumptions!$B$22,Assumptions!$B$21),Assumptions!$B$21)</f>
        <v>3</v>
      </c>
      <c r="O134" s="46" t="n">
        <f aca="false">(INDEX(Assumptions!$B$36:$B$48,MATCH(AK134,Assumptions!$A$36:$A$48,0))+IF(I134="Yes",Assumptions!$B$23,0)+IF(J134="Yes",Assumptions!$B$24,0))*(1+IF(UPPER(Assumptions!$B$31)="WORST",Assumptions!$B$28,IF(UPPER(Assumptions!$B$31)="BEST",Assumptions!$B$30,Assumptions!$B$29)))</f>
        <v>1430</v>
      </c>
      <c r="P134" s="47" t="n">
        <f aca="false">L134*O134</f>
        <v>2126410</v>
      </c>
      <c r="Q134" s="47" t="n">
        <f aca="false">D134</f>
        <v>999000</v>
      </c>
      <c r="R134" s="47" t="n">
        <f aca="false">L134*Assumptions!$B$4</f>
        <v>1040900</v>
      </c>
      <c r="S134" s="47" t="n">
        <f aca="false">IF(H134="Yes",Assumptions!$B$6*(D134),(L134)*Assumptions!$B$5)</f>
        <v>111525</v>
      </c>
      <c r="T134" s="47" t="n">
        <f aca="false">AP134*(Assumptions!$B$8*N134*Assumptions!$B$9+Assumptions!$B$10)</f>
        <v>272693.11875</v>
      </c>
      <c r="U134" s="47" t="n">
        <f aca="false">Q134*Assumptions!$B$11*N134</f>
        <v>35964</v>
      </c>
      <c r="V134" s="47" t="n">
        <f aca="false">P134*(Assumptions!$B$12+Assumptions!$B$13)</f>
        <v>86332.246</v>
      </c>
      <c r="W134" s="47" t="n">
        <f aca="false">P134*IF(P134&gt;=Assumptions!$B$16,Assumptions!$B$17,IF(P134&gt;=Assumptions!$B$14,Assumptions!$B$15,0))</f>
        <v>0</v>
      </c>
      <c r="X134" s="48" t="n">
        <f aca="false">SUM(Q134:W134)</f>
        <v>2546414.36475</v>
      </c>
      <c r="Y134" s="48" t="n">
        <f aca="false">P134-X134</f>
        <v>-420004.364749999</v>
      </c>
      <c r="Z134" s="49" t="n">
        <f aca="false">IF(X134=0,0,Y134/X134)</f>
        <v>-0.164939520670366</v>
      </c>
      <c r="AA134" s="47" t="n">
        <f aca="false">MAX(0,(P134/(1+Assumptions!$B$27)-(L134*(Assumptions!$B$4+IF(H134="Yes",0,Assumptions!$B$5)))*(1+(Assumptions!$B$7*(Assumptions!$B$8*N134*Assumptions!$B$9+Assumptions!$B$10)))-P134*(Assumptions!$B$12+Assumptions!$B$13+IF(P134&gt;=Assumptions!$B$16,Assumptions!$B$17,IF(P134&gt;=Assumptions!$B$14,Assumptions!$B$15,0))))/((1+IF(H134="Yes",Assumptions!$B$6,0))*(1+(Assumptions!$B$7*(Assumptions!$B$8*N134*Assumptions!$B$9+Assumptions!$B$10)))+Assumptions!$B$11*N134))</f>
        <v>399247.524543577</v>
      </c>
      <c r="AB134" s="50" t="n">
        <f aca="false">IF(AA134&lt;=0,"no price works",D134/AA134)</f>
        <v>2.50220712361853</v>
      </c>
      <c r="AC134" s="46" t="n">
        <f aca="false">(INDEX(Assumptions!$B$36:$B$48,MATCH(AK134,Assumptions!$A$36:$A$48,0))+IF(I134="Yes",Assumptions!$B$23,0)+IF(J134="Yes",Assumptions!$B$24,0))*(1+Assumptions!$B$28)</f>
        <v>1300</v>
      </c>
      <c r="AD134" s="47" t="n">
        <f aca="false">(L134)*AC134-(((D134)+(L134)*Assumptions!$B$4+IF(H134="Yes",Assumptions!$B$6*(D134),(L134)*Assumptions!$B$5))*(1+Assumptions!$B$7*(Assumptions!$B$8*(N134)*Assumptions!$B$9+Assumptions!$B$10))+(D134)*Assumptions!$B$11*(N134)+(L134)*AC134*(Assumptions!$B$12+Assumptions!$B$13+IF((L134)*AC134&gt;=Assumptions!$B$16,Assumptions!$B$17,IF((L134)*AC134&gt;=Assumptions!$B$14,Assumptions!$B$15,0))))</f>
        <v>-605465.97875</v>
      </c>
      <c r="AE134" s="46" t="n">
        <f aca="false">(INDEX(Assumptions!$B$36:$B$48,MATCH(AK134,Assumptions!$A$36:$A$48,0))+IF(I134="Yes",Assumptions!$B$23,0)+IF(J134="Yes",Assumptions!$B$24,0))*(1+Assumptions!$B$29)</f>
        <v>1430</v>
      </c>
      <c r="AF134" s="47" t="n">
        <f aca="false">(L134)*AE134-(((D134)+(L134)*Assumptions!$B$4+IF(H134="Yes",Assumptions!$B$6*(D134),(L134)*Assumptions!$B$5))*(1+Assumptions!$B$7*(Assumptions!$B$8*(N134)*Assumptions!$B$9+Assumptions!$B$10))+(D134)*Assumptions!$B$11*(N134)+(L134)*AE134*(Assumptions!$B$12+Assumptions!$B$13+IF((L134)*AE134&gt;=Assumptions!$B$16,Assumptions!$B$17,IF((L134)*AE134&gt;=Assumptions!$B$14,Assumptions!$B$15,0))))</f>
        <v>-420004.364749999</v>
      </c>
      <c r="AG134" s="46" t="n">
        <f aca="false">(INDEX(Assumptions!$B$36:$B$48,MATCH(AK134,Assumptions!$A$36:$A$48,0))+IF(I134="Yes",Assumptions!$B$23,0)+IF(J134="Yes",Assumptions!$B$24,0))*(1+Assumptions!$B$30)</f>
        <v>1560</v>
      </c>
      <c r="AH134" s="47" t="n">
        <f aca="false">(L134)*AG134-(((D134)+(L134)*Assumptions!$B$4+IF(H134="Yes",Assumptions!$B$6*(D134),(L134)*Assumptions!$B$5))*(1+Assumptions!$B$7*(Assumptions!$B$8*(N134)*Assumptions!$B$9+Assumptions!$B$10))+(D134)*Assumptions!$B$11*(N134)+(L134)*AG134*(Assumptions!$B$12+Assumptions!$B$13+IF((L134)*AG134&gt;=Assumptions!$B$16,Assumptions!$B$17,IF((L134)*AG134&gt;=Assumptions!$B$14,Assumptions!$B$15,0))))</f>
        <v>-234542.75075</v>
      </c>
      <c r="AI134" s="47" t="n">
        <f aca="false">(L134)*AE134-(((D134)+(L134)*Assumptions!$B$25+IF(H134="Yes",Assumptions!$B$6*(D134),(L134)*Assumptions!$B$5))*(1+Assumptions!$B$7*(Assumptions!$B$8*(N134)*Assumptions!$B$9+Assumptions!$B$10))+(D134)*Assumptions!$B$11*(N134)+(L134)*AE134*(Assumptions!$B$12+Assumptions!$B$13+IF((L134)*AE134&gt;=Assumptions!$B$16,Assumptions!$B$17,IF((L134)*AE134&gt;=Assumptions!$B$14,Assumptions!$B$15,0))))</f>
        <v>-336230.502249999</v>
      </c>
      <c r="AJ134" s="47" t="n">
        <f aca="false">(L134)*AE134-(((D134)+(L134)*Assumptions!$B$26+IF(H134="Yes",Assumptions!$B$6*(D134),(L134)*Assumptions!$B$5))*(1+Assumptions!$B$7*(Assumptions!$B$8*(N134)*Assumptions!$B$9+Assumptions!$B$10))+(D134)*Assumptions!$B$11*(N134)+(L134)*AE134*(Assumptions!$B$12+Assumptions!$B$13+IF((L134)*AE134&gt;=Assumptions!$B$16,Assumptions!$B$17,IF((L134)*AE134&gt;=Assumptions!$B$14,Assumptions!$B$15,0))))</f>
        <v>-252456.639749999</v>
      </c>
      <c r="AK134" s="40" t="s">
        <v>203</v>
      </c>
      <c r="AL134" s="45" t="n">
        <f aca="false">IF(G134&gt;0,G134,ROUND(F134*Assumptions!$B$18,0))</f>
        <v>0</v>
      </c>
      <c r="AM134" s="45" t="n">
        <f aca="false">IF(H134="Yes",AL134,MAX(AL134,MIN(Assumptions!$B$20,ROUND(E134*Assumptions!$B$19,0))))</f>
        <v>1487</v>
      </c>
      <c r="AN134" s="47" t="n">
        <f aca="false">(AL134)*AE134-(((D134)+(AL134)*Assumptions!$B$4+IF(H134="Yes",Assumptions!$B$6*(D134),(AL134)*Assumptions!$B$5))*(1+Assumptions!$B$7*(Assumptions!$B$8*(Assumptions!$B$21)*Assumptions!$B$9+Assumptions!$B$10))+(D134)*Assumptions!$B$11*(Assumptions!$B$21)+(AL134)*AE134*(Assumptions!$B$12+Assumptions!$B$13+IF((AL134)*AE134&gt;=Assumptions!$B$16,Assumptions!$B$17,IF((AL134)*AE134&gt;=Assumptions!$B$14,Assumptions!$B$15,0))))</f>
        <v>-1110638.25</v>
      </c>
      <c r="AO134" s="47" t="n">
        <f aca="false">(AM134)*AE134-(((D134)+(AM134)*Assumptions!$B$4+IF(H134="Yes",Assumptions!$B$6*(D134),(AM134)*Assumptions!$B$5))*(1+Assumptions!$B$7*(Assumptions!$B$8*(IF(AM134&gt;AL134,Assumptions!$B$22,Assumptions!$B$21))*Assumptions!$B$9+Assumptions!$B$10))+(D134)*Assumptions!$B$11*(IF(AM134&gt;AL134,Assumptions!$B$22,Assumptions!$B$21))+(AM134)*AE134*(Assumptions!$B$12+Assumptions!$B$13+IF((AM134)*AE134&gt;=Assumptions!$B$16,Assumptions!$B$17,IF((AM134)*AE134&gt;=Assumptions!$B$14,Assumptions!$B$15,0))))</f>
        <v>-420004.364749999</v>
      </c>
      <c r="AP134" s="47" t="n">
        <f aca="false">Assumptions!$B$7*(Q134+R134+S134)</f>
        <v>1398426.25</v>
      </c>
    </row>
    <row r="135" customFormat="false" ht="23.85" hidden="false" customHeight="false" outlineLevel="0" collapsed="false">
      <c r="A135" s="40" t="n">
        <v>133</v>
      </c>
      <c r="B135" s="40" t="s">
        <v>293</v>
      </c>
      <c r="C135" s="40" t="s">
        <v>75</v>
      </c>
      <c r="D135" s="41" t="n">
        <v>10995000</v>
      </c>
      <c r="E135" s="42" t="n">
        <v>26571</v>
      </c>
      <c r="F135" s="42" t="n">
        <v>2637</v>
      </c>
      <c r="G135" s="42"/>
      <c r="H135" s="43" t="s">
        <v>71</v>
      </c>
      <c r="I135" s="43" t="s">
        <v>71</v>
      </c>
      <c r="J135" s="43" t="s">
        <v>71</v>
      </c>
      <c r="K135" s="44" t="s">
        <v>282</v>
      </c>
      <c r="L135" s="45" t="n">
        <f aca="false">IF(AO135&gt;AN135,AM135,AL135)</f>
        <v>8000</v>
      </c>
      <c r="M135" s="40" t="str">
        <f aca="false">IF(AO135&gt;AN135,"Zoning estimate",IF(H135="Yes","Approved plans",IF(G135&gt;0,"Listing claim","110% old house")))</f>
        <v>Zoning estimate</v>
      </c>
      <c r="N135" s="45" t="n">
        <f aca="false">IF(AO135&gt;AN135,IF(AM135&gt;AL135,Assumptions!$B$22,Assumptions!$B$21),Assumptions!$B$21)</f>
        <v>3</v>
      </c>
      <c r="O135" s="46" t="n">
        <f aca="false">(INDEX(Assumptions!$B$36:$B$48,MATCH(AK135,Assumptions!$A$36:$A$48,0))+IF(I135="Yes",Assumptions!$B$23,0)+IF(J135="Yes",Assumptions!$B$24,0))*(1+IF(UPPER(Assumptions!$B$31)="WORST",Assumptions!$B$28,IF(UPPER(Assumptions!$B$31)="BEST",Assumptions!$B$30,Assumptions!$B$29)))</f>
        <v>1540</v>
      </c>
      <c r="P135" s="47" t="n">
        <f aca="false">L135*O135</f>
        <v>12320000</v>
      </c>
      <c r="Q135" s="47" t="n">
        <f aca="false">D135</f>
        <v>10995000</v>
      </c>
      <c r="R135" s="47" t="n">
        <f aca="false">L135*Assumptions!$B$4</f>
        <v>5600000</v>
      </c>
      <c r="S135" s="47" t="n">
        <f aca="false">IF(H135="Yes",Assumptions!$B$6*(D135),(L135)*Assumptions!$B$5)</f>
        <v>600000</v>
      </c>
      <c r="T135" s="47" t="n">
        <f aca="false">AP135*(Assumptions!$B$8*N135*Assumptions!$B$9+Assumptions!$B$10)</f>
        <v>2179466.25</v>
      </c>
      <c r="U135" s="47" t="n">
        <f aca="false">Q135*Assumptions!$B$11*N135</f>
        <v>395820</v>
      </c>
      <c r="V135" s="47" t="n">
        <f aca="false">P135*(Assumptions!$B$12+Assumptions!$B$13)</f>
        <v>500192</v>
      </c>
      <c r="W135" s="47" t="n">
        <f aca="false">P135*IF(P135&gt;=Assumptions!$B$16,Assumptions!$B$17,IF(P135&gt;=Assumptions!$B$14,Assumptions!$B$15,0))</f>
        <v>677600</v>
      </c>
      <c r="X135" s="48" t="n">
        <f aca="false">SUM(Q135:W135)</f>
        <v>20948078.25</v>
      </c>
      <c r="Y135" s="48" t="n">
        <f aca="false">P135-X135</f>
        <v>-8628078.25</v>
      </c>
      <c r="Z135" s="49" t="n">
        <f aca="false">IF(X135=0,0,Y135/X135)</f>
        <v>-0.411879225723247</v>
      </c>
      <c r="AA135" s="47" t="n">
        <f aca="false">MAX(0,(P135/(1+Assumptions!$B$27)-(L135*(Assumptions!$B$4+IF(H135="Yes",0,Assumptions!$B$5)))*(1+(Assumptions!$B$7*(Assumptions!$B$8*N135*Assumptions!$B$9+Assumptions!$B$10)))-P135*(Assumptions!$B$12+Assumptions!$B$13+IF(P135&gt;=Assumptions!$B$16,Assumptions!$B$17,IF(P135&gt;=Assumptions!$B$14,Assumptions!$B$15,0))))/((1+IF(H135="Yes",Assumptions!$B$6,0))*(1+(Assumptions!$B$7*(Assumptions!$B$8*N135*Assumptions!$B$9+Assumptions!$B$10)))+Assumptions!$B$11*N135))</f>
        <v>2192562.01097474</v>
      </c>
      <c r="AB135" s="50" t="n">
        <f aca="false">IF(AA135&lt;=0,"no price works",D135/AA135)</f>
        <v>5.01468142974529</v>
      </c>
      <c r="AC135" s="46" t="n">
        <f aca="false">(INDEX(Assumptions!$B$36:$B$48,MATCH(AK135,Assumptions!$A$36:$A$48,0))+IF(I135="Yes",Assumptions!$B$23,0)+IF(J135="Yes",Assumptions!$B$24,0))*(1+Assumptions!$B$28)</f>
        <v>1400</v>
      </c>
      <c r="AD135" s="47" t="n">
        <f aca="false">(L135)*AC135-(((D135)+(L135)*Assumptions!$B$4+IF(H135="Yes",Assumptions!$B$6*(D135),(L135)*Assumptions!$B$5))*(1+Assumptions!$B$7*(Assumptions!$B$8*(N135)*Assumptions!$B$9+Assumptions!$B$10))+(D135)*Assumptions!$B$11*(N135)+(L135)*AC135*(Assumptions!$B$12+Assumptions!$B$13+IF((L135)*AC135&gt;=Assumptions!$B$16,Assumptions!$B$17,IF((L135)*AC135&gt;=Assumptions!$B$14,Assumptions!$B$15,0))))</f>
        <v>-9641006.25</v>
      </c>
      <c r="AE135" s="46" t="n">
        <f aca="false">(INDEX(Assumptions!$B$36:$B$48,MATCH(AK135,Assumptions!$A$36:$A$48,0))+IF(I135="Yes",Assumptions!$B$23,0)+IF(J135="Yes",Assumptions!$B$24,0))*(1+Assumptions!$B$29)</f>
        <v>1540</v>
      </c>
      <c r="AF135" s="47" t="n">
        <f aca="false">(L135)*AE135-(((D135)+(L135)*Assumptions!$B$4+IF(H135="Yes",Assumptions!$B$6*(D135),(L135)*Assumptions!$B$5))*(1+Assumptions!$B$7*(Assumptions!$B$8*(N135)*Assumptions!$B$9+Assumptions!$B$10))+(D135)*Assumptions!$B$11*(N135)+(L135)*AE135*(Assumptions!$B$12+Assumptions!$B$13+IF((L135)*AE135&gt;=Assumptions!$B$16,Assumptions!$B$17,IF((L135)*AE135&gt;=Assumptions!$B$14,Assumptions!$B$15,0))))</f>
        <v>-8628078.25</v>
      </c>
      <c r="AG135" s="46" t="n">
        <f aca="false">(INDEX(Assumptions!$B$36:$B$48,MATCH(AK135,Assumptions!$A$36:$A$48,0))+IF(I135="Yes",Assumptions!$B$23,0)+IF(J135="Yes",Assumptions!$B$24,0))*(1+Assumptions!$B$30)</f>
        <v>1680</v>
      </c>
      <c r="AH135" s="47" t="n">
        <f aca="false">(L135)*AG135-(((D135)+(L135)*Assumptions!$B$4+IF(H135="Yes",Assumptions!$B$6*(D135),(L135)*Assumptions!$B$5))*(1+Assumptions!$B$7*(Assumptions!$B$8*(N135)*Assumptions!$B$9+Assumptions!$B$10))+(D135)*Assumptions!$B$11*(N135)+(L135)*AG135*(Assumptions!$B$12+Assumptions!$B$13+IF((L135)*AG135&gt;=Assumptions!$B$16,Assumptions!$B$17,IF((L135)*AG135&gt;=Assumptions!$B$14,Assumptions!$B$15,0))))</f>
        <v>-7615150.25</v>
      </c>
      <c r="AI135" s="47" t="n">
        <f aca="false">(L135)*AE135-(((D135)+(L135)*Assumptions!$B$25+IF(H135="Yes",Assumptions!$B$6*(D135),(L135)*Assumptions!$B$5))*(1+Assumptions!$B$7*(Assumptions!$B$8*(N135)*Assumptions!$B$9+Assumptions!$B$10))+(D135)*Assumptions!$B$11*(N135)+(L135)*AE135*(Assumptions!$B$12+Assumptions!$B$13+IF((L135)*AE135&gt;=Assumptions!$B$16,Assumptions!$B$17,IF((L135)*AE135&gt;=Assumptions!$B$14,Assumptions!$B$15,0))))</f>
        <v>-8177378.25</v>
      </c>
      <c r="AJ135" s="47" t="n">
        <f aca="false">(L135)*AE135-(((D135)+(L135)*Assumptions!$B$26+IF(H135="Yes",Assumptions!$B$6*(D135),(L135)*Assumptions!$B$5))*(1+Assumptions!$B$7*(Assumptions!$B$8*(N135)*Assumptions!$B$9+Assumptions!$B$10))+(D135)*Assumptions!$B$11*(N135)+(L135)*AE135*(Assumptions!$B$12+Assumptions!$B$13+IF((L135)*AE135&gt;=Assumptions!$B$16,Assumptions!$B$17,IF((L135)*AE135&gt;=Assumptions!$B$14,Assumptions!$B$15,0))))</f>
        <v>-7726678.25</v>
      </c>
      <c r="AK135" s="40" t="s">
        <v>77</v>
      </c>
      <c r="AL135" s="45" t="n">
        <f aca="false">IF(G135&gt;0,G135,ROUND(F135*Assumptions!$B$18,0))</f>
        <v>2901</v>
      </c>
      <c r="AM135" s="45" t="n">
        <f aca="false">IF(H135="Yes",AL135,MAX(AL135,MIN(Assumptions!$B$20,ROUND(E135*Assumptions!$B$19,0))))</f>
        <v>8000</v>
      </c>
      <c r="AN135" s="47" t="n">
        <f aca="false">(AL135)*AE135-(((D135)+(AL135)*Assumptions!$B$4+IF(H135="Yes",Assumptions!$B$6*(D135),(AL135)*Assumptions!$B$5))*(1+Assumptions!$B$7*(Assumptions!$B$8*(Assumptions!$B$21)*Assumptions!$B$9+Assumptions!$B$10))+(D135)*Assumptions!$B$11*(Assumptions!$B$21)+(AL135)*AE135*(Assumptions!$B$12+Assumptions!$B$13+IF((AL135)*AE135&gt;=Assumptions!$B$16,Assumptions!$B$17,IF((AL135)*AE135&gt;=Assumptions!$B$14,Assumptions!$B$15,0))))</f>
        <v>-10383094.50525</v>
      </c>
      <c r="AO135" s="47" t="n">
        <f aca="false">(AM135)*AE135-(((D135)+(AM135)*Assumptions!$B$4+IF(H135="Yes",Assumptions!$B$6*(D135),(AM135)*Assumptions!$B$5))*(1+Assumptions!$B$7*(Assumptions!$B$8*(IF(AM135&gt;AL135,Assumptions!$B$22,Assumptions!$B$21))*Assumptions!$B$9+Assumptions!$B$10))+(D135)*Assumptions!$B$11*(IF(AM135&gt;AL135,Assumptions!$B$22,Assumptions!$B$21))+(AM135)*AE135*(Assumptions!$B$12+Assumptions!$B$13+IF((AM135)*AE135&gt;=Assumptions!$B$16,Assumptions!$B$17,IF((AM135)*AE135&gt;=Assumptions!$B$14,Assumptions!$B$15,0))))</f>
        <v>-8628078.25</v>
      </c>
      <c r="AP135" s="47" t="n">
        <f aca="false">Assumptions!$B$7*(Q135+R135+S135)</f>
        <v>11176750</v>
      </c>
    </row>
    <row r="136" customFormat="false" ht="35.05" hidden="false" customHeight="false" outlineLevel="0" collapsed="false">
      <c r="A136" s="40" t="n">
        <v>134</v>
      </c>
      <c r="B136" s="40" t="s">
        <v>294</v>
      </c>
      <c r="C136" s="40" t="s">
        <v>202</v>
      </c>
      <c r="D136" s="41" t="n">
        <v>995000</v>
      </c>
      <c r="E136" s="42" t="n">
        <v>4486</v>
      </c>
      <c r="F136" s="42" t="n">
        <v>0</v>
      </c>
      <c r="G136" s="42"/>
      <c r="H136" s="43" t="s">
        <v>71</v>
      </c>
      <c r="I136" s="43" t="s">
        <v>80</v>
      </c>
      <c r="J136" s="43" t="s">
        <v>71</v>
      </c>
      <c r="K136" s="44" t="s">
        <v>292</v>
      </c>
      <c r="L136" s="45" t="n">
        <f aca="false">IF(AO136&gt;AN136,AM136,AL136)</f>
        <v>1794</v>
      </c>
      <c r="M136" s="40" t="str">
        <f aca="false">IF(AO136&gt;AN136,"Zoning estimate",IF(H136="Yes","Approved plans",IF(G136&gt;0,"Listing claim","110% old house")))</f>
        <v>Zoning estimate</v>
      </c>
      <c r="N136" s="45" t="n">
        <f aca="false">IF(AO136&gt;AN136,IF(AM136&gt;AL136,Assumptions!$B$22,Assumptions!$B$21),Assumptions!$B$21)</f>
        <v>3</v>
      </c>
      <c r="O136" s="46" t="n">
        <f aca="false">(INDEX(Assumptions!$B$36:$B$48,MATCH(AK136,Assumptions!$A$36:$A$48,0))+IF(I136="Yes",Assumptions!$B$23,0)+IF(J136="Yes",Assumptions!$B$24,0))*(1+IF(UPPER(Assumptions!$B$31)="WORST",Assumptions!$B$28,IF(UPPER(Assumptions!$B$31)="BEST",Assumptions!$B$30,Assumptions!$B$29)))</f>
        <v>1430</v>
      </c>
      <c r="P136" s="47" t="n">
        <f aca="false">L136*O136</f>
        <v>2565420</v>
      </c>
      <c r="Q136" s="47" t="n">
        <f aca="false">D136</f>
        <v>995000</v>
      </c>
      <c r="R136" s="47" t="n">
        <f aca="false">L136*Assumptions!$B$4</f>
        <v>1255800</v>
      </c>
      <c r="S136" s="47" t="n">
        <f aca="false">IF(H136="Yes",Assumptions!$B$6*(D136),(L136)*Assumptions!$B$5)</f>
        <v>134550</v>
      </c>
      <c r="T136" s="47" t="n">
        <f aca="false">AP136*(Assumptions!$B$8*N136*Assumptions!$B$9+Assumptions!$B$10)</f>
        <v>302343.1125</v>
      </c>
      <c r="U136" s="47" t="n">
        <f aca="false">Q136*Assumptions!$B$11*N136</f>
        <v>35820</v>
      </c>
      <c r="V136" s="47" t="n">
        <f aca="false">P136*(Assumptions!$B$12+Assumptions!$B$13)</f>
        <v>104156.052</v>
      </c>
      <c r="W136" s="47" t="n">
        <f aca="false">P136*IF(P136&gt;=Assumptions!$B$16,Assumptions!$B$17,IF(P136&gt;=Assumptions!$B$14,Assumptions!$B$15,0))</f>
        <v>0</v>
      </c>
      <c r="X136" s="48" t="n">
        <f aca="false">SUM(Q136:W136)</f>
        <v>2827669.1645</v>
      </c>
      <c r="Y136" s="48" t="n">
        <f aca="false">P136-X136</f>
        <v>-262249.1645</v>
      </c>
      <c r="Z136" s="49" t="n">
        <f aca="false">IF(X136=0,0,Y136/X136)</f>
        <v>-0.0927439347546061</v>
      </c>
      <c r="AA136" s="47" t="n">
        <f aca="false">MAX(0,(P136/(1+Assumptions!$B$27)-(L136*(Assumptions!$B$4+IF(H136="Yes",0,Assumptions!$B$5)))*(1+(Assumptions!$B$7*(Assumptions!$B$8*N136*Assumptions!$B$9+Assumptions!$B$10)))-P136*(Assumptions!$B$12+Assumptions!$B$13+IF(P136&gt;=Assumptions!$B$16,Assumptions!$B$17,IF(P136&gt;=Assumptions!$B$14,Assumptions!$B$15,0))))/((1+IF(H136="Yes",Assumptions!$B$6,0))*(1+(Assumptions!$B$7*(Assumptions!$B$8*N136*Assumptions!$B$9+Assumptions!$B$10)))+Assumptions!$B$11*N136))</f>
        <v>481674.552139325</v>
      </c>
      <c r="AB136" s="50" t="n">
        <f aca="false">IF(AA136&lt;=0,"no price works",D136/AA136)</f>
        <v>2.06571012643449</v>
      </c>
      <c r="AC136" s="46" t="n">
        <f aca="false">(INDEX(Assumptions!$B$36:$B$48,MATCH(AK136,Assumptions!$A$36:$A$48,0))+IF(I136="Yes",Assumptions!$B$23,0)+IF(J136="Yes",Assumptions!$B$24,0))*(1+Assumptions!$B$28)</f>
        <v>1300</v>
      </c>
      <c r="AD136" s="47" t="n">
        <f aca="false">(L136)*AC136-(((D136)+(L136)*Assumptions!$B$4+IF(H136="Yes",Assumptions!$B$6*(D136),(L136)*Assumptions!$B$5))*(1+Assumptions!$B$7*(Assumptions!$B$8*(N136)*Assumptions!$B$9+Assumptions!$B$10))+(D136)*Assumptions!$B$11*(N136)+(L136)*AC136*(Assumptions!$B$12+Assumptions!$B$13+IF((L136)*AC136&gt;=Assumptions!$B$16,Assumptions!$B$17,IF((L136)*AC136&gt;=Assumptions!$B$14,Assumptions!$B$15,0))))</f>
        <v>-486000.4325</v>
      </c>
      <c r="AE136" s="46" t="n">
        <f aca="false">(INDEX(Assumptions!$B$36:$B$48,MATCH(AK136,Assumptions!$A$36:$A$48,0))+IF(I136="Yes",Assumptions!$B$23,0)+IF(J136="Yes",Assumptions!$B$24,0))*(1+Assumptions!$B$29)</f>
        <v>1430</v>
      </c>
      <c r="AF136" s="47" t="n">
        <f aca="false">(L136)*AE136-(((D136)+(L136)*Assumptions!$B$4+IF(H136="Yes",Assumptions!$B$6*(D136),(L136)*Assumptions!$B$5))*(1+Assumptions!$B$7*(Assumptions!$B$8*(N136)*Assumptions!$B$9+Assumptions!$B$10))+(D136)*Assumptions!$B$11*(N136)+(L136)*AE136*(Assumptions!$B$12+Assumptions!$B$13+IF((L136)*AE136&gt;=Assumptions!$B$16,Assumptions!$B$17,IF((L136)*AE136&gt;=Assumptions!$B$14,Assumptions!$B$15,0))))</f>
        <v>-262249.1645</v>
      </c>
      <c r="AG136" s="46" t="n">
        <f aca="false">(INDEX(Assumptions!$B$36:$B$48,MATCH(AK136,Assumptions!$A$36:$A$48,0))+IF(I136="Yes",Assumptions!$B$23,0)+IF(J136="Yes",Assumptions!$B$24,0))*(1+Assumptions!$B$30)</f>
        <v>1560</v>
      </c>
      <c r="AH136" s="47" t="n">
        <f aca="false">(L136)*AG136-(((D136)+(L136)*Assumptions!$B$4+IF(H136="Yes",Assumptions!$B$6*(D136),(L136)*Assumptions!$B$5))*(1+Assumptions!$B$7*(Assumptions!$B$8*(N136)*Assumptions!$B$9+Assumptions!$B$10))+(D136)*Assumptions!$B$11*(N136)+(L136)*AG136*(Assumptions!$B$12+Assumptions!$B$13+IF((L136)*AG136&gt;=Assumptions!$B$16,Assumptions!$B$17,IF((L136)*AG136&gt;=Assumptions!$B$14,Assumptions!$B$15,0))))</f>
        <v>-38497.8964999998</v>
      </c>
      <c r="AI136" s="47" t="n">
        <f aca="false">(L136)*AE136-(((D136)+(L136)*Assumptions!$B$25+IF(H136="Yes",Assumptions!$B$6*(D136),(L136)*Assumptions!$B$5))*(1+Assumptions!$B$7*(Assumptions!$B$8*(N136)*Assumptions!$B$9+Assumptions!$B$10))+(D136)*Assumptions!$B$11*(N136)+(L136)*AE136*(Assumptions!$B$12+Assumptions!$B$13+IF((L136)*AE136&gt;=Assumptions!$B$16,Assumptions!$B$17,IF((L136)*AE136&gt;=Assumptions!$B$14,Assumptions!$B$15,0))))</f>
        <v>-161179.689499999</v>
      </c>
      <c r="AJ136" s="47" t="n">
        <f aca="false">(L136)*AE136-(((D136)+(L136)*Assumptions!$B$26+IF(H136="Yes",Assumptions!$B$6*(D136),(L136)*Assumptions!$B$5))*(1+Assumptions!$B$7*(Assumptions!$B$8*(N136)*Assumptions!$B$9+Assumptions!$B$10))+(D136)*Assumptions!$B$11*(N136)+(L136)*AE136*(Assumptions!$B$12+Assumptions!$B$13+IF((L136)*AE136&gt;=Assumptions!$B$16,Assumptions!$B$17,IF((L136)*AE136&gt;=Assumptions!$B$14,Assumptions!$B$15,0))))</f>
        <v>-60110.2144999993</v>
      </c>
      <c r="AK136" s="40" t="s">
        <v>203</v>
      </c>
      <c r="AL136" s="45" t="n">
        <f aca="false">IF(G136&gt;0,G136,ROUND(F136*Assumptions!$B$18,0))</f>
        <v>0</v>
      </c>
      <c r="AM136" s="45" t="n">
        <f aca="false">IF(H136="Yes",AL136,MAX(AL136,MIN(Assumptions!$B$20,ROUND(E136*Assumptions!$B$19,0))))</f>
        <v>1794</v>
      </c>
      <c r="AN136" s="47" t="n">
        <f aca="false">(AL136)*AE136-(((D136)+(AL136)*Assumptions!$B$4+IF(H136="Yes",Assumptions!$B$6*(D136),(AL136)*Assumptions!$B$5))*(1+Assumptions!$B$7*(Assumptions!$B$8*(Assumptions!$B$21)*Assumptions!$B$9+Assumptions!$B$10))+(D136)*Assumptions!$B$11*(Assumptions!$B$21)+(AL136)*AE136*(Assumptions!$B$12+Assumptions!$B$13+IF((AL136)*AE136&gt;=Assumptions!$B$16,Assumptions!$B$17,IF((AL136)*AE136&gt;=Assumptions!$B$14,Assumptions!$B$15,0))))</f>
        <v>-1106191.25</v>
      </c>
      <c r="AO136" s="47" t="n">
        <f aca="false">(AM136)*AE136-(((D136)+(AM136)*Assumptions!$B$4+IF(H136="Yes",Assumptions!$B$6*(D136),(AM136)*Assumptions!$B$5))*(1+Assumptions!$B$7*(Assumptions!$B$8*(IF(AM136&gt;AL136,Assumptions!$B$22,Assumptions!$B$21))*Assumptions!$B$9+Assumptions!$B$10))+(D136)*Assumptions!$B$11*(IF(AM136&gt;AL136,Assumptions!$B$22,Assumptions!$B$21))+(AM136)*AE136*(Assumptions!$B$12+Assumptions!$B$13+IF((AM136)*AE136&gt;=Assumptions!$B$16,Assumptions!$B$17,IF((AM136)*AE136&gt;=Assumptions!$B$14,Assumptions!$B$15,0))))</f>
        <v>-262249.1645</v>
      </c>
      <c r="AP136" s="47" t="n">
        <f aca="false">Assumptions!$B$7*(Q136+R136+S136)</f>
        <v>1550477.5</v>
      </c>
    </row>
    <row r="137" customFormat="false" ht="35.05" hidden="false" customHeight="false" outlineLevel="0" collapsed="false">
      <c r="A137" s="40" t="n">
        <v>135</v>
      </c>
      <c r="B137" s="40" t="s">
        <v>295</v>
      </c>
      <c r="C137" s="40" t="s">
        <v>202</v>
      </c>
      <c r="D137" s="41" t="n">
        <v>995000</v>
      </c>
      <c r="E137" s="42" t="n">
        <v>4042</v>
      </c>
      <c r="F137" s="42" t="n">
        <v>0</v>
      </c>
      <c r="G137" s="42"/>
      <c r="H137" s="43" t="s">
        <v>71</v>
      </c>
      <c r="I137" s="43" t="s">
        <v>80</v>
      </c>
      <c r="J137" s="43" t="s">
        <v>71</v>
      </c>
      <c r="K137" s="44" t="s">
        <v>292</v>
      </c>
      <c r="L137" s="45" t="n">
        <f aca="false">IF(AO137&gt;AN137,AM137,AL137)</f>
        <v>1617</v>
      </c>
      <c r="M137" s="40" t="str">
        <f aca="false">IF(AO137&gt;AN137,"Zoning estimate",IF(H137="Yes","Approved plans",IF(G137&gt;0,"Listing claim","110% old house")))</f>
        <v>Zoning estimate</v>
      </c>
      <c r="N137" s="45" t="n">
        <f aca="false">IF(AO137&gt;AN137,IF(AM137&gt;AL137,Assumptions!$B$22,Assumptions!$B$21),Assumptions!$B$21)</f>
        <v>3</v>
      </c>
      <c r="O137" s="46" t="n">
        <f aca="false">(INDEX(Assumptions!$B$36:$B$48,MATCH(AK137,Assumptions!$A$36:$A$48,0))+IF(I137="Yes",Assumptions!$B$23,0)+IF(J137="Yes",Assumptions!$B$24,0))*(1+IF(UPPER(Assumptions!$B$31)="WORST",Assumptions!$B$28,IF(UPPER(Assumptions!$B$31)="BEST",Assumptions!$B$30,Assumptions!$B$29)))</f>
        <v>1430</v>
      </c>
      <c r="P137" s="47" t="n">
        <f aca="false">L137*O137</f>
        <v>2312310</v>
      </c>
      <c r="Q137" s="47" t="n">
        <f aca="false">D137</f>
        <v>995000</v>
      </c>
      <c r="R137" s="47" t="n">
        <f aca="false">L137*Assumptions!$B$4</f>
        <v>1131900</v>
      </c>
      <c r="S137" s="47" t="n">
        <f aca="false">IF(H137="Yes",Assumptions!$B$6*(D137),(L137)*Assumptions!$B$5)</f>
        <v>121275</v>
      </c>
      <c r="T137" s="47" t="n">
        <f aca="false">AP137*(Assumptions!$B$8*N137*Assumptions!$B$9+Assumptions!$B$10)</f>
        <v>284956.18125</v>
      </c>
      <c r="U137" s="47" t="n">
        <f aca="false">Q137*Assumptions!$B$11*N137</f>
        <v>35820</v>
      </c>
      <c r="V137" s="47" t="n">
        <f aca="false">P137*(Assumptions!$B$12+Assumptions!$B$13)</f>
        <v>93879.786</v>
      </c>
      <c r="W137" s="47" t="n">
        <f aca="false">P137*IF(P137&gt;=Assumptions!$B$16,Assumptions!$B$17,IF(P137&gt;=Assumptions!$B$14,Assumptions!$B$15,0))</f>
        <v>0</v>
      </c>
      <c r="X137" s="48" t="n">
        <f aca="false">SUM(Q137:W137)</f>
        <v>2662830.96725</v>
      </c>
      <c r="Y137" s="48" t="n">
        <f aca="false">P137-X137</f>
        <v>-350520.967249999</v>
      </c>
      <c r="Z137" s="49" t="n">
        <f aca="false">IF(X137=0,0,Y137/X137)</f>
        <v>-0.131634704403335</v>
      </c>
      <c r="AA137" s="47" t="n">
        <f aca="false">MAX(0,(P137/(1+Assumptions!$B$27)-(L137*(Assumptions!$B$4+IF(H137="Yes",0,Assumptions!$B$5)))*(1+(Assumptions!$B$7*(Assumptions!$B$8*N137*Assumptions!$B$9+Assumptions!$B$10)))-P137*(Assumptions!$B$12+Assumptions!$B$13+IF(P137&gt;=Assumptions!$B$16,Assumptions!$B$17,IF(P137&gt;=Assumptions!$B$14,Assumptions!$B$15,0))))/((1+IF(H137="Yes",Assumptions!$B$6,0))*(1+(Assumptions!$B$7*(Assumptions!$B$8*N137*Assumptions!$B$9+Assumptions!$B$10)))+Assumptions!$B$11*N137))</f>
        <v>434151.477597151</v>
      </c>
      <c r="AB137" s="50" t="n">
        <f aca="false">IF(AA137&lt;=0,"no price works",D137/AA137)</f>
        <v>2.2918268193095</v>
      </c>
      <c r="AC137" s="46" t="n">
        <f aca="false">(INDEX(Assumptions!$B$36:$B$48,MATCH(AK137,Assumptions!$A$36:$A$48,0))+IF(I137="Yes",Assumptions!$B$23,0)+IF(J137="Yes",Assumptions!$B$24,0))*(1+Assumptions!$B$28)</f>
        <v>1300</v>
      </c>
      <c r="AD137" s="47" t="n">
        <f aca="false">(L137)*AC137-(((D137)+(L137)*Assumptions!$B$4+IF(H137="Yes",Assumptions!$B$6*(D137),(L137)*Assumptions!$B$5))*(1+Assumptions!$B$7*(Assumptions!$B$8*(N137)*Assumptions!$B$9+Assumptions!$B$10))+(D137)*Assumptions!$B$11*(N137)+(L137)*AC137*(Assumptions!$B$12+Assumptions!$B$13+IF((L137)*AC137&gt;=Assumptions!$B$16,Assumptions!$B$17,IF((L137)*AC137&gt;=Assumptions!$B$14,Assumptions!$B$15,0))))</f>
        <v>-552196.44125</v>
      </c>
      <c r="AE137" s="46" t="n">
        <f aca="false">(INDEX(Assumptions!$B$36:$B$48,MATCH(AK137,Assumptions!$A$36:$A$48,0))+IF(I137="Yes",Assumptions!$B$23,0)+IF(J137="Yes",Assumptions!$B$24,0))*(1+Assumptions!$B$29)</f>
        <v>1430</v>
      </c>
      <c r="AF137" s="47" t="n">
        <f aca="false">(L137)*AE137-(((D137)+(L137)*Assumptions!$B$4+IF(H137="Yes",Assumptions!$B$6*(D137),(L137)*Assumptions!$B$5))*(1+Assumptions!$B$7*(Assumptions!$B$8*(N137)*Assumptions!$B$9+Assumptions!$B$10))+(D137)*Assumptions!$B$11*(N137)+(L137)*AE137*(Assumptions!$B$12+Assumptions!$B$13+IF((L137)*AE137&gt;=Assumptions!$B$16,Assumptions!$B$17,IF((L137)*AE137&gt;=Assumptions!$B$14,Assumptions!$B$15,0))))</f>
        <v>-350520.967249999</v>
      </c>
      <c r="AG137" s="46" t="n">
        <f aca="false">(INDEX(Assumptions!$B$36:$B$48,MATCH(AK137,Assumptions!$A$36:$A$48,0))+IF(I137="Yes",Assumptions!$B$23,0)+IF(J137="Yes",Assumptions!$B$24,0))*(1+Assumptions!$B$30)</f>
        <v>1560</v>
      </c>
      <c r="AH137" s="47" t="n">
        <f aca="false">(L137)*AG137-(((D137)+(L137)*Assumptions!$B$4+IF(H137="Yes",Assumptions!$B$6*(D137),(L137)*Assumptions!$B$5))*(1+Assumptions!$B$7*(Assumptions!$B$8*(N137)*Assumptions!$B$9+Assumptions!$B$10))+(D137)*Assumptions!$B$11*(N137)+(L137)*AG137*(Assumptions!$B$12+Assumptions!$B$13+IF((L137)*AG137&gt;=Assumptions!$B$16,Assumptions!$B$17,IF((L137)*AG137&gt;=Assumptions!$B$14,Assumptions!$B$15,0))))</f>
        <v>-148845.49325</v>
      </c>
      <c r="AI137" s="47" t="n">
        <f aca="false">(L137)*AE137-(((D137)+(L137)*Assumptions!$B$25+IF(H137="Yes",Assumptions!$B$6*(D137),(L137)*Assumptions!$B$5))*(1+Assumptions!$B$7*(Assumptions!$B$8*(N137)*Assumptions!$B$9+Assumptions!$B$10))+(D137)*Assumptions!$B$11*(N137)+(L137)*AE137*(Assumptions!$B$12+Assumptions!$B$13+IF((L137)*AE137&gt;=Assumptions!$B$16,Assumptions!$B$17,IF((L137)*AE137&gt;=Assumptions!$B$14,Assumptions!$B$15,0))))</f>
        <v>-259423.229749999</v>
      </c>
      <c r="AJ137" s="47" t="n">
        <f aca="false">(L137)*AE137-(((D137)+(L137)*Assumptions!$B$26+IF(H137="Yes",Assumptions!$B$6*(D137),(L137)*Assumptions!$B$5))*(1+Assumptions!$B$7*(Assumptions!$B$8*(N137)*Assumptions!$B$9+Assumptions!$B$10))+(D137)*Assumptions!$B$11*(N137)+(L137)*AE137*(Assumptions!$B$12+Assumptions!$B$13+IF((L137)*AE137&gt;=Assumptions!$B$16,Assumptions!$B$17,IF((L137)*AE137&gt;=Assumptions!$B$14,Assumptions!$B$15,0))))</f>
        <v>-168325.492249999</v>
      </c>
      <c r="AK137" s="40" t="s">
        <v>203</v>
      </c>
      <c r="AL137" s="45" t="n">
        <f aca="false">IF(G137&gt;0,G137,ROUND(F137*Assumptions!$B$18,0))</f>
        <v>0</v>
      </c>
      <c r="AM137" s="45" t="n">
        <f aca="false">IF(H137="Yes",AL137,MAX(AL137,MIN(Assumptions!$B$20,ROUND(E137*Assumptions!$B$19,0))))</f>
        <v>1617</v>
      </c>
      <c r="AN137" s="47" t="n">
        <f aca="false">(AL137)*AE137-(((D137)+(AL137)*Assumptions!$B$4+IF(H137="Yes",Assumptions!$B$6*(D137),(AL137)*Assumptions!$B$5))*(1+Assumptions!$B$7*(Assumptions!$B$8*(Assumptions!$B$21)*Assumptions!$B$9+Assumptions!$B$10))+(D137)*Assumptions!$B$11*(Assumptions!$B$21)+(AL137)*AE137*(Assumptions!$B$12+Assumptions!$B$13+IF((AL137)*AE137&gt;=Assumptions!$B$16,Assumptions!$B$17,IF((AL137)*AE137&gt;=Assumptions!$B$14,Assumptions!$B$15,0))))</f>
        <v>-1106191.25</v>
      </c>
      <c r="AO137" s="47" t="n">
        <f aca="false">(AM137)*AE137-(((D137)+(AM137)*Assumptions!$B$4+IF(H137="Yes",Assumptions!$B$6*(D137),(AM137)*Assumptions!$B$5))*(1+Assumptions!$B$7*(Assumptions!$B$8*(IF(AM137&gt;AL137,Assumptions!$B$22,Assumptions!$B$21))*Assumptions!$B$9+Assumptions!$B$10))+(D137)*Assumptions!$B$11*(IF(AM137&gt;AL137,Assumptions!$B$22,Assumptions!$B$21))+(AM137)*AE137*(Assumptions!$B$12+Assumptions!$B$13+IF((AM137)*AE137&gt;=Assumptions!$B$16,Assumptions!$B$17,IF((AM137)*AE137&gt;=Assumptions!$B$14,Assumptions!$B$15,0))))</f>
        <v>-350520.967249999</v>
      </c>
      <c r="AP137" s="47" t="n">
        <f aca="false">Assumptions!$B$7*(Q137+R137+S137)</f>
        <v>1461313.75</v>
      </c>
    </row>
    <row r="138" customFormat="false" ht="35.05" hidden="false" customHeight="false" outlineLevel="0" collapsed="false">
      <c r="A138" s="40" t="n">
        <v>136</v>
      </c>
      <c r="B138" s="40" t="s">
        <v>296</v>
      </c>
      <c r="C138" s="40" t="s">
        <v>126</v>
      </c>
      <c r="D138" s="41" t="n">
        <v>2750000</v>
      </c>
      <c r="E138" s="42" t="n">
        <v>8490</v>
      </c>
      <c r="F138" s="42" t="n">
        <v>4204</v>
      </c>
      <c r="G138" s="42"/>
      <c r="H138" s="43" t="s">
        <v>71</v>
      </c>
      <c r="I138" s="43" t="s">
        <v>71</v>
      </c>
      <c r="J138" s="43" t="s">
        <v>71</v>
      </c>
      <c r="K138" s="44" t="s">
        <v>297</v>
      </c>
      <c r="L138" s="45" t="n">
        <f aca="false">IF(AO138&gt;AN138,AM138,AL138)</f>
        <v>4624</v>
      </c>
      <c r="M138" s="40" t="str">
        <f aca="false">IF(AO138&gt;AN138,"Zoning estimate",IF(H138="Yes","Approved plans",IF(G138&gt;0,"Listing claim","110% old house")))</f>
        <v>110% old house</v>
      </c>
      <c r="N138" s="45" t="n">
        <f aca="false">IF(AO138&gt;AN138,IF(AM138&gt;AL138,Assumptions!$B$22,Assumptions!$B$21),Assumptions!$B$21)</f>
        <v>2</v>
      </c>
      <c r="O138" s="46" t="n">
        <f aca="false">(INDEX(Assumptions!$B$36:$B$48,MATCH(AK138,Assumptions!$A$36:$A$48,0))+IF(I138="Yes",Assumptions!$B$23,0)+IF(J138="Yes",Assumptions!$B$24,0))*(1+IF(UPPER(Assumptions!$B$31)="WORST",Assumptions!$B$28,IF(UPPER(Assumptions!$B$31)="BEST",Assumptions!$B$30,Assumptions!$B$29)))</f>
        <v>1430</v>
      </c>
      <c r="P138" s="47" t="n">
        <f aca="false">L138*O138</f>
        <v>6612320</v>
      </c>
      <c r="Q138" s="47" t="n">
        <f aca="false">D138</f>
        <v>2750000</v>
      </c>
      <c r="R138" s="47" t="n">
        <f aca="false">L138*Assumptions!$B$4</f>
        <v>3236800</v>
      </c>
      <c r="S138" s="47" t="n">
        <f aca="false">IF(H138="Yes",Assumptions!$B$6*(D138),(L138)*Assumptions!$B$5)</f>
        <v>346800</v>
      </c>
      <c r="T138" s="47" t="n">
        <f aca="false">AP138*(Assumptions!$B$8*N138*Assumptions!$B$9+Assumptions!$B$10)</f>
        <v>555773.4</v>
      </c>
      <c r="U138" s="47" t="n">
        <f aca="false">Q138*Assumptions!$B$11*N138</f>
        <v>66000</v>
      </c>
      <c r="V138" s="47" t="n">
        <f aca="false">P138*(Assumptions!$B$12+Assumptions!$B$13)</f>
        <v>268460.192</v>
      </c>
      <c r="W138" s="47" t="n">
        <f aca="false">P138*IF(P138&gt;=Assumptions!$B$16,Assumptions!$B$17,IF(P138&gt;=Assumptions!$B$14,Assumptions!$B$15,0))</f>
        <v>264492.8</v>
      </c>
      <c r="X138" s="48" t="n">
        <f aca="false">SUM(Q138:W138)</f>
        <v>7488326.392</v>
      </c>
      <c r="Y138" s="48" t="n">
        <f aca="false">P138-X138</f>
        <v>-876006.391999999</v>
      </c>
      <c r="Z138" s="49" t="n">
        <f aca="false">IF(X138=0,0,Y138/X138)</f>
        <v>-0.116982933988543</v>
      </c>
      <c r="AA138" s="47" t="n">
        <f aca="false">MAX(0,(P138/(1+Assumptions!$B$27)-(L138*(Assumptions!$B$4+IF(H138="Yes",0,Assumptions!$B$5)))*(1+(Assumptions!$B$7*(Assumptions!$B$8*N138*Assumptions!$B$9+Assumptions!$B$10)))-P138*(Assumptions!$B$12+Assumptions!$B$13+IF(P138&gt;=Assumptions!$B$16,Assumptions!$B$17,IF(P138&gt;=Assumptions!$B$14,Assumptions!$B$15,0))))/((1+IF(H138="Yes",Assumptions!$B$6,0))*(1+(Assumptions!$B$7*(Assumptions!$B$8*N138*Assumptions!$B$9+Assumptions!$B$10)))+Assumptions!$B$11*N138))</f>
        <v>1186264.5255326</v>
      </c>
      <c r="AB138" s="50" t="n">
        <f aca="false">IF(AA138&lt;=0,"no price works",D138/AA138)</f>
        <v>2.31820132930749</v>
      </c>
      <c r="AC138" s="46" t="n">
        <f aca="false">(INDEX(Assumptions!$B$36:$B$48,MATCH(AK138,Assumptions!$A$36:$A$48,0))+IF(I138="Yes",Assumptions!$B$23,0)+IF(J138="Yes",Assumptions!$B$24,0))*(1+Assumptions!$B$28)</f>
        <v>1300</v>
      </c>
      <c r="AD138" s="47" t="n">
        <f aca="false">(L138)*AC138-(((D138)+(L138)*Assumptions!$B$4+IF(H138="Yes",Assumptions!$B$6*(D138),(L138)*Assumptions!$B$5))*(1+Assumptions!$B$7*(Assumptions!$B$8*(N138)*Assumptions!$B$9+Assumptions!$B$10))+(D138)*Assumptions!$B$11*(N138)+(L138)*AC138*(Assumptions!$B$12+Assumptions!$B$13+IF((L138)*AC138&gt;=Assumptions!$B$16,Assumptions!$B$17,IF((L138)*AC138&gt;=Assumptions!$B$14,Assumptions!$B$15,0))))</f>
        <v>-1428676.12</v>
      </c>
      <c r="AE138" s="46" t="n">
        <f aca="false">(INDEX(Assumptions!$B$36:$B$48,MATCH(AK138,Assumptions!$A$36:$A$48,0))+IF(I138="Yes",Assumptions!$B$23,0)+IF(J138="Yes",Assumptions!$B$24,0))*(1+Assumptions!$B$29)</f>
        <v>1430</v>
      </c>
      <c r="AF138" s="47" t="n">
        <f aca="false">(L138)*AE138-(((D138)+(L138)*Assumptions!$B$4+IF(H138="Yes",Assumptions!$B$6*(D138),(L138)*Assumptions!$B$5))*(1+Assumptions!$B$7*(Assumptions!$B$8*(N138)*Assumptions!$B$9+Assumptions!$B$10))+(D138)*Assumptions!$B$11*(N138)+(L138)*AE138*(Assumptions!$B$12+Assumptions!$B$13+IF((L138)*AE138&gt;=Assumptions!$B$16,Assumptions!$B$17,IF((L138)*AE138&gt;=Assumptions!$B$14,Assumptions!$B$15,0))))</f>
        <v>-876006.392</v>
      </c>
      <c r="AG138" s="46" t="n">
        <f aca="false">(INDEX(Assumptions!$B$36:$B$48,MATCH(AK138,Assumptions!$A$36:$A$48,0))+IF(I138="Yes",Assumptions!$B$23,0)+IF(J138="Yes",Assumptions!$B$24,0))*(1+Assumptions!$B$30)</f>
        <v>1560</v>
      </c>
      <c r="AH138" s="47" t="n">
        <f aca="false">(L138)*AG138-(((D138)+(L138)*Assumptions!$B$4+IF(H138="Yes",Assumptions!$B$6*(D138),(L138)*Assumptions!$B$5))*(1+Assumptions!$B$7*(Assumptions!$B$8*(N138)*Assumptions!$B$9+Assumptions!$B$10))+(D138)*Assumptions!$B$11*(N138)+(L138)*AG138*(Assumptions!$B$12+Assumptions!$B$13+IF((L138)*AG138&gt;=Assumptions!$B$16,Assumptions!$B$17,IF((L138)*AG138&gt;=Assumptions!$B$14,Assumptions!$B$15,0))))</f>
        <v>-323336.664000001</v>
      </c>
      <c r="AI138" s="47" t="n">
        <f aca="false">(L138)*AE138-(((D138)+(L138)*Assumptions!$B$25+IF(H138="Yes",Assumptions!$B$6*(D138),(L138)*Assumptions!$B$5))*(1+Assumptions!$B$7*(Assumptions!$B$8*(N138)*Assumptions!$B$9+Assumptions!$B$10))+(D138)*Assumptions!$B$11*(N138)+(L138)*AE138*(Assumptions!$B$12+Assumptions!$B$13+IF((L138)*AE138&gt;=Assumptions!$B$16,Assumptions!$B$17,IF((L138)*AE138&gt;=Assumptions!$B$14,Assumptions!$B$15,0))))</f>
        <v>-624518.591999999</v>
      </c>
      <c r="AJ138" s="47" t="n">
        <f aca="false">(L138)*AE138-(((D138)+(L138)*Assumptions!$B$26+IF(H138="Yes",Assumptions!$B$6*(D138),(L138)*Assumptions!$B$5))*(1+Assumptions!$B$7*(Assumptions!$B$8*(N138)*Assumptions!$B$9+Assumptions!$B$10))+(D138)*Assumptions!$B$11*(N138)+(L138)*AE138*(Assumptions!$B$12+Assumptions!$B$13+IF((L138)*AE138&gt;=Assumptions!$B$16,Assumptions!$B$17,IF((L138)*AE138&gt;=Assumptions!$B$14,Assumptions!$B$15,0))))</f>
        <v>-373030.791999999</v>
      </c>
      <c r="AK138" s="40" t="s">
        <v>128</v>
      </c>
      <c r="AL138" s="45" t="n">
        <f aca="false">IF(G138&gt;0,G138,ROUND(F138*Assumptions!$B$18,0))</f>
        <v>4624</v>
      </c>
      <c r="AM138" s="45" t="n">
        <f aca="false">IF(H138="Yes",AL138,MAX(AL138,MIN(Assumptions!$B$20,ROUND(E138*Assumptions!$B$19,0))))</f>
        <v>4624</v>
      </c>
      <c r="AN138" s="47" t="n">
        <f aca="false">(AL138)*AE138-(((D138)+(AL138)*Assumptions!$B$4+IF(H138="Yes",Assumptions!$B$6*(D138),(AL138)*Assumptions!$B$5))*(1+Assumptions!$B$7*(Assumptions!$B$8*(Assumptions!$B$21)*Assumptions!$B$9+Assumptions!$B$10))+(D138)*Assumptions!$B$11*(Assumptions!$B$21)+(AL138)*AE138*(Assumptions!$B$12+Assumptions!$B$13+IF((AL138)*AE138&gt;=Assumptions!$B$16,Assumptions!$B$17,IF((AL138)*AE138&gt;=Assumptions!$B$14,Assumptions!$B$15,0))))</f>
        <v>-876006.392</v>
      </c>
      <c r="AO138" s="47" t="n">
        <f aca="false">(AM138)*AE138-(((D138)+(AM138)*Assumptions!$B$4+IF(H138="Yes",Assumptions!$B$6*(D138),(AM138)*Assumptions!$B$5))*(1+Assumptions!$B$7*(Assumptions!$B$8*(IF(AM138&gt;AL138,Assumptions!$B$22,Assumptions!$B$21))*Assumptions!$B$9+Assumptions!$B$10))+(D138)*Assumptions!$B$11*(IF(AM138&gt;AL138,Assumptions!$B$22,Assumptions!$B$21))+(AM138)*AE138*(Assumptions!$B$12+Assumptions!$B$13+IF((AM138)*AE138&gt;=Assumptions!$B$16,Assumptions!$B$17,IF((AM138)*AE138&gt;=Assumptions!$B$14,Assumptions!$B$15,0))))</f>
        <v>-876006.392</v>
      </c>
      <c r="AP138" s="47" t="n">
        <f aca="false">Assumptions!$B$7*(Q138+R138+S138)</f>
        <v>4116840</v>
      </c>
    </row>
  </sheetData>
  <autoFilter ref="A2:AP138"/>
  <mergeCells count="6">
    <mergeCell ref="A1:K1"/>
    <mergeCell ref="L1:P1"/>
    <mergeCell ref="Q1:X1"/>
    <mergeCell ref="Y1:AB1"/>
    <mergeCell ref="AC1:AJ1"/>
    <mergeCell ref="AK1:AP1"/>
  </mergeCells>
  <conditionalFormatting sqref="AB3:AB138">
    <cfRule type="expression" priority="2" aboveAverage="0" equalAverage="0" bottom="0" percent="0" rank="0" text="" dxfId="0">
      <formula>AND(ISNUMBER(AB3),AB3&lt;=1)</formula>
    </cfRule>
    <cfRule type="expression" priority="3" aboveAverage="0" equalAverage="0" bottom="0" percent="0" rank="0" text="" dxfId="1">
      <formula>OR(NOT(ISNUMBER(AB3)),AB3&gt;1)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100"/>
  </cols>
  <sheetData>
    <row r="1" customFormat="false" ht="18.55" hidden="false" customHeight="false" outlineLevel="0" collapsed="false">
      <c r="A1" s="1" t="s">
        <v>298</v>
      </c>
    </row>
    <row r="3" customFormat="false" ht="15" hidden="false" customHeight="false" outlineLevel="0" collapsed="false">
      <c r="A3" s="51" t="s">
        <v>299</v>
      </c>
      <c r="B3" s="51" t="s">
        <v>300</v>
      </c>
      <c r="C3" s="51" t="s">
        <v>301</v>
      </c>
    </row>
    <row r="4" customFormat="false" ht="15" hidden="false" customHeight="false" outlineLevel="0" collapsed="false">
      <c r="A4" s="7" t="s">
        <v>302</v>
      </c>
      <c r="B4" s="52" t="n">
        <v>700</v>
      </c>
      <c r="C4" s="2" t="s">
        <v>303</v>
      </c>
    </row>
    <row r="5" customFormat="false" ht="15" hidden="false" customHeight="false" outlineLevel="0" collapsed="false">
      <c r="A5" s="7" t="s">
        <v>304</v>
      </c>
      <c r="B5" s="52" t="n">
        <v>75</v>
      </c>
      <c r="C5" s="2" t="s">
        <v>305</v>
      </c>
    </row>
    <row r="6" customFormat="false" ht="15" hidden="false" customHeight="false" outlineLevel="0" collapsed="false">
      <c r="A6" s="7" t="s">
        <v>306</v>
      </c>
      <c r="B6" s="53" t="n">
        <v>0.05</v>
      </c>
      <c r="C6" s="2" t="s">
        <v>307</v>
      </c>
    </row>
    <row r="7" customFormat="false" ht="15" hidden="false" customHeight="false" outlineLevel="0" collapsed="false">
      <c r="A7" s="7" t="s">
        <v>308</v>
      </c>
      <c r="B7" s="53" t="n">
        <v>0.65</v>
      </c>
      <c r="C7" s="2" t="s">
        <v>309</v>
      </c>
    </row>
    <row r="8" customFormat="false" ht="15" hidden="false" customHeight="false" outlineLevel="0" collapsed="false">
      <c r="A8" s="7" t="s">
        <v>310</v>
      </c>
      <c r="B8" s="53" t="n">
        <v>0.1</v>
      </c>
      <c r="C8" s="2" t="s">
        <v>311</v>
      </c>
    </row>
    <row r="9" customFormat="false" ht="15" hidden="false" customHeight="false" outlineLevel="0" collapsed="false">
      <c r="A9" s="7" t="s">
        <v>312</v>
      </c>
      <c r="B9" s="53" t="n">
        <v>0.6</v>
      </c>
      <c r="C9" s="2" t="s">
        <v>313</v>
      </c>
    </row>
    <row r="10" customFormat="false" ht="15" hidden="false" customHeight="false" outlineLevel="0" collapsed="false">
      <c r="A10" s="7" t="s">
        <v>314</v>
      </c>
      <c r="B10" s="53" t="n">
        <v>0.015</v>
      </c>
      <c r="C10" s="2" t="s">
        <v>311</v>
      </c>
    </row>
    <row r="11" customFormat="false" ht="15" hidden="false" customHeight="false" outlineLevel="0" collapsed="false">
      <c r="A11" s="7" t="s">
        <v>315</v>
      </c>
      <c r="B11" s="53" t="n">
        <v>0.012</v>
      </c>
      <c r="C11" s="2" t="s">
        <v>316</v>
      </c>
    </row>
    <row r="12" customFormat="false" ht="15" hidden="false" customHeight="false" outlineLevel="0" collapsed="false">
      <c r="A12" s="7" t="s">
        <v>317</v>
      </c>
      <c r="B12" s="53" t="n">
        <v>0.035</v>
      </c>
      <c r="C12" s="2" t="s">
        <v>318</v>
      </c>
    </row>
    <row r="13" customFormat="false" ht="15" hidden="false" customHeight="false" outlineLevel="0" collapsed="false">
      <c r="A13" s="7" t="s">
        <v>319</v>
      </c>
      <c r="B13" s="53" t="n">
        <v>0.0056</v>
      </c>
      <c r="C13" s="2" t="s">
        <v>320</v>
      </c>
    </row>
    <row r="14" customFormat="false" ht="15" hidden="false" customHeight="false" outlineLevel="0" collapsed="false">
      <c r="A14" s="7" t="s">
        <v>321</v>
      </c>
      <c r="B14" s="52" t="n">
        <v>5400000</v>
      </c>
      <c r="C14" s="2" t="s">
        <v>322</v>
      </c>
    </row>
    <row r="15" customFormat="false" ht="15" hidden="false" customHeight="false" outlineLevel="0" collapsed="false">
      <c r="A15" s="7" t="s">
        <v>323</v>
      </c>
      <c r="B15" s="53" t="n">
        <v>0.04</v>
      </c>
      <c r="C15" s="2" t="s">
        <v>324</v>
      </c>
    </row>
    <row r="16" customFormat="false" ht="15" hidden="false" customHeight="false" outlineLevel="0" collapsed="false">
      <c r="A16" s="7" t="s">
        <v>325</v>
      </c>
      <c r="B16" s="52" t="n">
        <v>10900000</v>
      </c>
      <c r="C16" s="2" t="s">
        <v>326</v>
      </c>
    </row>
    <row r="17" customFormat="false" ht="15" hidden="false" customHeight="false" outlineLevel="0" collapsed="false">
      <c r="A17" s="7" t="s">
        <v>327</v>
      </c>
      <c r="B17" s="53" t="n">
        <v>0.055</v>
      </c>
      <c r="C17" s="2" t="s">
        <v>328</v>
      </c>
    </row>
    <row r="18" customFormat="false" ht="15" hidden="false" customHeight="false" outlineLevel="0" collapsed="false">
      <c r="A18" s="7" t="s">
        <v>329</v>
      </c>
      <c r="B18" s="54" t="n">
        <v>1.1</v>
      </c>
      <c r="C18" s="2" t="s">
        <v>330</v>
      </c>
    </row>
    <row r="19" customFormat="false" ht="15" hidden="false" customHeight="false" outlineLevel="0" collapsed="false">
      <c r="A19" s="7" t="s">
        <v>331</v>
      </c>
      <c r="B19" s="54" t="n">
        <v>0.4</v>
      </c>
      <c r="C19" s="2" t="s">
        <v>332</v>
      </c>
    </row>
    <row r="20" customFormat="false" ht="15" hidden="false" customHeight="false" outlineLevel="0" collapsed="false">
      <c r="A20" s="7" t="s">
        <v>333</v>
      </c>
      <c r="B20" s="55" t="n">
        <v>8000</v>
      </c>
      <c r="C20" s="2" t="s">
        <v>334</v>
      </c>
    </row>
    <row r="21" customFormat="false" ht="15" hidden="false" customHeight="false" outlineLevel="0" collapsed="false">
      <c r="A21" s="7" t="s">
        <v>335</v>
      </c>
      <c r="B21" s="55" t="n">
        <v>2</v>
      </c>
      <c r="C21" s="2" t="s">
        <v>336</v>
      </c>
    </row>
    <row r="22" customFormat="false" ht="15" hidden="false" customHeight="false" outlineLevel="0" collapsed="false">
      <c r="A22" s="7" t="s">
        <v>337</v>
      </c>
      <c r="B22" s="55" t="n">
        <v>3</v>
      </c>
      <c r="C22" s="2" t="s">
        <v>338</v>
      </c>
    </row>
    <row r="23" customFormat="false" ht="15" hidden="false" customHeight="false" outlineLevel="0" collapsed="false">
      <c r="A23" s="7" t="s">
        <v>339</v>
      </c>
      <c r="B23" s="52" t="n">
        <v>100</v>
      </c>
      <c r="C23" s="2" t="s">
        <v>340</v>
      </c>
    </row>
    <row r="24" customFormat="false" ht="15" hidden="false" customHeight="false" outlineLevel="0" collapsed="false">
      <c r="A24" s="7" t="s">
        <v>341</v>
      </c>
      <c r="B24" s="52" t="n">
        <v>0</v>
      </c>
      <c r="C24" s="2" t="s">
        <v>342</v>
      </c>
    </row>
    <row r="25" customFormat="false" ht="15" hidden="false" customHeight="false" outlineLevel="0" collapsed="false">
      <c r="A25" s="7" t="s">
        <v>343</v>
      </c>
      <c r="B25" s="52" t="n">
        <v>650</v>
      </c>
      <c r="C25" s="2" t="s">
        <v>344</v>
      </c>
    </row>
    <row r="26" customFormat="false" ht="15" hidden="false" customHeight="false" outlineLevel="0" collapsed="false">
      <c r="A26" s="7" t="s">
        <v>345</v>
      </c>
      <c r="B26" s="52" t="n">
        <v>600</v>
      </c>
      <c r="C26" s="2" t="s">
        <v>346</v>
      </c>
    </row>
    <row r="27" customFormat="false" ht="15" hidden="false" customHeight="false" outlineLevel="0" collapsed="false">
      <c r="A27" s="7" t="s">
        <v>347</v>
      </c>
      <c r="B27" s="53" t="n">
        <v>0.15</v>
      </c>
      <c r="C27" s="2" t="s">
        <v>348</v>
      </c>
    </row>
    <row r="28" customFormat="false" ht="15" hidden="false" customHeight="false" outlineLevel="0" collapsed="false">
      <c r="A28" s="7" t="s">
        <v>349</v>
      </c>
      <c r="B28" s="53" t="n">
        <v>0</v>
      </c>
      <c r="C28" s="2" t="s">
        <v>350</v>
      </c>
    </row>
    <row r="29" customFormat="false" ht="15" hidden="false" customHeight="false" outlineLevel="0" collapsed="false">
      <c r="A29" s="7" t="s">
        <v>351</v>
      </c>
      <c r="B29" s="53" t="n">
        <v>0.1</v>
      </c>
      <c r="C29" s="2" t="s">
        <v>352</v>
      </c>
    </row>
    <row r="30" customFormat="false" ht="15" hidden="false" customHeight="false" outlineLevel="0" collapsed="false">
      <c r="A30" s="7" t="s">
        <v>353</v>
      </c>
      <c r="B30" s="53" t="n">
        <v>0.2</v>
      </c>
      <c r="C30" s="2" t="s">
        <v>354</v>
      </c>
    </row>
    <row r="31" customFormat="false" ht="15" hidden="false" customHeight="false" outlineLevel="0" collapsed="false">
      <c r="A31" s="7" t="s">
        <v>355</v>
      </c>
      <c r="B31" s="56" t="s">
        <v>356</v>
      </c>
      <c r="C31" s="2" t="s">
        <v>357</v>
      </c>
    </row>
    <row r="34" customFormat="false" ht="15" hidden="false" customHeight="false" outlineLevel="0" collapsed="false">
      <c r="A34" s="57" t="s">
        <v>358</v>
      </c>
    </row>
    <row r="35" customFormat="false" ht="15" hidden="false" customHeight="false" outlineLevel="0" collapsed="false">
      <c r="A35" s="51" t="s">
        <v>359</v>
      </c>
      <c r="B35" s="51" t="s">
        <v>360</v>
      </c>
      <c r="C35" s="51" t="s">
        <v>361</v>
      </c>
    </row>
    <row r="36" customFormat="false" ht="15" hidden="false" customHeight="false" outlineLevel="0" collapsed="false">
      <c r="A36" s="7" t="s">
        <v>73</v>
      </c>
      <c r="B36" s="52" t="n">
        <v>1860</v>
      </c>
      <c r="C36" s="2" t="s">
        <v>362</v>
      </c>
    </row>
    <row r="37" customFormat="false" ht="15" hidden="false" customHeight="false" outlineLevel="0" collapsed="false">
      <c r="A37" s="7" t="s">
        <v>82</v>
      </c>
      <c r="B37" s="52" t="n">
        <v>1850</v>
      </c>
      <c r="C37" s="2" t="s">
        <v>363</v>
      </c>
    </row>
    <row r="38" customFormat="false" ht="15" hidden="false" customHeight="false" outlineLevel="0" collapsed="false">
      <c r="A38" s="7" t="s">
        <v>364</v>
      </c>
      <c r="B38" s="52" t="n">
        <v>1750</v>
      </c>
      <c r="C38" s="2" t="s">
        <v>365</v>
      </c>
    </row>
    <row r="39" customFormat="false" ht="15" hidden="false" customHeight="false" outlineLevel="0" collapsed="false">
      <c r="A39" s="7" t="s">
        <v>77</v>
      </c>
      <c r="B39" s="52" t="n">
        <v>1400</v>
      </c>
      <c r="C39" s="2" t="s">
        <v>366</v>
      </c>
    </row>
    <row r="40" customFormat="false" ht="15" hidden="false" customHeight="false" outlineLevel="0" collapsed="false">
      <c r="A40" s="7" t="s">
        <v>119</v>
      </c>
      <c r="B40" s="52" t="n">
        <v>1400</v>
      </c>
      <c r="C40" s="2" t="s">
        <v>367</v>
      </c>
    </row>
    <row r="41" customFormat="false" ht="15" hidden="false" customHeight="false" outlineLevel="0" collapsed="false">
      <c r="A41" s="7" t="s">
        <v>128</v>
      </c>
      <c r="B41" s="52" t="n">
        <v>1300</v>
      </c>
      <c r="C41" s="2" t="s">
        <v>368</v>
      </c>
    </row>
    <row r="42" customFormat="false" ht="15" hidden="false" customHeight="false" outlineLevel="0" collapsed="false">
      <c r="A42" s="7" t="s">
        <v>104</v>
      </c>
      <c r="B42" s="52" t="n">
        <v>1250</v>
      </c>
      <c r="C42" s="2" t="s">
        <v>369</v>
      </c>
    </row>
    <row r="43" customFormat="false" ht="15" hidden="false" customHeight="false" outlineLevel="0" collapsed="false">
      <c r="A43" s="7" t="s">
        <v>111</v>
      </c>
      <c r="B43" s="52" t="n">
        <v>1250</v>
      </c>
      <c r="C43" s="2" t="s">
        <v>370</v>
      </c>
    </row>
    <row r="44" customFormat="false" ht="15" hidden="false" customHeight="false" outlineLevel="0" collapsed="false">
      <c r="A44" s="7" t="s">
        <v>134</v>
      </c>
      <c r="B44" s="52" t="n">
        <v>1250</v>
      </c>
      <c r="C44" s="2" t="s">
        <v>371</v>
      </c>
    </row>
    <row r="45" customFormat="false" ht="15" hidden="false" customHeight="false" outlineLevel="0" collapsed="false">
      <c r="A45" s="7" t="s">
        <v>203</v>
      </c>
      <c r="B45" s="52" t="n">
        <v>1200</v>
      </c>
      <c r="C45" s="2" t="s">
        <v>372</v>
      </c>
    </row>
    <row r="46" customFormat="false" ht="15" hidden="false" customHeight="false" outlineLevel="0" collapsed="false">
      <c r="A46" s="7" t="s">
        <v>256</v>
      </c>
      <c r="B46" s="52" t="n">
        <v>1000</v>
      </c>
      <c r="C46" s="2" t="s">
        <v>373</v>
      </c>
    </row>
    <row r="47" customFormat="false" ht="15" hidden="false" customHeight="false" outlineLevel="0" collapsed="false">
      <c r="A47" s="7" t="s">
        <v>267</v>
      </c>
      <c r="B47" s="52" t="n">
        <v>900</v>
      </c>
      <c r="C47" s="2" t="s">
        <v>374</v>
      </c>
    </row>
    <row r="48" customFormat="false" ht="15" hidden="false" customHeight="false" outlineLevel="0" collapsed="false">
      <c r="A48" s="7" t="s">
        <v>280</v>
      </c>
      <c r="B48" s="52" t="n">
        <v>900</v>
      </c>
      <c r="C48" s="2" t="s">
        <v>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8" min="8" style="0" width="22"/>
    <col collapsed="false" customWidth="true" hidden="false" outlineLevel="0" max="9" min="9" style="0" width="34"/>
  </cols>
  <sheetData>
    <row r="1" customFormat="false" ht="15" hidden="false" customHeight="false" outlineLevel="0" collapsed="false">
      <c r="A1" s="2" t="s">
        <v>376</v>
      </c>
    </row>
    <row r="2" customFormat="false" ht="15" hidden="false" customHeight="false" outlineLevel="0" collapsed="false">
      <c r="A2" s="51" t="s">
        <v>377</v>
      </c>
      <c r="B2" s="51" t="s">
        <v>49</v>
      </c>
      <c r="C2" s="51" t="s">
        <v>9</v>
      </c>
      <c r="D2" s="51" t="s">
        <v>378</v>
      </c>
      <c r="E2" s="51" t="s">
        <v>379</v>
      </c>
      <c r="F2" s="51" t="s">
        <v>380</v>
      </c>
      <c r="G2" s="51" t="s">
        <v>381</v>
      </c>
      <c r="H2" s="51" t="s">
        <v>382</v>
      </c>
      <c r="I2" s="51" t="s">
        <v>383</v>
      </c>
    </row>
    <row r="3" customFormat="false" ht="15" hidden="false" customHeight="false" outlineLevel="0" collapsed="false">
      <c r="A3" s="7" t="s">
        <v>384</v>
      </c>
      <c r="B3" s="7" t="s">
        <v>385</v>
      </c>
      <c r="C3" s="7" t="s">
        <v>126</v>
      </c>
      <c r="D3" s="58" t="n">
        <v>3005000</v>
      </c>
      <c r="E3" s="59" t="n">
        <v>2343</v>
      </c>
      <c r="F3" s="58" t="n">
        <v>1283</v>
      </c>
      <c r="G3" s="7" t="n">
        <v>2026</v>
      </c>
      <c r="H3" s="7" t="s">
        <v>386</v>
      </c>
      <c r="I3" s="7" t="s">
        <v>387</v>
      </c>
    </row>
    <row r="4" customFormat="false" ht="15" hidden="false" customHeight="false" outlineLevel="0" collapsed="false">
      <c r="A4" s="7" t="s">
        <v>388</v>
      </c>
      <c r="B4" s="7" t="s">
        <v>389</v>
      </c>
      <c r="C4" s="7" t="s">
        <v>75</v>
      </c>
      <c r="D4" s="58" t="n">
        <v>4950000</v>
      </c>
      <c r="E4" s="59" t="n">
        <v>4328</v>
      </c>
      <c r="F4" s="58" t="n">
        <v>1144</v>
      </c>
      <c r="G4" s="7" t="n">
        <v>2014</v>
      </c>
      <c r="H4" s="7" t="s">
        <v>390</v>
      </c>
      <c r="I4" s="7" t="s">
        <v>391</v>
      </c>
    </row>
    <row r="5" customFormat="false" ht="15" hidden="false" customHeight="false" outlineLevel="0" collapsed="false">
      <c r="A5" s="7" t="s">
        <v>388</v>
      </c>
      <c r="B5" s="7" t="s">
        <v>392</v>
      </c>
      <c r="C5" s="7" t="s">
        <v>75</v>
      </c>
      <c r="D5" s="58" t="n">
        <v>4750000</v>
      </c>
      <c r="E5" s="59" t="n">
        <v>4130</v>
      </c>
      <c r="F5" s="58" t="n">
        <v>1150</v>
      </c>
      <c r="G5" s="7" t="n">
        <v>2018</v>
      </c>
      <c r="H5" s="7" t="s">
        <v>390</v>
      </c>
      <c r="I5" s="7" t="s">
        <v>393</v>
      </c>
    </row>
    <row r="6" customFormat="false" ht="15" hidden="false" customHeight="false" outlineLevel="0" collapsed="false">
      <c r="A6" s="7" t="s">
        <v>394</v>
      </c>
      <c r="B6" s="7" t="s">
        <v>395</v>
      </c>
      <c r="C6" s="7" t="s">
        <v>70</v>
      </c>
      <c r="D6" s="58" t="n">
        <v>18000000</v>
      </c>
      <c r="E6" s="59" t="n">
        <v>9239</v>
      </c>
      <c r="F6" s="58" t="n">
        <v>1948</v>
      </c>
      <c r="G6" s="7" t="n">
        <v>2021</v>
      </c>
      <c r="H6" s="7" t="s">
        <v>396</v>
      </c>
      <c r="I6" s="7" t="s">
        <v>397</v>
      </c>
    </row>
    <row r="7" customFormat="false" ht="15" hidden="false" customHeight="false" outlineLevel="0" collapsed="false">
      <c r="A7" s="7" t="s">
        <v>398</v>
      </c>
      <c r="B7" s="7" t="s">
        <v>399</v>
      </c>
      <c r="C7" s="7" t="s">
        <v>79</v>
      </c>
      <c r="D7" s="58" t="n">
        <v>9200000</v>
      </c>
      <c r="E7" s="59" t="n">
        <v>4781</v>
      </c>
      <c r="F7" s="58" t="n">
        <v>1924</v>
      </c>
      <c r="G7" s="7" t="n">
        <v>2013</v>
      </c>
      <c r="H7" s="7" t="s">
        <v>390</v>
      </c>
      <c r="I7" s="7" t="s">
        <v>400</v>
      </c>
    </row>
    <row r="8" customFormat="false" ht="15" hidden="false" customHeight="false" outlineLevel="0" collapsed="false">
      <c r="A8" s="7" t="s">
        <v>401</v>
      </c>
      <c r="B8" s="7" t="s">
        <v>402</v>
      </c>
      <c r="C8" s="7" t="s">
        <v>403</v>
      </c>
      <c r="D8" s="58" t="n">
        <v>9735000</v>
      </c>
      <c r="E8" s="59" t="n">
        <v>6652</v>
      </c>
      <c r="F8" s="58" t="n">
        <v>1463</v>
      </c>
      <c r="G8" s="7" t="n">
        <v>2012</v>
      </c>
      <c r="H8" s="7" t="s">
        <v>396</v>
      </c>
      <c r="I8" s="7" t="s">
        <v>404</v>
      </c>
    </row>
    <row r="9" customFormat="false" ht="15" hidden="false" customHeight="false" outlineLevel="0" collapsed="false">
      <c r="A9" s="7" t="s">
        <v>405</v>
      </c>
      <c r="B9" s="7" t="s">
        <v>406</v>
      </c>
      <c r="C9" s="7" t="s">
        <v>202</v>
      </c>
      <c r="D9" s="58" t="n">
        <v>6600000</v>
      </c>
      <c r="E9" s="59" t="n">
        <v>7328</v>
      </c>
      <c r="F9" s="58" t="n">
        <v>901</v>
      </c>
      <c r="G9" s="7" t="n">
        <v>2020</v>
      </c>
      <c r="H9" s="7" t="s">
        <v>407</v>
      </c>
      <c r="I9" s="7" t="s">
        <v>408</v>
      </c>
    </row>
    <row r="10" customFormat="false" ht="15" hidden="false" customHeight="false" outlineLevel="0" collapsed="false">
      <c r="A10" s="7" t="s">
        <v>409</v>
      </c>
      <c r="B10" s="7" t="s">
        <v>410</v>
      </c>
      <c r="C10" s="7" t="s">
        <v>202</v>
      </c>
      <c r="D10" s="58" t="n">
        <v>5275000</v>
      </c>
      <c r="E10" s="59" t="n">
        <v>4036</v>
      </c>
      <c r="F10" s="58" t="n">
        <v>1307</v>
      </c>
      <c r="G10" s="7" t="n">
        <v>2016</v>
      </c>
      <c r="H10" s="7" t="s">
        <v>407</v>
      </c>
      <c r="I10" s="7" t="s">
        <v>411</v>
      </c>
    </row>
    <row r="11" customFormat="false" ht="15" hidden="false" customHeight="false" outlineLevel="0" collapsed="false">
      <c r="A11" s="7" t="s">
        <v>409</v>
      </c>
      <c r="B11" s="7" t="s">
        <v>412</v>
      </c>
      <c r="C11" s="7" t="s">
        <v>70</v>
      </c>
      <c r="D11" s="58" t="n">
        <v>17800000</v>
      </c>
      <c r="E11" s="59" t="n">
        <v>10293</v>
      </c>
      <c r="F11" s="58" t="n">
        <v>1729</v>
      </c>
      <c r="G11" s="7" t="n">
        <v>2025</v>
      </c>
      <c r="H11" s="7" t="s">
        <v>396</v>
      </c>
      <c r="I11" s="7" t="s">
        <v>413</v>
      </c>
    </row>
    <row r="12" customFormat="false" ht="15" hidden="false" customHeight="false" outlineLevel="0" collapsed="false">
      <c r="A12" s="7" t="s">
        <v>414</v>
      </c>
      <c r="B12" s="7" t="s">
        <v>415</v>
      </c>
      <c r="C12" s="7" t="s">
        <v>70</v>
      </c>
      <c r="D12" s="58" t="n">
        <v>18800000</v>
      </c>
      <c r="E12" s="59" t="n">
        <v>9351</v>
      </c>
      <c r="F12" s="58" t="n">
        <v>2010</v>
      </c>
      <c r="G12" s="7" t="n">
        <v>2021</v>
      </c>
      <c r="H12" s="7" t="s">
        <v>396</v>
      </c>
      <c r="I12" s="7" t="s">
        <v>416</v>
      </c>
    </row>
    <row r="13" customFormat="false" ht="15" hidden="false" customHeight="false" outlineLevel="0" collapsed="false">
      <c r="A13" s="7" t="s">
        <v>414</v>
      </c>
      <c r="B13" s="7" t="s">
        <v>417</v>
      </c>
      <c r="C13" s="7" t="s">
        <v>70</v>
      </c>
      <c r="D13" s="58" t="n">
        <v>13855000</v>
      </c>
      <c r="E13" s="59" t="n">
        <v>7848</v>
      </c>
      <c r="F13" s="58" t="n">
        <v>1765</v>
      </c>
      <c r="G13" s="7" t="n">
        <v>2022</v>
      </c>
      <c r="H13" s="7" t="s">
        <v>396</v>
      </c>
      <c r="I13" s="7" t="s">
        <v>418</v>
      </c>
    </row>
    <row r="14" customFormat="false" ht="15" hidden="false" customHeight="false" outlineLevel="0" collapsed="false">
      <c r="A14" s="7" t="s">
        <v>419</v>
      </c>
      <c r="B14" s="7" t="s">
        <v>420</v>
      </c>
      <c r="C14" s="7" t="s">
        <v>75</v>
      </c>
      <c r="D14" s="58" t="n">
        <v>5184420</v>
      </c>
      <c r="E14" s="59" t="n">
        <v>4551</v>
      </c>
      <c r="F14" s="58" t="n">
        <v>1139</v>
      </c>
      <c r="G14" s="7" t="n">
        <v>2020</v>
      </c>
      <c r="H14" s="7" t="s">
        <v>390</v>
      </c>
      <c r="I14" s="7" t="s">
        <v>421</v>
      </c>
    </row>
    <row r="15" customFormat="false" ht="15" hidden="false" customHeight="false" outlineLevel="0" collapsed="false">
      <c r="A15" s="7" t="s">
        <v>422</v>
      </c>
      <c r="B15" s="7" t="s">
        <v>423</v>
      </c>
      <c r="C15" s="7" t="s">
        <v>202</v>
      </c>
      <c r="D15" s="58" t="n">
        <v>3245000</v>
      </c>
      <c r="E15" s="59" t="n">
        <v>4494</v>
      </c>
      <c r="F15" s="58" t="n">
        <v>722</v>
      </c>
      <c r="G15" s="7" t="n">
        <v>2015</v>
      </c>
      <c r="H15" s="7" t="s">
        <v>396</v>
      </c>
      <c r="I15" s="7" t="s">
        <v>424</v>
      </c>
    </row>
    <row r="16" customFormat="false" ht="15" hidden="false" customHeight="false" outlineLevel="0" collapsed="false">
      <c r="A16" s="7" t="s">
        <v>425</v>
      </c>
      <c r="B16" s="7" t="s">
        <v>426</v>
      </c>
      <c r="C16" s="7" t="s">
        <v>117</v>
      </c>
      <c r="D16" s="58" t="n">
        <v>15315281</v>
      </c>
      <c r="E16" s="59" t="n">
        <v>5677</v>
      </c>
      <c r="F16" s="58" t="n">
        <v>2698</v>
      </c>
      <c r="G16" s="7" t="n">
        <v>2010</v>
      </c>
      <c r="H16" s="7" t="s">
        <v>390</v>
      </c>
      <c r="I16" s="7" t="s">
        <v>427</v>
      </c>
    </row>
    <row r="17" customFormat="false" ht="15" hidden="false" customHeight="false" outlineLevel="0" collapsed="false">
      <c r="A17" s="7" t="s">
        <v>428</v>
      </c>
      <c r="B17" s="7" t="s">
        <v>429</v>
      </c>
      <c r="C17" s="7" t="s">
        <v>117</v>
      </c>
      <c r="D17" s="58" t="n">
        <v>22610000</v>
      </c>
      <c r="E17" s="59" t="n">
        <v>9220</v>
      </c>
      <c r="F17" s="58" t="n">
        <v>2452</v>
      </c>
      <c r="G17" s="7" t="n">
        <v>2019</v>
      </c>
      <c r="H17" s="7" t="s">
        <v>390</v>
      </c>
      <c r="I17" s="7" t="s">
        <v>430</v>
      </c>
    </row>
    <row r="18" customFormat="false" ht="15" hidden="false" customHeight="false" outlineLevel="0" collapsed="false">
      <c r="A18" s="7" t="s">
        <v>431</v>
      </c>
      <c r="B18" s="7" t="s">
        <v>432</v>
      </c>
      <c r="C18" s="7" t="s">
        <v>70</v>
      </c>
      <c r="D18" s="58" t="n">
        <v>13044518</v>
      </c>
      <c r="E18" s="59" t="n">
        <v>6000</v>
      </c>
      <c r="F18" s="58" t="n">
        <v>2174</v>
      </c>
      <c r="G18" s="7" t="n">
        <v>2020</v>
      </c>
      <c r="H18" s="7" t="s">
        <v>396</v>
      </c>
      <c r="I18" s="7" t="s">
        <v>433</v>
      </c>
    </row>
    <row r="19" customFormat="false" ht="15" hidden="false" customHeight="false" outlineLevel="0" collapsed="false">
      <c r="A19" s="7" t="s">
        <v>434</v>
      </c>
      <c r="B19" s="7" t="s">
        <v>435</v>
      </c>
      <c r="C19" s="7" t="s">
        <v>70</v>
      </c>
      <c r="D19" s="58" t="n">
        <v>15814139</v>
      </c>
      <c r="E19" s="59" t="n">
        <v>10603</v>
      </c>
      <c r="F19" s="58" t="n">
        <v>1491</v>
      </c>
      <c r="G19" s="7" t="n">
        <v>2023</v>
      </c>
      <c r="H19" s="7" t="s">
        <v>396</v>
      </c>
      <c r="I19" s="7" t="s">
        <v>436</v>
      </c>
    </row>
    <row r="20" customFormat="false" ht="15" hidden="false" customHeight="false" outlineLevel="0" collapsed="false">
      <c r="A20" s="7" t="s">
        <v>437</v>
      </c>
      <c r="B20" s="7" t="s">
        <v>438</v>
      </c>
      <c r="C20" s="7" t="s">
        <v>70</v>
      </c>
      <c r="D20" s="58" t="n">
        <v>9400000</v>
      </c>
      <c r="E20" s="59" t="n">
        <v>6528</v>
      </c>
      <c r="F20" s="58" t="n">
        <v>1440</v>
      </c>
      <c r="G20" s="7" t="n">
        <v>2019</v>
      </c>
      <c r="H20" s="7" t="s">
        <v>396</v>
      </c>
      <c r="I20" s="7" t="s">
        <v>439</v>
      </c>
    </row>
    <row r="21" customFormat="false" ht="15" hidden="false" customHeight="false" outlineLevel="0" collapsed="false">
      <c r="A21" s="7" t="s">
        <v>440</v>
      </c>
      <c r="B21" s="7" t="s">
        <v>441</v>
      </c>
      <c r="C21" s="7" t="s">
        <v>126</v>
      </c>
      <c r="D21" s="58" t="n">
        <v>12550000</v>
      </c>
      <c r="E21" s="59" t="n">
        <v>4020</v>
      </c>
      <c r="F21" s="58" t="n">
        <v>3122</v>
      </c>
      <c r="G21" s="7" t="n">
        <v>2019</v>
      </c>
      <c r="H21" s="7" t="s">
        <v>396</v>
      </c>
      <c r="I21" s="7" t="s">
        <v>442</v>
      </c>
    </row>
    <row r="22" customFormat="false" ht="15" hidden="false" customHeight="false" outlineLevel="0" collapsed="false">
      <c r="A22" s="7" t="s">
        <v>443</v>
      </c>
      <c r="B22" s="7" t="s">
        <v>444</v>
      </c>
      <c r="C22" s="7" t="s">
        <v>70</v>
      </c>
      <c r="D22" s="58" t="n">
        <v>20000000</v>
      </c>
      <c r="E22" s="59" t="n">
        <v>8008</v>
      </c>
      <c r="F22" s="58" t="n">
        <v>2498</v>
      </c>
      <c r="G22" s="7" t="n">
        <v>2013</v>
      </c>
      <c r="H22" s="7" t="s">
        <v>396</v>
      </c>
      <c r="I22" s="7" t="s">
        <v>445</v>
      </c>
    </row>
    <row r="23" customFormat="false" ht="15" hidden="false" customHeight="false" outlineLevel="0" collapsed="false">
      <c r="A23" s="7" t="s">
        <v>446</v>
      </c>
      <c r="B23" s="7" t="s">
        <v>447</v>
      </c>
      <c r="C23" s="7" t="s">
        <v>79</v>
      </c>
      <c r="D23" s="58" t="n">
        <v>12650000</v>
      </c>
      <c r="E23" s="59" t="n">
        <v>8690</v>
      </c>
      <c r="F23" s="58" t="n">
        <v>1456</v>
      </c>
      <c r="G23" s="7" t="n">
        <v>2017</v>
      </c>
      <c r="H23" s="7" t="s">
        <v>390</v>
      </c>
      <c r="I23" s="7" t="s">
        <v>448</v>
      </c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</row>
    <row r="25" customFormat="false" ht="15" hidden="false" customHeight="false" outlineLevel="0" collapsed="false">
      <c r="A25" s="7" t="s">
        <v>449</v>
      </c>
      <c r="B25" s="7"/>
      <c r="C25" s="7"/>
      <c r="D25" s="7"/>
      <c r="E25" s="7"/>
      <c r="F25" s="7"/>
      <c r="G25" s="7"/>
      <c r="H25" s="7"/>
      <c r="I25" s="7"/>
    </row>
    <row r="26" customFormat="false" ht="15" hidden="false" customHeight="false" outlineLevel="0" collapsed="false">
      <c r="A26" s="60" t="s">
        <v>450</v>
      </c>
      <c r="B26" s="60" t="s">
        <v>49</v>
      </c>
      <c r="C26" s="60" t="s">
        <v>9</v>
      </c>
      <c r="D26" s="60" t="s">
        <v>451</v>
      </c>
      <c r="E26" s="60" t="s">
        <v>379</v>
      </c>
      <c r="F26" s="60" t="s">
        <v>380</v>
      </c>
      <c r="G26" s="60" t="s">
        <v>381</v>
      </c>
      <c r="H26" s="60" t="s">
        <v>452</v>
      </c>
      <c r="I26" s="60" t="s">
        <v>383</v>
      </c>
    </row>
    <row r="27" customFormat="false" ht="15" hidden="false" customHeight="false" outlineLevel="0" collapsed="false">
      <c r="A27" s="7" t="s">
        <v>453</v>
      </c>
      <c r="B27" s="7" t="s">
        <v>454</v>
      </c>
      <c r="C27" s="7" t="s">
        <v>455</v>
      </c>
      <c r="D27" s="58" t="n">
        <v>9990000</v>
      </c>
      <c r="E27" s="59" t="n">
        <v>6559</v>
      </c>
      <c r="F27" s="58" t="n">
        <v>1523</v>
      </c>
      <c r="G27" s="7" t="s">
        <v>456</v>
      </c>
      <c r="H27" s="7" t="s">
        <v>457</v>
      </c>
      <c r="I27" s="7" t="s">
        <v>458</v>
      </c>
    </row>
    <row r="28" customFormat="false" ht="15" hidden="false" customHeight="false" outlineLevel="0" collapsed="false">
      <c r="A28" s="7" t="s">
        <v>459</v>
      </c>
      <c r="B28" s="7" t="s">
        <v>460</v>
      </c>
      <c r="C28" s="7" t="s">
        <v>461</v>
      </c>
      <c r="D28" s="58" t="n">
        <v>4295000</v>
      </c>
      <c r="E28" s="59" t="n">
        <v>3097</v>
      </c>
      <c r="F28" s="58" t="n">
        <v>1387</v>
      </c>
      <c r="G28" s="7" t="s">
        <v>462</v>
      </c>
      <c r="H28" s="7" t="s">
        <v>463</v>
      </c>
      <c r="I28" s="7" t="s">
        <v>464</v>
      </c>
    </row>
    <row r="29" customFormat="false" ht="15" hidden="false" customHeight="false" outlineLevel="0" collapsed="false">
      <c r="A29" s="7"/>
      <c r="B29" s="7" t="s">
        <v>465</v>
      </c>
      <c r="C29" s="7" t="s">
        <v>461</v>
      </c>
      <c r="D29" s="58" t="n">
        <v>5495000</v>
      </c>
      <c r="E29" s="59" t="n">
        <v>3954</v>
      </c>
      <c r="F29" s="58" t="n">
        <v>1390</v>
      </c>
      <c r="G29" s="7" t="s">
        <v>462</v>
      </c>
      <c r="H29" s="7" t="s">
        <v>466</v>
      </c>
      <c r="I29" s="7" t="s">
        <v>464</v>
      </c>
    </row>
    <row r="30" customFormat="false" ht="15" hidden="false" customHeight="false" outlineLevel="0" collapsed="false">
      <c r="A30" s="7" t="s">
        <v>467</v>
      </c>
      <c r="B30" s="7" t="s">
        <v>468</v>
      </c>
      <c r="C30" s="7" t="s">
        <v>469</v>
      </c>
      <c r="D30" s="58" t="n">
        <v>4995000</v>
      </c>
      <c r="E30" s="59" t="n">
        <v>3667</v>
      </c>
      <c r="F30" s="58" t="n">
        <v>1362</v>
      </c>
      <c r="G30" s="7" t="s">
        <v>462</v>
      </c>
      <c r="H30" s="7" t="s">
        <v>463</v>
      </c>
      <c r="I30" s="7" t="s">
        <v>470</v>
      </c>
    </row>
    <row r="31" customFormat="false" ht="15" hidden="false" customHeight="false" outlineLevel="0" collapsed="false">
      <c r="A31" s="7" t="s">
        <v>471</v>
      </c>
      <c r="B31" s="7" t="s">
        <v>472</v>
      </c>
      <c r="C31" s="7" t="s">
        <v>473</v>
      </c>
      <c r="D31" s="58" t="n">
        <v>13995000</v>
      </c>
      <c r="E31" s="59" t="n">
        <v>6511</v>
      </c>
      <c r="F31" s="58" t="n">
        <v>2149</v>
      </c>
      <c r="G31" s="7" t="s">
        <v>462</v>
      </c>
      <c r="H31" s="7" t="s">
        <v>474</v>
      </c>
      <c r="I31" s="7" t="s">
        <v>464</v>
      </c>
    </row>
    <row r="32" customFormat="false" ht="15" hidden="false" customHeight="false" outlineLevel="0" collapsed="false">
      <c r="A32" s="7" t="s">
        <v>453</v>
      </c>
      <c r="B32" s="7" t="s">
        <v>475</v>
      </c>
      <c r="C32" s="7" t="s">
        <v>469</v>
      </c>
      <c r="D32" s="58" t="n">
        <v>5995000</v>
      </c>
      <c r="E32" s="59" t="n">
        <v>4315</v>
      </c>
      <c r="F32" s="58" t="n">
        <v>1389</v>
      </c>
      <c r="G32" s="7" t="s">
        <v>462</v>
      </c>
      <c r="H32" s="7" t="s">
        <v>476</v>
      </c>
      <c r="I32" s="7" t="s">
        <v>464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2026-10-02T17:58:43Z</dcterms:created>
  <dc:creator>openpyxl</dc:creator>
  <dc:description/>
  <dc:language>en-US</dc:language>
  <cp:lastModifiedBy/>
  <dcterms:modified xsi:type="dcterms:W3CDTF">2026-10-02T17:58:43Z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