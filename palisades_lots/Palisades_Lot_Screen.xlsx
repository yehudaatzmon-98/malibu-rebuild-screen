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Lots'!$A$2:$AL$131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<sst xmlns="http://schemas.openxmlformats.org/spreadsheetml/2006/main" count="921" uniqueCount="456">
  <si>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</si>
  <si>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</si>
  <si>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</si>
  <si>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</si>
  <si>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</si>
  <si>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</si>
  <si>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</si>
  <si>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</si>
  <si>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</si>
  <si>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</si>
  <si>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</si>
  <si>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</si>
  <si>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</si>
  <si>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</si>
  <si>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</si>
  <si>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</si>
  <si>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</si>
  <si>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</si>
  <si>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</si>
  <si>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</si>
  <si>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</si>
  <si>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</si>
  <si>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</si>
  <si>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</si>
  <si>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</si>
  <si>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</si>
  <si>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</si>
  <si>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</si>
  <si>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</si>
  <si>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</si>
  <si>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</si>
  <si>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</si>
  <si>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</si>
  <si>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</si>
  <si>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</si>
  <si>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</si>
  <si>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</si>
  <si>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</si>
  <si>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</si>
  <si>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</si>
  <si>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</si>
  <si>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</si>
  <si>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</si>
  <si>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</si>
  <si>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</si>
  <si>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</si>
  <si>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</si>
  <si>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</si>
  <si>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</si>
  <si>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</si>
  <si>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</si>
  <si>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</si>
  <si>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</si>
  <si>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</si>
  <si>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</si>
  <si>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</si>
  <si>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</si>
  <si>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</si>
  <si>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</si>
  <si>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</si>
  <si>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</si>
  <si>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</si>
  <si>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</si>
  <si>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</si>
  <si>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</si>
  <si>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</si>
  <si>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</si>
  <si>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</si>
  <si>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</si>
  <si>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</si>
  <si>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</si>
  <si>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</si>
  <si>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</si>
  <si>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</si>
  <si>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</si>
  <si>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</si>
  <si>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</si>
  <si>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</si>
  <si>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</si>
  <si>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</si>
  <si>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</si>
  <si>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</si>
  <si>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</si>
  <si>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</si>
  <si>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</si>
  <si>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</si>
  <si>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</si>
  <si>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</si>
  <si>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</si>
  <si>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</si>
  <si>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</si>
  <si>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</si>
  <si>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</si>
  <si>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</si>
  <si>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</si>
  <si>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</si>
  <si>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</si>
  <si>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16614 Pequeno Pl</t>
  </si>
  <si>
    <t xml:space="preserve">Marquez Knolls</t>
  </si>
  <si>
    <t xml:space="preserve">NEW 9/29; AUCTION listing (price may be a starting bid); seller has slope analysis + plans</t>
  </si>
  <si>
    <t xml:space="preserve">MK</t>
  </si>
  <si>
    <t xml:space="preserve">16503 Las Casas Pl</t>
  </si>
  <si>
    <t xml:space="preserve">16550 Akron St</t>
  </si>
  <si>
    <t xml:space="preserve">short sale</t>
  </si>
  <si>
    <t xml:space="preserve">719 Chapala Dr</t>
  </si>
  <si>
    <t xml:space="preserve">LADBS: plan check complete 9/10/26, 4,748 sf house + 346 sf ADU; HOA $366/yr</t>
  </si>
  <si>
    <t xml:space="preserve">871 Oreo Pl</t>
  </si>
  <si>
    <t xml:space="preserve">Upper Las Lomas / Las Pulgas</t>
  </si>
  <si>
    <t xml:space="preserve">LADBS: plan check approved 8/26/26, 4,389 sf (not advertised)</t>
  </si>
  <si>
    <t xml:space="preserve">UPS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</si>
  <si>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</si>
  <si>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</si>
  <si>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</si>
  <si>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</si>
  <si>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</si>
  <si>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</si>
  <si>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</si>
  <si>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</si>
  <si>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</si>
  <si>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</si>
  <si>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</si>
  <si>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</si>
  <si>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</si>
  <si>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</si>
  <si>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</si>
  <si>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</si>
  <si>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</si>
  <si>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</si>
  <si>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</si>
  <si>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</si>
  <si>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</si>
  <si>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</si>
  <si>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</si>
  <si>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</si>
  <si>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</si>
  <si>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</si>
  <si>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</si>
  <si>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</si>
  <si>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</si>
  <si>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</si>
  <si>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</si>
  <si>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</si>
  <si>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</si>
  <si>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</si>
  <si>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</si>
  <si>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LADBS: PERMIT ISSUED 3/12/26, 2,935 sf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</si>
  <si>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</si>
  <si>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</si>
  <si>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</si>
  <si>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</si>
  <si>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</si>
  <si>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</si>
  <si>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</si>
  <si>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</si>
  <si>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</si>
  <si>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</si>
  <si>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</si>
  <si>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</si>
  <si>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</si>
  <si>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</si>
  <si>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</si>
  <si>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</si>
  <si>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</si>
  <si>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</si>
  <si>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</si>
  <si>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519 Frontera Dr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</si>
  <si>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</si>
  <si>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</si>
  <si>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</si>
  <si>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</si>
  <si>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</si>
  <si>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</si>
  <si>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</si>
  <si>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</si>
  <si>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</si>
  <si>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</si>
  <si>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</si>
  <si>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</si>
  <si>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</si>
  <si>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</si>
  <si>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</si>
  <si>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</si>
  <si>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</si>
  <si>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</si>
  <si>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16742 Bollinger Dr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</si>
  <si>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</si>
  <si>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</si>
  <si>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</si>
  <si>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</si>
  <si>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</si>
  <si>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</si>
  <si>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</si>
  <si>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</si>
  <si>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</si>
  <si>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</si>
  <si>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</si>
  <si>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16957 Livorno Dr</t>
  </si>
  <si>
    <t xml:space="preserve">NEW 9/29; flat corner lot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</si>
  <si>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</si>
  <si>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</si>
  <si>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</si>
  <si>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</si>
  <si>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</si>
  <si>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</si>
  <si>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1228 Las Lomas Pl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</si>
  <si>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</si>
  <si>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</si>
  <si>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</si>
  <si>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</si>
  <si>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</si>
  <si>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</si>
  <si>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</si>
  <si>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</si>
  <si>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</si>
  <si>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</si>
  <si>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</si>
  <si>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</si>
  <si>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</si>
  <si>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</si>
  <si>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</si>
  <si>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</si>
  <si>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</si>
  <si>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</si>
  <si>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</si>
  <si>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</si>
  <si>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727 Chautauqua Blvd</t>
  </si>
  <si>
    <t xml:space="preserve">arterial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</si>
  <si>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</si>
  <si>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</si>
  <si>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</si>
  <si>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</si>
  <si>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</si>
  <si>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</si>
  <si>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</si>
  <si>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</si>
  <si>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</si>
  <si>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</si>
  <si>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</si>
  <si>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</si>
  <si>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</si>
  <si>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</si>
  <si>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</si>
  <si>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</si>
  <si>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15306 McKendree Ave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</si>
  <si>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</si>
  <si>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</si>
  <si>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</si>
  <si>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</si>
  <si>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</si>
  <si>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</si>
  <si>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</si>
  <si>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</si>
  <si>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</si>
  <si>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</si>
  <si>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</si>
  <si>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</si>
  <si>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</si>
  <si>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</si>
  <si>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</si>
  <si>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</si>
  <si>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</si>
  <si>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</si>
  <si>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</si>
  <si>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</si>
  <si>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15241 Via de las Olas</t>
  </si>
  <si>
    <t xml:space="preserve">bluff-front</t>
  </si>
  <si>
    <t xml:space="preserve">1588 Chastain Pkwy W</t>
  </si>
  <si>
    <t xml:space="preserve">The Summit</t>
  </si>
  <si>
    <t xml:space="preserve">LADBS: plan check approved 3/9/26, 4,184 sf</t>
  </si>
  <si>
    <t xml:space="preserve">SUMMIT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</si>
  <si>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</si>
  <si>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</si>
  <si>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</si>
  <si>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</si>
  <si>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</si>
  <si>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</si>
  <si>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</si>
  <si>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</si>
  <si>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</si>
  <si>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</si>
  <si>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</si>
  <si>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</si>
  <si>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</si>
  <si>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</si>
  <si>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</si>
  <si>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</si>
  <si>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</si>
  <si>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</si>
  <si>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</si>
  <si>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</si>
  <si>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</si>
  <si>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</si>
  <si>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</si>
  <si>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</si>
  <si>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</si>
  <si>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</si>
  <si>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</si>
  <si>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</si>
  <si>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</si>
  <si>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</si>
  <si>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</si>
  <si>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</si>
  <si>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</si>
  <si>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</si>
  <si>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</si>
  <si>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</si>
  <si>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</si>
  <si>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</si>
  <si>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</si>
  <si>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</si>
  <si>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</si>
  <si>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</si>
  <si>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</si>
  <si>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</si>
  <si>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</si>
  <si>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</si>
  <si>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</si>
  <si>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</si>
  <si>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</si>
  <si>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</si>
  <si>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</si>
  <si>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</si>
  <si>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</si>
  <si>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</si>
  <si>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</si>
  <si>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</si>
  <si>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</si>
  <si>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</si>
  <si>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</si>
  <si>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</si>
  <si>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</si>
  <si>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</si>
  <si>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</si>
  <si>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</si>
  <si>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</si>
  <si>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</si>
  <si>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</si>
  <si>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</si>
  <si>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</si>
  <si>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</si>
  <si>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</si>
  <si>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 (8 comps); 8 qualifying comps, median $1,860;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</si>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</sst>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"&amp;Assumptions!$B$27&amp;"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Lots'!$C$3:$C$131,MATCH("711 Chapala Dr",'All Lots'!$B$3:$B$131,0))</f>
        <v>Huntington</v>
      </c>
      <c r="C7" s="8" t="str">
        <f aca="false">INDEX('All Lots'!$C$3:$C$131,MATCH("611 Ocampo Dr",'All Lots'!$B$3:$B$131,0))</f>
        <v>Huntington</v>
      </c>
      <c r="D7" s="8" t="str">
        <f aca="false">INDEX('All Lots'!$C$3:$C$131,MATCH("16150 Northfield St",'All Lots'!$B$3:$B$131,0))</f>
        <v>Bluffs / El Medio</v>
      </c>
      <c r="E7" s="8" t="str">
        <f aca="false">INDEX('All Lots'!$C$3:$C$131,MATCH("14410 Villa Woods Pl",'All Lots'!$B$3:$B$131,0))</f>
        <v>Riviera</v>
      </c>
      <c r="F7" s="8" t="str">
        <f aca="false">INDEX('All Lots'!$C$3:$C$131,MATCH("909 Rivas Canyon Rd",'All Lots'!$B$3:$B$131,0))</f>
        <v>Riviera</v>
      </c>
      <c r="G7" s="8" t="str">
        <f aca="false">INDEX('All Lots'!$C$3:$C$131,MATCH("545 N Las Casas Ave",'All Lots'!$B$3:$B$131,0))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Lots'!$D$3:$D$131,MATCH("711 Chapala Dr",'All Lots'!$B$3:$B$131,0))</f>
        <v>4375000</v>
      </c>
      <c r="C8" s="9" t="n">
        <f aca="false">INDEX('All Lots'!$D$3:$D$131,MATCH("611 Ocampo Dr",'All Lots'!$B$3:$B$131,0))</f>
        <v>4495000</v>
      </c>
      <c r="D8" s="9" t="n">
        <f aca="false">INDEX('All Lots'!$D$3:$D$131,MATCH("16150 Northfield St",'All Lots'!$B$3:$B$131,0))</f>
        <v>1395000</v>
      </c>
      <c r="E8" s="9" t="n">
        <f aca="false">INDEX('All Lots'!$D$3:$D$131,MATCH("14410 Villa Woods Pl",'All Lots'!$B$3:$B$131,0))</f>
        <v>2795000</v>
      </c>
      <c r="F8" s="9" t="n">
        <f aca="false">INDEX('All Lots'!$D$3:$D$131,MATCH("909 Rivas Canyon Rd",'All Lots'!$B$3:$B$131,0))</f>
        <v>3750000</v>
      </c>
      <c r="G8" s="9" t="n">
        <f aca="false">INDEX('All Lots'!$D$3:$D$131,MATCH("545 N Las Casas Ave",'All Lots'!$B$3:$B$131,0))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Lots'!$E$3:$E$131,MATCH("711 Chapala Dr",'All Lots'!$B$3:$B$131,0))</f>
        <v>8008</v>
      </c>
      <c r="C9" s="10" t="n">
        <f aca="false">INDEX('All Lots'!$E$3:$E$131,MATCH("611 Ocampo Dr",'All Lots'!$B$3:$B$131,0))</f>
        <v>8205</v>
      </c>
      <c r="D9" s="10" t="n">
        <f aca="false">INDEX('All Lots'!$E$3:$E$131,MATCH("16150 Northfield St",'All Lots'!$B$3:$B$131,0))</f>
        <v>5556</v>
      </c>
      <c r="E9" s="10" t="n">
        <f aca="false">INDEX('All Lots'!$E$3:$E$131,MATCH("14410 Villa Woods Pl",'All Lots'!$B$3:$B$131,0))</f>
        <v>13724</v>
      </c>
      <c r="F9" s="10" t="n">
        <f aca="false">INDEX('All Lots'!$E$3:$E$131,MATCH("909 Rivas Canyon Rd",'All Lots'!$B$3:$B$131,0))</f>
        <v>18344</v>
      </c>
      <c r="G9" s="10" t="n">
        <f aca="false">INDEX('All Lots'!$E$3:$E$131,MATCH("545 N Las Casas Ave",'All Lots'!$B$3:$B$131,0))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Lots'!$H$3:$H$131,MATCH("711 Chapala Dr",'All Lots'!$B$3:$B$131,0))</f>
        <v>Yes</v>
      </c>
      <c r="C10" s="8" t="str">
        <f aca="false">INDEX('All Lots'!$H$3:$H$131,MATCH("611 Ocampo Dr",'All Lots'!$B$3:$B$131,0))</f>
        <v>Yes</v>
      </c>
      <c r="D10" s="8" t="str">
        <f aca="false">INDEX('All Lots'!$H$3:$H$131,MATCH("16150 Northfield St",'All Lots'!$B$3:$B$131,0))</f>
        <v>Yes</v>
      </c>
      <c r="E10" s="8" t="str">
        <f aca="false">INDEX('All Lots'!$H$3:$H$131,MATCH("14410 Villa Woods Pl",'All Lots'!$B$3:$B$131,0))</f>
        <v>No</v>
      </c>
      <c r="F10" s="8" t="str">
        <f aca="false">INDEX('All Lots'!$H$3:$H$131,MATCH("909 Rivas Canyon Rd",'All Lots'!$B$3:$B$131,0))</f>
        <v>No</v>
      </c>
      <c r="G10" s="8" t="str">
        <f aca="false">INDEX('All Lots'!$H$3:$H$131,MATCH("545 N Las Casas Ave",'All Lots'!$B$3:$B$131,0))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Lots'!$J$3:$J$131,MATCH("711 Chapala Dr",'All Lots'!$B$3:$B$131,0))</f>
        <v>7504</v>
      </c>
      <c r="C12" s="10" t="n">
        <f aca="false">INDEX('All Lots'!$J$3:$J$131,MATCH("611 Ocampo Dr",'All Lots'!$B$3:$B$131,0))</f>
        <v>7154</v>
      </c>
      <c r="D12" s="10" t="n">
        <f aca="false">INDEX('All Lots'!$J$3:$J$131,MATCH("16150 Northfield St",'All Lots'!$B$3:$B$131,0))</f>
        <v>4270</v>
      </c>
      <c r="E12" s="10" t="n">
        <f aca="false">INDEX('All Lots'!$J$3:$J$131,MATCH("14410 Villa Woods Pl",'All Lots'!$B$3:$B$131,0))</f>
        <v>5490</v>
      </c>
      <c r="F12" s="10" t="n">
        <f aca="false">INDEX('All Lots'!$J$3:$J$131,MATCH("909 Rivas Canyon Rd",'All Lots'!$B$3:$B$131,0))</f>
        <v>7338</v>
      </c>
      <c r="G12" s="10" t="n">
        <f aca="false">INDEX('All Lots'!$J$3:$J$131,MATCH("545 N Las Casas Ave",'All Lots'!$B$3:$B$131,0))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Lots'!$K$3:$K$131,MATCH("711 Chapala Dr",'All Lots'!$B$3:$B$131,0))</f>
        <v>Approved plans</v>
      </c>
      <c r="C13" s="8" t="str">
        <f aca="false">INDEX('All Lots'!$K$3:$K$131,MATCH("611 Ocampo Dr",'All Lots'!$B$3:$B$131,0))</f>
        <v>Approved plans</v>
      </c>
      <c r="D13" s="8" t="str">
        <f aca="false">INDEX('All Lots'!$K$3:$K$131,MATCH("16150 Northfield St",'All Lots'!$B$3:$B$131,0))</f>
        <v>Approved plans</v>
      </c>
      <c r="E13" s="8" t="str">
        <f aca="false">INDEX('All Lots'!$K$3:$K$131,MATCH("14410 Villa Woods Pl",'All Lots'!$B$3:$B$131,0))</f>
        <v>Zoning estimate</v>
      </c>
      <c r="F13" s="8" t="str">
        <f aca="false">INDEX('All Lots'!$K$3:$K$131,MATCH("909 Rivas Canyon Rd",'All Lots'!$B$3:$B$131,0))</f>
        <v>Zoning estimate</v>
      </c>
      <c r="G13" s="8" t="str">
        <f aca="false">INDEX('All Lots'!$K$3:$K$131,MATCH("545 N Las Casas Ave",'All Lots'!$B$3:$B$131,0))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Lots'!$M$3:$M$131,MATCH("711 Chapala Dr",'All Lots'!$B$3:$B$131,0))</f>
        <v>2035</v>
      </c>
      <c r="C14" s="13" t="n">
        <f aca="false">INDEX('All Lots'!$M$3:$M$131,MATCH("611 Ocampo Dr",'All Lots'!$B$3:$B$131,0))</f>
        <v>2035</v>
      </c>
      <c r="D14" s="13" t="n">
        <f aca="false">INDEX('All Lots'!$M$3:$M$131,MATCH("16150 Northfield St",'All Lots'!$B$3:$B$131,0))</f>
        <v>1540</v>
      </c>
      <c r="E14" s="13" t="n">
        <f aca="false">INDEX('All Lots'!$M$3:$M$131,MATCH("14410 Villa Woods Pl",'All Lots'!$B$3:$B$131,0))</f>
        <v>2046</v>
      </c>
      <c r="F14" s="13" t="n">
        <f aca="false">INDEX('All Lots'!$M$3:$M$131,MATCH("909 Rivas Canyon Rd",'All Lots'!$B$3:$B$131,0))</f>
        <v>2046</v>
      </c>
      <c r="G14" s="13" t="n">
        <f aca="false">INDEX('All Lots'!$M$3:$M$131,MATCH("545 N Las Casas Ave",'All Lots'!$B$3:$B$131,0))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Lots'!$N$3:$N$131,MATCH("711 Chapala Dr",'All Lots'!$B$3:$B$131,0))</f>
        <v>15270640</v>
      </c>
      <c r="C15" s="15" t="n">
        <f aca="false">INDEX('All Lots'!$N$3:$N$131,MATCH("611 Ocampo Dr",'All Lots'!$B$3:$B$131,0))</f>
        <v>14558390</v>
      </c>
      <c r="D15" s="15" t="n">
        <f aca="false">INDEX('All Lots'!$N$3:$N$131,MATCH("16150 Northfield St",'All Lots'!$B$3:$B$131,0))</f>
        <v>6575800</v>
      </c>
      <c r="E15" s="15" t="n">
        <f aca="false">INDEX('All Lots'!$N$3:$N$131,MATCH("14410 Villa Woods Pl",'All Lots'!$B$3:$B$131,0))</f>
        <v>11232540</v>
      </c>
      <c r="F15" s="15" t="n">
        <f aca="false">INDEX('All Lots'!$N$3:$N$131,MATCH("909 Rivas Canyon Rd",'All Lots'!$B$3:$B$131,0))</f>
        <v>15013548</v>
      </c>
      <c r="G15" s="15" t="n">
        <f aca="false">INDEX('All Lots'!$N$3:$N$131,MATCH("545 N Las Casas Ave",'All Lots'!$B$3:$B$131,0))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Lots'!$O$3:$O$131,MATCH("711 Chapala Dr",'All Lots'!$B$3:$B$131,0))</f>
        <v>4375000</v>
      </c>
      <c r="C17" s="9" t="n">
        <f aca="false">INDEX('All Lots'!$O$3:$O$131,MATCH("611 Ocampo Dr",'All Lots'!$B$3:$B$131,0))</f>
        <v>4495000</v>
      </c>
      <c r="D17" s="9" t="n">
        <f aca="false">INDEX('All Lots'!$O$3:$O$131,MATCH("16150 Northfield St",'All Lots'!$B$3:$B$131,0))</f>
        <v>1395000</v>
      </c>
      <c r="E17" s="9" t="n">
        <f aca="false">INDEX('All Lots'!$O$3:$O$131,MATCH("14410 Villa Woods Pl",'All Lots'!$B$3:$B$131,0))</f>
        <v>2795000</v>
      </c>
      <c r="F17" s="9" t="n">
        <f aca="false">INDEX('All Lots'!$O$3:$O$131,MATCH("909 Rivas Canyon Rd",'All Lots'!$B$3:$B$131,0))</f>
        <v>3750000</v>
      </c>
      <c r="G17" s="9" t="n">
        <f aca="false">INDEX('All Lots'!$O$3:$O$131,MATCH("545 N Las Casas Ave",'All Lots'!$B$3:$B$131,0))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Lots'!$P$3:$P$131,MATCH("711 Chapala Dr",'All Lots'!$B$3:$B$131,0))</f>
        <v>5252800</v>
      </c>
      <c r="C18" s="9" t="n">
        <f aca="false">INDEX('All Lots'!$P$3:$P$131,MATCH("611 Ocampo Dr",'All Lots'!$B$3:$B$131,0))</f>
        <v>5007800</v>
      </c>
      <c r="D18" s="9" t="n">
        <f aca="false">INDEX('All Lots'!$P$3:$P$131,MATCH("16150 Northfield St",'All Lots'!$B$3:$B$131,0))</f>
        <v>2989000</v>
      </c>
      <c r="E18" s="9" t="n">
        <f aca="false">INDEX('All Lots'!$P$3:$P$131,MATCH("14410 Villa Woods Pl",'All Lots'!$B$3:$B$131,0))</f>
        <v>3843000</v>
      </c>
      <c r="F18" s="9" t="n">
        <f aca="false">INDEX('All Lots'!$P$3:$P$131,MATCH("909 Rivas Canyon Rd",'All Lots'!$B$3:$B$131,0))</f>
        <v>5136600</v>
      </c>
      <c r="G18" s="9" t="n">
        <f aca="false">INDEX('All Lots'!$P$3:$P$131,MATCH("545 N Las Casas Ave",'All Lots'!$B$3:$B$131,0))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Lots'!$Q$3:$Q$131,MATCH("711 Chapala Dr",'All Lots'!$B$3:$B$131,0))</f>
        <v>218750</v>
      </c>
      <c r="C19" s="9" t="n">
        <f aca="false">INDEX('All Lots'!$Q$3:$Q$131,MATCH("611 Ocampo Dr",'All Lots'!$B$3:$B$131,0))</f>
        <v>224750</v>
      </c>
      <c r="D19" s="9" t="n">
        <f aca="false">INDEX('All Lots'!$Q$3:$Q$131,MATCH("16150 Northfield St",'All Lots'!$B$3:$B$131,0))</f>
        <v>69750</v>
      </c>
      <c r="E19" s="9" t="n">
        <f aca="false">INDEX('All Lots'!$Q$3:$Q$131,MATCH("14410 Villa Woods Pl",'All Lots'!$B$3:$B$131,0))</f>
        <v>411750</v>
      </c>
      <c r="F19" s="9" t="n">
        <f aca="false">INDEX('All Lots'!$Q$3:$Q$131,MATCH("909 Rivas Canyon Rd",'All Lots'!$B$3:$B$131,0))</f>
        <v>550350</v>
      </c>
      <c r="G19" s="9" t="n">
        <f aca="false">INDEX('All Lots'!$Q$3:$Q$131,MATCH("545 N Las Casas Ave",'All Lots'!$B$3:$B$131,0))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Lots'!$R$3:$R$131,MATCH("711 Chapala Dr",'All Lots'!$B$3:$B$131,0))</f>
        <v>864034.7625</v>
      </c>
      <c r="C20" s="9" t="n">
        <f aca="false">INDEX('All Lots'!$R$3:$R$131,MATCH("611 Ocampo Dr",'All Lots'!$B$3:$B$131,0))</f>
        <v>853592.5125</v>
      </c>
      <c r="D20" s="9" t="n">
        <f aca="false">INDEX('All Lots'!$R$3:$R$131,MATCH("16150 Northfield St",'All Lots'!$B$3:$B$131,0))</f>
        <v>390816.5625</v>
      </c>
      <c r="E20" s="9" t="n">
        <f aca="false">INDEX('All Lots'!$R$3:$R$131,MATCH("14410 Villa Woods Pl",'All Lots'!$B$3:$B$131,0))</f>
        <v>893555.8125</v>
      </c>
      <c r="F20" s="9" t="n">
        <f aca="false">INDEX('All Lots'!$R$3:$R$131,MATCH("909 Rivas Canyon Rd",'All Lots'!$B$3:$B$131,0))</f>
        <v>1196133.4125</v>
      </c>
      <c r="G20" s="9" t="n">
        <f aca="false">INDEX('All Lots'!$R$3:$R$131,MATCH("545 N Las Casas Ave",'All Lots'!$B$3:$B$131,0))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Lots'!$S$3:$S$131,MATCH("711 Chapala Dr",'All Lots'!$B$3:$B$131,0))</f>
        <v>105000</v>
      </c>
      <c r="C21" s="9" t="n">
        <f aca="false">INDEX('All Lots'!$S$3:$S$131,MATCH("611 Ocampo Dr",'All Lots'!$B$3:$B$131,0))</f>
        <v>107880</v>
      </c>
      <c r="D21" s="9" t="n">
        <f aca="false">INDEX('All Lots'!$S$3:$S$131,MATCH("16150 Northfield St",'All Lots'!$B$3:$B$131,0))</f>
        <v>33480</v>
      </c>
      <c r="E21" s="9" t="n">
        <f aca="false">INDEX('All Lots'!$S$3:$S$131,MATCH("14410 Villa Woods Pl",'All Lots'!$B$3:$B$131,0))</f>
        <v>100620</v>
      </c>
      <c r="F21" s="9" t="n">
        <f aca="false">INDEX('All Lots'!$S$3:$S$131,MATCH("909 Rivas Canyon Rd",'All Lots'!$B$3:$B$131,0))</f>
        <v>135000</v>
      </c>
      <c r="G21" s="9" t="n">
        <f aca="false">INDEX('All Lots'!$S$3:$S$131,MATCH("545 N Las Casas Ave",'All Lots'!$B$3:$B$131,0))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Lots'!$T$3:$T$131,MATCH("711 Chapala Dr",'All Lots'!$B$3:$B$131,0))</f>
        <v>849047.584</v>
      </c>
      <c r="C22" s="9" t="n">
        <f aca="false">INDEX('All Lots'!$T$3:$T$131,MATCH("611 Ocampo Dr",'All Lots'!$B$3:$B$131,0))</f>
        <v>809446.484</v>
      </c>
      <c r="D22" s="9" t="n">
        <f aca="false">INDEX('All Lots'!$T$3:$T$131,MATCH("16150 Northfield St",'All Lots'!$B$3:$B$131,0))</f>
        <v>365614.48</v>
      </c>
      <c r="E22" s="9" t="n">
        <f aca="false">INDEX('All Lots'!$T$3:$T$131,MATCH("14410 Villa Woods Pl",'All Lots'!$B$3:$B$131,0))</f>
        <v>624529.224</v>
      </c>
      <c r="F22" s="9" t="n">
        <f aca="false">INDEX('All Lots'!$T$3:$T$131,MATCH("909 Rivas Canyon Rd",'All Lots'!$B$3:$B$131,0))</f>
        <v>834753.2688</v>
      </c>
      <c r="G22" s="9" t="n">
        <f aca="false">INDEX('All Lots'!$T$3:$T$131,MATCH("545 N Las Casas Ave",'All Lots'!$B$3:$B$131,0))</f>
        <v>283843.56</v>
      </c>
    </row>
    <row r="23" customFormat="false" ht="15" hidden="false" customHeight="false" outlineLevel="0" collapsed="false">
      <c r="A23" s="7" t="s">
        <v>25</v>
      </c>
      <c r="B23" s="9" t="n">
        <f aca="false">INDEX('All Lots'!$U$3:$U$131,MATCH("711 Chapala Dr",'All Lots'!$B$3:$B$131,0))</f>
        <v>839885.2</v>
      </c>
      <c r="C23" s="9" t="n">
        <f aca="false">INDEX('All Lots'!$U$3:$U$131,MATCH("611 Ocampo Dr",'All Lots'!$B$3:$B$131,0))</f>
        <v>800711.45</v>
      </c>
      <c r="D23" s="9" t="n">
        <f aca="false">INDEX('All Lots'!$U$3:$U$131,MATCH("16150 Northfield St",'All Lots'!$B$3:$B$131,0))</f>
        <v>263032</v>
      </c>
      <c r="E23" s="9" t="n">
        <f aca="false">INDEX('All Lots'!$U$3:$U$131,MATCH("14410 Villa Woods Pl",'All Lots'!$B$3:$B$131,0))</f>
        <v>617789.7</v>
      </c>
      <c r="F23" s="9" t="n">
        <f aca="false">INDEX('All Lots'!$U$3:$U$131,MATCH("909 Rivas Canyon Rd",'All Lots'!$B$3:$B$131,0))</f>
        <v>825745.14</v>
      </c>
      <c r="G23" s="9" t="n">
        <f aca="false">INDEX('All Lots'!$U$3:$U$131,MATCH("545 N Las Casas Ave",'All Lots'!$B$3:$B$131,0))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Lots'!$V$3:$V$131,MATCH("711 Chapala Dr",'All Lots'!$B$3:$B$131,0))</f>
        <v>12504517.5465</v>
      </c>
      <c r="C24" s="19" t="n">
        <f aca="false">INDEX('All Lots'!$V$3:$V$131,MATCH("611 Ocampo Dr",'All Lots'!$B$3:$B$131,0))</f>
        <v>12299180.4465</v>
      </c>
      <c r="D24" s="19" t="n">
        <f aca="false">INDEX('All Lots'!$V$3:$V$131,MATCH("16150 Northfield St",'All Lots'!$B$3:$B$131,0))</f>
        <v>5506693.0425</v>
      </c>
      <c r="E24" s="19" t="n">
        <f aca="false">INDEX('All Lots'!$V$3:$V$131,MATCH("14410 Villa Woods Pl",'All Lots'!$B$3:$B$131,0))</f>
        <v>9286244.7365</v>
      </c>
      <c r="F24" s="19" t="n">
        <f aca="false">INDEX('All Lots'!$V$3:$V$131,MATCH("909 Rivas Canyon Rd",'All Lots'!$B$3:$B$131,0))</f>
        <v>12428581.8213</v>
      </c>
      <c r="G24" s="19" t="n">
        <f aca="false">INDEX('All Lots'!$V$3:$V$131,MATCH("545 N Las Casas Ave",'All Lots'!$B$3:$B$131,0))</f>
        <v>4184600.52875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Lots'!$W$3:$W$131,MATCH("711 Chapala Dr",'All Lots'!$B$3:$B$131,0))</f>
        <v>2766122.4535</v>
      </c>
      <c r="C26" s="19" t="n">
        <f aca="false">INDEX('All Lots'!$W$3:$W$131,MATCH("611 Ocampo Dr",'All Lots'!$B$3:$B$131,0))</f>
        <v>2259209.5535</v>
      </c>
      <c r="D26" s="19" t="n">
        <f aca="false">INDEX('All Lots'!$W$3:$W$131,MATCH("16150 Northfield St",'All Lots'!$B$3:$B$131,0))</f>
        <v>1069106.9575</v>
      </c>
      <c r="E26" s="19" t="n">
        <f aca="false">INDEX('All Lots'!$W$3:$W$131,MATCH("14410 Villa Woods Pl",'All Lots'!$B$3:$B$131,0))</f>
        <v>1946295.2635</v>
      </c>
      <c r="F26" s="19" t="n">
        <f aca="false">INDEX('All Lots'!$W$3:$W$131,MATCH("909 Rivas Canyon Rd",'All Lots'!$B$3:$B$131,0))</f>
        <v>2584966.1787</v>
      </c>
      <c r="G26" s="19" t="n">
        <f aca="false">INDEX('All Lots'!$W$3:$W$131,MATCH("545 N Las Casas Ave",'All Lots'!$B$3:$B$131,0))</f>
        <v>920499.471250001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Lots'!$X$3:$X$131,MATCH("711 Chapala Dr",'All Lots'!$B$3:$B$131,0))</f>
        <v>0.221209850217231</v>
      </c>
      <c r="C27" s="22" t="n">
        <f aca="false">INDEX('All Lots'!$X$3:$X$131,MATCH("611 Ocampo Dr",'All Lots'!$B$3:$B$131,0))</f>
        <v>0.183687812641444</v>
      </c>
      <c r="D27" s="22" t="n">
        <f aca="false">INDEX('All Lots'!$X$3:$X$131,MATCH("16150 Northfield St",'All Lots'!$B$3:$B$131,0))</f>
        <v>0.194146822648141</v>
      </c>
      <c r="E27" s="22" t="n">
        <f aca="false">INDEX('All Lots'!$X$3:$X$131,MATCH("14410 Villa Woods Pl",'All Lots'!$B$3:$B$131,0))</f>
        <v>0.209589055503782</v>
      </c>
      <c r="F27" s="22" t="n">
        <f aca="false">INDEX('All Lots'!$X$3:$X$131,MATCH("909 Rivas Canyon Rd",'All Lots'!$B$3:$B$131,0))</f>
        <v>0.207985610576253</v>
      </c>
      <c r="G27" s="22" t="n">
        <f aca="false">INDEX('All Lots'!$X$3:$X$131,MATCH("545 N Las Casas Ave",'All Lots'!$B$3:$B$131,0))</f>
        <v>0.2199730810446</v>
      </c>
    </row>
    <row r="28" customFormat="false" ht="15" hidden="false" customHeight="false" outlineLevel="0" collapsed="false">
      <c r="A28" s="7" t="s">
        <v>30</v>
      </c>
      <c r="B28" s="9" t="n">
        <f aca="false">INDEX('All Lots'!$Y$3:$Y$131,MATCH("711 Chapala Dr",'All Lots'!$B$3:$B$131,0))</f>
        <v>5038986.74667812</v>
      </c>
      <c r="C28" s="9" t="n">
        <f aca="false">INDEX('All Lots'!$Y$3:$Y$131,MATCH("611 Ocampo Dr",'All Lots'!$B$3:$B$131,0))</f>
        <v>4803959.37976216</v>
      </c>
      <c r="D28" s="9" t="n">
        <f aca="false">INDEX('All Lots'!$Y$3:$Y$131,MATCH("16150 Northfield St",'All Lots'!$B$3:$B$131,0))</f>
        <v>1576277.00551757</v>
      </c>
      <c r="E28" s="9" t="n">
        <f aca="false">INDEX('All Lots'!$Y$3:$Y$131,MATCH("14410 Villa Woods Pl",'All Lots'!$B$3:$B$131,0))</f>
        <v>3208830.4454582</v>
      </c>
      <c r="F28" s="9" t="n">
        <f aca="false">INDEX('All Lots'!$Y$3:$Y$131,MATCH("909 Rivas Canyon Rd",'All Lots'!$B$3:$B$131,0))</f>
        <v>4288961.34950315</v>
      </c>
      <c r="G28" s="9" t="n">
        <f aca="false">INDEX('All Lots'!$Y$3:$Y$131,MATCH("545 N Las Casas Ave",'All Lots'!$B$3:$B$131,0))</f>
        <v>1224023.48779343</v>
      </c>
    </row>
    <row r="29" customFormat="false" ht="15" hidden="false" customHeight="false" outlineLevel="0" collapsed="false">
      <c r="A29" s="7" t="s">
        <v>31</v>
      </c>
      <c r="B29" s="23" t="n">
        <f aca="false">INDEX('All Lots'!$Z$3:$Z$131,MATCH("711 Chapala Dr",'All Lots'!$B$3:$B$131,0))</f>
        <v>0.868230106555482</v>
      </c>
      <c r="C29" s="23" t="n">
        <f aca="false">INDEX('All Lots'!$Z$3:$Z$131,MATCH("611 Ocampo Dr",'All Lots'!$B$3:$B$131,0))</f>
        <v>0.93568651286609</v>
      </c>
      <c r="D29" s="23" t="n">
        <f aca="false">INDEX('All Lots'!$Z$3:$Z$131,MATCH("16150 Northfield St",'All Lots'!$B$3:$B$131,0))</f>
        <v>0.884996732881957</v>
      </c>
      <c r="E29" s="23" t="n">
        <f aca="false">INDEX('All Lots'!$Z$3:$Z$131,MATCH("14410 Villa Woods Pl",'All Lots'!$B$3:$B$131,0))</f>
        <v>0.87103386966303</v>
      </c>
      <c r="F29" s="23" t="n">
        <f aca="false">INDEX('All Lots'!$Z$3:$Z$131,MATCH("909 Rivas Canyon Rd",'All Lots'!$B$3:$B$131,0))</f>
        <v>0.874337559706481</v>
      </c>
      <c r="G29" s="23" t="n">
        <f aca="false">INDEX('All Lots'!$Z$3:$Z$131,MATCH("545 N Las Casas Ave",'All Lots'!$B$3:$B$131,0))</f>
        <v>0.812892897826416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Lots'!$AA$3:$AA$131,MATCH("711 Chapala Dr",'All Lots'!$B$3:$B$131,0))</f>
        <v>1850</v>
      </c>
      <c r="C31" s="13" t="n">
        <f aca="false">INDEX('All Lots'!$AA$3:$AA$131,MATCH("611 Ocampo Dr",'All Lots'!$B$3:$B$131,0))</f>
        <v>1850</v>
      </c>
      <c r="D31" s="13" t="n">
        <f aca="false">INDEX('All Lots'!$AA$3:$AA$131,MATCH("16150 Northfield St",'All Lots'!$B$3:$B$131,0))</f>
        <v>1400</v>
      </c>
      <c r="E31" s="13" t="n">
        <f aca="false">INDEX('All Lots'!$AA$3:$AA$131,MATCH("14410 Villa Woods Pl",'All Lots'!$B$3:$B$131,0))</f>
        <v>1860</v>
      </c>
      <c r="F31" s="13" t="n">
        <f aca="false">INDEX('All Lots'!$AA$3:$AA$131,MATCH("909 Rivas Canyon Rd",'All Lots'!$B$3:$B$131,0))</f>
        <v>1860</v>
      </c>
      <c r="G31" s="13" t="n">
        <f aca="false">INDEX('All Lots'!$AA$3:$AA$131,MATCH("545 N Las Casas Ave",'All Lots'!$B$3:$B$131,0))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Lots'!$AB$3:$AB$131,MATCH("711 Chapala Dr",'All Lots'!$B$3:$B$131,0))</f>
        <v>1531421.7975</v>
      </c>
      <c r="C32" s="15" t="n">
        <f aca="false">INDEX('All Lots'!$AB$3:$AB$131,MATCH("611 Ocampo Dr",'All Lots'!$B$3:$B$131,0))</f>
        <v>1082097.5475</v>
      </c>
      <c r="D32" s="15" t="n">
        <f aca="false">INDEX('All Lots'!$AB$3:$AB$131,MATCH("16150 Northfield St",'All Lots'!$B$3:$B$131,0))</f>
        <v>528456.6375</v>
      </c>
      <c r="E32" s="15" t="n">
        <f aca="false">INDEX('All Lots'!$AB$3:$AB$131,MATCH("14410 Villa Woods Pl",'All Lots'!$B$3:$B$131,0))</f>
        <v>1191264.3475</v>
      </c>
      <c r="F32" s="15" t="n">
        <f aca="false">INDEX('All Lots'!$AB$3:$AB$131,MATCH("909 Rivas Canyon Rd",'All Lots'!$B$3:$B$131,0))</f>
        <v>1371052.5795</v>
      </c>
      <c r="G32" s="15" t="n">
        <f aca="false">INDEX('All Lots'!$AB$3:$AB$131,MATCH("545 N Las Casas Ave",'All Lots'!$B$3:$B$131,0))</f>
        <v>482203.43125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Lots'!$AC$3:$AC$131,MATCH("711 Chapala Dr",'All Lots'!$B$3:$B$131,0))</f>
        <v>2035</v>
      </c>
      <c r="C33" s="13" t="n">
        <f aca="false">INDEX('All Lots'!$AC$3:$AC$131,MATCH("611 Ocampo Dr",'All Lots'!$B$3:$B$131,0))</f>
        <v>2035</v>
      </c>
      <c r="D33" s="13" t="n">
        <f aca="false">INDEX('All Lots'!$AC$3:$AC$131,MATCH("16150 Northfield St",'All Lots'!$B$3:$B$131,0))</f>
        <v>1540</v>
      </c>
      <c r="E33" s="13" t="n">
        <f aca="false">INDEX('All Lots'!$AC$3:$AC$131,MATCH("14410 Villa Woods Pl",'All Lots'!$B$3:$B$131,0))</f>
        <v>2046</v>
      </c>
      <c r="F33" s="13" t="n">
        <f aca="false">INDEX('All Lots'!$AC$3:$AC$131,MATCH("909 Rivas Canyon Rd",'All Lots'!$B$3:$B$131,0))</f>
        <v>2046</v>
      </c>
      <c r="G33" s="13" t="n">
        <f aca="false">INDEX('All Lots'!$AC$3:$AC$131,MATCH("545 N Las Casas Ave",'All Lots'!$B$3:$B$131,0))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Lots'!$AD$3:$AD$131,MATCH("711 Chapala Dr",'All Lots'!$B$3:$B$131,0))</f>
        <v>2766122.4535</v>
      </c>
      <c r="C34" s="15" t="n">
        <f aca="false">INDEX('All Lots'!$AD$3:$AD$131,MATCH("611 Ocampo Dr",'All Lots'!$B$3:$B$131,0))</f>
        <v>2259209.5535</v>
      </c>
      <c r="D34" s="15" t="n">
        <f aca="false">INDEX('All Lots'!$AD$3:$AD$131,MATCH("16150 Northfield St",'All Lots'!$B$3:$B$131,0))</f>
        <v>1069106.9575</v>
      </c>
      <c r="E34" s="15" t="n">
        <f aca="false">INDEX('All Lots'!$AD$3:$AD$131,MATCH("14410 Villa Woods Pl",'All Lots'!$B$3:$B$131,0))</f>
        <v>1946295.2635</v>
      </c>
      <c r="F34" s="15" t="n">
        <f aca="false">INDEX('All Lots'!$AD$3:$AD$131,MATCH("909 Rivas Canyon Rd",'All Lots'!$B$3:$B$131,0))</f>
        <v>2584966.1787</v>
      </c>
      <c r="G34" s="15" t="n">
        <f aca="false">INDEX('All Lots'!$AD$3:$AD$131,MATCH("545 N Las Casas Ave",'All Lots'!$B$3:$B$131,0))</f>
        <v>920499.471250001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Lots'!$AE$3:$AE$131,MATCH("711 Chapala Dr",'All Lots'!$B$3:$B$131,0))</f>
        <v>2220</v>
      </c>
      <c r="C35" s="13" t="n">
        <f aca="false">INDEX('All Lots'!$AE$3:$AE$131,MATCH("611 Ocampo Dr",'All Lots'!$B$3:$B$131,0))</f>
        <v>2220</v>
      </c>
      <c r="D35" s="13" t="n">
        <f aca="false">INDEX('All Lots'!$AE$3:$AE$131,MATCH("16150 Northfield St",'All Lots'!$B$3:$B$131,0))</f>
        <v>1680</v>
      </c>
      <c r="E35" s="13" t="n">
        <f aca="false">INDEX('All Lots'!$AE$3:$AE$131,MATCH("14410 Villa Woods Pl",'All Lots'!$B$3:$B$131,0))</f>
        <v>2232</v>
      </c>
      <c r="F35" s="13" t="n">
        <f aca="false">INDEX('All Lots'!$AE$3:$AE$131,MATCH("909 Rivas Canyon Rd",'All Lots'!$B$3:$B$131,0))</f>
        <v>2232</v>
      </c>
      <c r="G35" s="13" t="n">
        <f aca="false">INDEX('All Lots'!$AE$3:$AE$131,MATCH("545 N Las Casas Ave",'All Lots'!$B$3:$B$131,0))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Lots'!$AF$3:$AF$131,MATCH("711 Chapala Dr",'All Lots'!$B$3:$B$131,0))</f>
        <v>4000823.1095</v>
      </c>
      <c r="C36" s="15" t="n">
        <f aca="false">INDEX('All Lots'!$AF$3:$AF$131,MATCH("611 Ocampo Dr",'All Lots'!$B$3:$B$131,0))</f>
        <v>3436321.5595</v>
      </c>
      <c r="D36" s="15" t="n">
        <f aca="false">INDEX('All Lots'!$AF$3:$AF$131,MATCH("16150 Northfield St",'All Lots'!$B$3:$B$131,0))</f>
        <v>1609757.2775</v>
      </c>
      <c r="E36" s="15" t="n">
        <f aca="false">INDEX('All Lots'!$AF$3:$AF$131,MATCH("14410 Villa Woods Pl",'All Lots'!$B$3:$B$131,0))</f>
        <v>2854497.1795</v>
      </c>
      <c r="F36" s="15" t="n">
        <f aca="false">INDEX('All Lots'!$AF$3:$AF$131,MATCH("909 Rivas Canyon Rd",'All Lots'!$B$3:$B$131,0))</f>
        <v>3798879.7779</v>
      </c>
      <c r="G36" s="15" t="n">
        <f aca="false">INDEX('All Lots'!$AF$3:$AF$131,MATCH("545 N Las Casas Ave",'All Lots'!$B$3:$B$131,0))</f>
        <v>1136027.51125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40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7" min="14" style="0" width="13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1" min="20" style="0" width="12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9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0"/>
    <col collapsed="false" customWidth="true" hidden="false" outlineLevel="0" max="28" min="28" style="0" width="12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1" max="33" min="33" style="0" width="8"/>
    <col collapsed="false" customWidth="true" hidden="false" outlineLevel="1" max="35" min="34" style="0" width="9"/>
    <col collapsed="false" customWidth="true" hidden="false" outlineLevel="1" max="38" min="36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9" t="s">
        <v>45</v>
      </c>
      <c r="K1" s="29"/>
      <c r="L1" s="29"/>
      <c r="M1" s="29"/>
      <c r="N1" s="29"/>
      <c r="O1" s="30" t="s">
        <v>18</v>
      </c>
      <c r="P1" s="30"/>
      <c r="Q1" s="30"/>
      <c r="R1" s="30"/>
      <c r="S1" s="30"/>
      <c r="T1" s="30"/>
      <c r="U1" s="30"/>
      <c r="V1" s="30"/>
      <c r="W1" s="31" t="s">
        <v>46</v>
      </c>
      <c r="X1" s="31"/>
      <c r="Y1" s="31"/>
      <c r="Z1" s="31"/>
      <c r="AA1" s="32" t="s">
        <v>32</v>
      </c>
      <c r="AB1" s="32"/>
      <c r="AC1" s="32"/>
      <c r="AD1" s="32"/>
      <c r="AE1" s="32"/>
      <c r="AF1" s="32"/>
      <c r="AG1" s="33" t="s">
        <v>47</v>
      </c>
      <c r="AH1" s="33"/>
      <c r="AI1" s="33"/>
      <c r="AJ1" s="33"/>
      <c r="AK1" s="33"/>
      <c r="AL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5" t="s">
        <v>14</v>
      </c>
      <c r="K2" s="35" t="s">
        <v>15</v>
      </c>
      <c r="L2" s="35" t="s">
        <v>53</v>
      </c>
      <c r="M2" s="35" t="s">
        <v>16</v>
      </c>
      <c r="N2" s="35" t="s">
        <v>54</v>
      </c>
      <c r="O2" s="36" t="s">
        <v>19</v>
      </c>
      <c r="P2" s="36" t="s">
        <v>20</v>
      </c>
      <c r="Q2" s="36" t="s">
        <v>21</v>
      </c>
      <c r="R2" s="36" t="s">
        <v>22</v>
      </c>
      <c r="S2" s="36" t="s">
        <v>23</v>
      </c>
      <c r="T2" s="36" t="s">
        <v>24</v>
      </c>
      <c r="U2" s="36" t="s">
        <v>25</v>
      </c>
      <c r="V2" s="36" t="s">
        <v>55</v>
      </c>
      <c r="W2" s="37" t="s">
        <v>28</v>
      </c>
      <c r="X2" s="37" t="s">
        <v>29</v>
      </c>
      <c r="Y2" s="37" t="s">
        <v>30</v>
      </c>
      <c r="Z2" s="37" t="s">
        <v>31</v>
      </c>
      <c r="AA2" s="38" t="s">
        <v>56</v>
      </c>
      <c r="AB2" s="38" t="s">
        <v>34</v>
      </c>
      <c r="AC2" s="38" t="s">
        <v>57</v>
      </c>
      <c r="AD2" s="38" t="s">
        <v>36</v>
      </c>
      <c r="AE2" s="38" t="s">
        <v>58</v>
      </c>
      <c r="AF2" s="38" t="s">
        <v>38</v>
      </c>
      <c r="AG2" s="39" t="s">
        <v>59</v>
      </c>
      <c r="AH2" s="39" t="s">
        <v>60</v>
      </c>
      <c r="AI2" s="39" t="s">
        <v>61</v>
      </c>
      <c r="AJ2" s="39" t="s">
        <v>62</v>
      </c>
      <c r="AK2" s="39" t="s">
        <v>63</v>
      </c>
      <c r="AL2" s="39" t="s">
        <v>64</v>
      </c>
    </row>
    <row r="3" customFormat="false" ht="15" hidden="false" customHeight="false" outlineLevel="0" collapsed="false">
      <c r="A3" s="40" t="n">
        <v>1</v>
      </c>
      <c r="B3" s="40" t="s">
        <v>65</v>
      </c>
      <c r="C3" s="40" t="s">
        <v>66</v>
      </c>
      <c r="D3" s="41" t="n">
        <v>1099000</v>
      </c>
      <c r="E3" s="42" t="n">
        <v>7006</v>
      </c>
      <c r="F3" s="42" t="n">
        <v>2163</v>
      </c>
      <c r="G3" s="42"/>
      <c r="H3" s="43" t="s">
        <v>67</v>
      </c>
      <c r="I3" s="44" t="s">
        <v>68</v>
      </c>
      <c r="J3" s="45" t="n">
        <f aca="false">IF(AK3&gt;AJ3,AI3,AH3)</f>
        <v>2802</v>
      </c>
      <c r="K3" s="40" t="str">
        <f aca="false">IF(AK3&gt;AJ3,"Zoning estimate",IF(H3="Yes","Approved plans",IF(G3&gt;0,"Listing claim","110% old house")))</f>
        <v>Zoning estimate</v>
      </c>
      <c r="L3" s="45" t="n">
        <f aca="false">IF(AK3&gt;AJ3,IF(AI3&gt;AH3,Assumptions!$B$22,Assumptions!$B$21),Assumptions!$B$21)</f>
        <v>3</v>
      </c>
      <c r="M3" s="46" t="n">
        <f aca="false">INDEX(Assumptions!$B$32:$B$44,MATCH(AG3,Assumptions!$A$32:$A$44,0))*(1+IF(UPPER(Assumptions!$B$27)="WORST",Assumptions!$B$24,IF(UPPER(Assumptions!$B$27)="BEST",Assumptions!$B$26,Assumptions!$B$25)))</f>
        <v>2046</v>
      </c>
      <c r="N3" s="47" t="n">
        <f aca="false">J3*M3</f>
        <v>5732892</v>
      </c>
      <c r="O3" s="47" t="n">
        <f aca="false">D3</f>
        <v>1099000</v>
      </c>
      <c r="P3" s="47" t="n">
        <f aca="false">J3*Assumptions!$B$4</f>
        <v>1961400</v>
      </c>
      <c r="Q3" s="47" t="n">
        <f aca="false">IF(H3="Yes",Assumptions!$B$6*(D3),(J3)*Assumptions!$B$5)</f>
        <v>210150</v>
      </c>
      <c r="R3" s="47" t="n">
        <f aca="false">AL3*(Assumptions!$B$8*L3*Assumptions!$B$9+Assumptions!$B$10)</f>
        <v>414542.2125</v>
      </c>
      <c r="S3" s="47" t="n">
        <f aca="false">O3*Assumptions!$B$11*L3</f>
        <v>39564</v>
      </c>
      <c r="T3" s="47" t="n">
        <f aca="false">N3*(Assumptions!$B$12+Assumptions!$B$13)</f>
        <v>318748.7952</v>
      </c>
      <c r="U3" s="47" t="n">
        <f aca="false">N3*IF(N3&gt;=Assumptions!$B$16,Assumptions!$B$17,IF(N3&gt;=Assumptions!$B$14,Assumptions!$B$15,0))</f>
        <v>229315.68</v>
      </c>
      <c r="V3" s="48" t="n">
        <f aca="false">SUM(O3:U3)</f>
        <v>4272720.6877</v>
      </c>
      <c r="W3" s="48" t="n">
        <f aca="false">N3-V3</f>
        <v>1460171.3123</v>
      </c>
      <c r="X3" s="49" t="n">
        <f aca="false">IF(V3=0,0,W3/V3)</f>
        <v>0.341742748713586</v>
      </c>
      <c r="Y3" s="47" t="n">
        <f aca="false">MAX(0,(N3/(1+Assumptions!$B$23)-(J3*(Assumptions!$B$4+IF(H3="Yes",0,Assumptions!$B$5)))*(1+(Assumptions!$B$7*(Assumptions!$B$8*L3*Assumptions!$B$9+Assumptions!$B$10)))-N3*(Assumptions!$B$12+Assumptions!$B$13+IF(N3&gt;=Assumptions!$B$16,Assumptions!$B$17,IF(N3&gt;=Assumptions!$B$14,Assumptions!$B$15,0))))/((1+IF(H3="Yes",Assumptions!$B$6,0))*(1+(Assumptions!$B$7*(Assumptions!$B$8*L3*Assumptions!$B$9+Assumptions!$B$10)))+Assumptions!$B$11*L3))</f>
        <v>1711687.84395689</v>
      </c>
      <c r="Z3" s="50" t="n">
        <f aca="false">IF(Y3&lt;=0,"no price works",D3/Y3)</f>
        <v>0.642056321121879</v>
      </c>
      <c r="AA3" s="46" t="n">
        <f aca="false">INDEX(Assumptions!$B$32:$B$44,MATCH(AG3,Assumptions!$A$32:$A$44,0))*(1+Assumptions!$B$24)</f>
        <v>1860</v>
      </c>
      <c r="AB3" s="47" t="n">
        <f aca="false">(J3)*AA3-(((D3)+(J3)*Assumptions!$B$4+IF(H3="Yes",Assumptions!$B$6*(D3),(J3)*Assumptions!$B$5))*(1+Assumptions!$B$7*(Assumptions!$B$8*(L3)*Assumptions!$B$9+Assumptions!$B$10))+(D3)*Assumptions!$B$11*(L3)+(J3)*AA3*(Assumptions!$B$12+Assumptions!$B$13+IF((J3)*AA3&gt;=Assumptions!$B$16,Assumptions!$B$17,IF((J3)*AA3&gt;=Assumptions!$B$14,Assumptions!$B$15,0))))</f>
        <v>1197292.1555</v>
      </c>
      <c r="AC3" s="46" t="n">
        <f aca="false">INDEX(Assumptions!$B$32:$B$44,MATCH(AG3,Assumptions!$A$32:$A$44,0))*(1+Assumptions!$B$25)</f>
        <v>2046</v>
      </c>
      <c r="AD3" s="47" t="n">
        <f aca="false">(J3)*AC3-(((D3)+(J3)*Assumptions!$B$4+IF(H3="Yes",Assumptions!$B$6*(D3),(J3)*Assumptions!$B$5))*(1+Assumptions!$B$7*(Assumptions!$B$8*(L3)*Assumptions!$B$9+Assumptions!$B$10))+(D3)*Assumptions!$B$11*(L3)+(J3)*AC3*(Assumptions!$B$12+Assumptions!$B$13+IF((J3)*AC3&gt;=Assumptions!$B$16,Assumptions!$B$17,IF((J3)*AC3&gt;=Assumptions!$B$14,Assumptions!$B$15,0))))</f>
        <v>1460171.3123</v>
      </c>
      <c r="AE3" s="46" t="n">
        <f aca="false">INDEX(Assumptions!$B$32:$B$44,MATCH(AG3,Assumptions!$A$32:$A$44,0))*(1+Assumptions!$B$26)</f>
        <v>2232</v>
      </c>
      <c r="AF3" s="47" t="n">
        <f aca="false">(J3)*AE3-(((D3)+(J3)*Assumptions!$B$4+IF(H3="Yes",Assumptions!$B$6*(D3),(J3)*Assumptions!$B$5))*(1+Assumptions!$B$7*(Assumptions!$B$8*(L3)*Assumptions!$B$9+Assumptions!$B$10))+(D3)*Assumptions!$B$11*(L3)+(J3)*AE3*(Assumptions!$B$12+Assumptions!$B$13+IF((J3)*AE3&gt;=Assumptions!$B$16,Assumptions!$B$17,IF((J3)*AE3&gt;=Assumptions!$B$14,Assumptions!$B$15,0))))</f>
        <v>1931519.2691</v>
      </c>
      <c r="AG3" s="40" t="s">
        <v>69</v>
      </c>
      <c r="AH3" s="45" t="n">
        <f aca="false">IF(G3&gt;0,G3,ROUND(F3*Assumptions!$B$18,0))</f>
        <v>2379</v>
      </c>
      <c r="AI3" s="45" t="n">
        <f aca="false">IF(H3="Yes",AH3,MAX(AH3,MIN(Assumptions!$B$20,ROUND(E3*Assumptions!$B$19,0))))</f>
        <v>2802</v>
      </c>
      <c r="AJ3" s="47" t="n">
        <f aca="false">(AH3)*AC3-(((D3)+(AH3)*Assumptions!$B$4+IF(H3="Yes",Assumptions!$B$6*(D3),(AH3)*Assumptions!$B$5))*(1+Assumptions!$B$7*(Assumptions!$B$8*(Assumptions!$B$21)*Assumptions!$B$9+Assumptions!$B$10))+(D3)*Assumptions!$B$11*(Assumptions!$B$21)+(AH3)*AC3*(Assumptions!$B$12+Assumptions!$B$13+IF((AH3)*AC3&gt;=Assumptions!$B$16,Assumptions!$B$17,IF((AH3)*AC3&gt;=Assumptions!$B$14,Assumptions!$B$15,0))))</f>
        <v>1369479.55085</v>
      </c>
      <c r="AK3" s="47" t="n">
        <f aca="false">(AI3)*AC3-(((D3)+(AI3)*Assumptions!$B$4+IF(H3="Yes",Assumptions!$B$6*(D3),(AI3)*Assumptions!$B$5))*(1+Assumptions!$B$7*(Assumptions!$B$8*(IF(AI3&gt;AH3,Assumptions!$B$22,Assumptions!$B$21))*Assumptions!$B$9+Assumptions!$B$10))+(D3)*Assumptions!$B$11*(IF(AI3&gt;AH3,Assumptions!$B$22,Assumptions!$B$21))+(AI3)*AC3*(Assumptions!$B$12+Assumptions!$B$13+IF((AI3)*AC3&gt;=Assumptions!$B$16,Assumptions!$B$17,IF((AI3)*AC3&gt;=Assumptions!$B$14,Assumptions!$B$15,0))))</f>
        <v>1460171.3123</v>
      </c>
      <c r="AL3" s="47" t="n">
        <f aca="false">Assumptions!$B$7*(O3+P3+Q3)</f>
        <v>2125857.5</v>
      </c>
    </row>
    <row r="4" customFormat="false" ht="15" hidden="false" customHeight="false" outlineLevel="0" collapsed="false">
      <c r="A4" s="40" t="n">
        <v>2</v>
      </c>
      <c r="B4" s="40" t="s">
        <v>70</v>
      </c>
      <c r="C4" s="40" t="s">
        <v>71</v>
      </c>
      <c r="D4" s="41" t="n">
        <v>995000</v>
      </c>
      <c r="E4" s="42" t="n">
        <v>4382</v>
      </c>
      <c r="F4" s="42" t="n">
        <v>3014</v>
      </c>
      <c r="G4" s="42"/>
      <c r="H4" s="43" t="s">
        <v>67</v>
      </c>
      <c r="I4" s="44" t="s">
        <v>72</v>
      </c>
      <c r="J4" s="45" t="n">
        <f aca="false">IF(AK4&gt;AJ4,AI4,AH4)</f>
        <v>3315</v>
      </c>
      <c r="K4" s="40" t="str">
        <f aca="false">IF(AK4&gt;AJ4,"Zoning estimate",IF(H4="Yes","Approved plans",IF(G4&gt;0,"Listing claim","110% old house")))</f>
        <v>110% old house</v>
      </c>
      <c r="L4" s="45" t="n">
        <f aca="false">IF(AK4&gt;AJ4,IF(AI4&gt;AH4,Assumptions!$B$22,Assumptions!$B$21),Assumptions!$B$21)</f>
        <v>2</v>
      </c>
      <c r="M4" s="46" t="n">
        <f aca="false">INDEX(Assumptions!$B$32:$B$44,MATCH(AG4,Assumptions!$A$32:$A$44,0))*(1+IF(UPPER(Assumptions!$B$27)="WORST",Assumptions!$B$24,IF(UPPER(Assumptions!$B$27)="BEST",Assumptions!$B$26,Assumptions!$B$25)))</f>
        <v>1540</v>
      </c>
      <c r="N4" s="47" t="n">
        <f aca="false">J4*M4</f>
        <v>5105100</v>
      </c>
      <c r="O4" s="47" t="n">
        <f aca="false">D4</f>
        <v>995000</v>
      </c>
      <c r="P4" s="47" t="n">
        <f aca="false">J4*Assumptions!$B$4</f>
        <v>2320500</v>
      </c>
      <c r="Q4" s="47" t="n">
        <f aca="false">IF(H4="Yes",Assumptions!$B$6*(D4),(J4)*Assumptions!$B$5)</f>
        <v>248625</v>
      </c>
      <c r="R4" s="47" t="n">
        <f aca="false">AL4*(Assumptions!$B$8*L4*Assumptions!$B$9+Assumptions!$B$10)</f>
        <v>312751.96875</v>
      </c>
      <c r="S4" s="47" t="n">
        <f aca="false">O4*Assumptions!$B$11*L4</f>
        <v>23880</v>
      </c>
      <c r="T4" s="47" t="n">
        <f aca="false">N4*(Assumptions!$B$12+Assumptions!$B$13)</f>
        <v>283843.56</v>
      </c>
      <c r="U4" s="47" t="n">
        <f aca="false">N4*IF(N4&gt;=Assumptions!$B$16,Assumptions!$B$17,IF(N4&gt;=Assumptions!$B$14,Assumptions!$B$15,0))</f>
        <v>0</v>
      </c>
      <c r="V4" s="48" t="n">
        <f aca="false">SUM(O4:U4)</f>
        <v>4184600.52875</v>
      </c>
      <c r="W4" s="48" t="n">
        <f aca="false">N4-V4</f>
        <v>920499.471250001</v>
      </c>
      <c r="X4" s="49" t="n">
        <f aca="false">IF(V4=0,0,W4/V4)</f>
        <v>0.2199730810446</v>
      </c>
      <c r="Y4" s="47" t="n">
        <f aca="false">MAX(0,(N4/(1+Assumptions!$B$23)-(J4*(Assumptions!$B$4+IF(H4="Yes",0,Assumptions!$B$5)))*(1+(Assumptions!$B$7*(Assumptions!$B$8*L4*Assumptions!$B$9+Assumptions!$B$10)))-N4*(Assumptions!$B$12+Assumptions!$B$13+IF(N4&gt;=Assumptions!$B$16,Assumptions!$B$17,IF(N4&gt;=Assumptions!$B$14,Assumptions!$B$15,0))))/((1+IF(H4="Yes",Assumptions!$B$6,0))*(1+(Assumptions!$B$7*(Assumptions!$B$8*L4*Assumptions!$B$9+Assumptions!$B$10)))+Assumptions!$B$11*L4))</f>
        <v>1224023.48779343</v>
      </c>
      <c r="Z4" s="50" t="n">
        <f aca="false">IF(Y4&lt;=0,"no price works",D4/Y4)</f>
        <v>0.812892897826416</v>
      </c>
      <c r="AA4" s="46" t="n">
        <f aca="false">INDEX(Assumptions!$B$32:$B$44,MATCH(AG4,Assumptions!$A$32:$A$44,0))*(1+Assumptions!$B$24)</f>
        <v>1400</v>
      </c>
      <c r="AB4" s="47" t="n">
        <f aca="false">(J4)*AA4-(((D4)+(J4)*Assumptions!$B$4+IF(H4="Yes",Assumptions!$B$6*(D4),(J4)*Assumptions!$B$5))*(1+Assumptions!$B$7*(Assumptions!$B$8*(L4)*Assumptions!$B$9+Assumptions!$B$10))+(D4)*Assumptions!$B$11*(L4)+(J4)*AA4*(Assumptions!$B$12+Assumptions!$B$13+IF((J4)*AA4&gt;=Assumptions!$B$16,Assumptions!$B$17,IF((J4)*AA4&gt;=Assumptions!$B$14,Assumptions!$B$15,0))))</f>
        <v>482203.43125</v>
      </c>
      <c r="AC4" s="46" t="n">
        <f aca="false">INDEX(Assumptions!$B$32:$B$44,MATCH(AG4,Assumptions!$A$32:$A$44,0))*(1+Assumptions!$B$25)</f>
        <v>1540</v>
      </c>
      <c r="AD4" s="47" t="n">
        <f aca="false">(J4)*AC4-(((D4)+(J4)*Assumptions!$B$4+IF(H4="Yes",Assumptions!$B$6*(D4),(J4)*Assumptions!$B$5))*(1+Assumptions!$B$7*(Assumptions!$B$8*(L4)*Assumptions!$B$9+Assumptions!$B$10))+(D4)*Assumptions!$B$11*(L4)+(J4)*AC4*(Assumptions!$B$12+Assumptions!$B$13+IF((J4)*AC4&gt;=Assumptions!$B$16,Assumptions!$B$17,IF((J4)*AC4&gt;=Assumptions!$B$14,Assumptions!$B$15,0))))</f>
        <v>920499.471250001</v>
      </c>
      <c r="AE4" s="46" t="n">
        <f aca="false">INDEX(Assumptions!$B$32:$B$44,MATCH(AG4,Assumptions!$A$32:$A$44,0))*(1+Assumptions!$B$26)</f>
        <v>1680</v>
      </c>
      <c r="AF4" s="47" t="n">
        <f aca="false">(J4)*AE4-(((D4)+(J4)*Assumptions!$B$4+IF(H4="Yes",Assumptions!$B$6*(D4),(J4)*Assumptions!$B$5))*(1+Assumptions!$B$7*(Assumptions!$B$8*(L4)*Assumptions!$B$9+Assumptions!$B$10))+(D4)*Assumptions!$B$11*(L4)+(J4)*AE4*(Assumptions!$B$12+Assumptions!$B$13+IF((J4)*AE4&gt;=Assumptions!$B$16,Assumptions!$B$17,IF((J4)*AE4&gt;=Assumptions!$B$14,Assumptions!$B$15,0))))</f>
        <v>1136027.51125</v>
      </c>
      <c r="AG4" s="40" t="s">
        <v>73</v>
      </c>
      <c r="AH4" s="45" t="n">
        <f aca="false">IF(G4&gt;0,G4,ROUND(F4*Assumptions!$B$18,0))</f>
        <v>3315</v>
      </c>
      <c r="AI4" s="45" t="n">
        <f aca="false">IF(H4="Yes",AH4,MAX(AH4,MIN(Assumptions!$B$20,ROUND(E4*Assumptions!$B$19,0))))</f>
        <v>3315</v>
      </c>
      <c r="AJ4" s="47" t="n">
        <f aca="false">(AH4)*AC4-(((D4)+(AH4)*Assumptions!$B$4+IF(H4="Yes",Assumptions!$B$6*(D4),(AH4)*Assumptions!$B$5))*(1+Assumptions!$B$7*(Assumptions!$B$8*(Assumptions!$B$21)*Assumptions!$B$9+Assumptions!$B$10))+(D4)*Assumptions!$B$11*(Assumptions!$B$21)+(AH4)*AC4*(Assumptions!$B$12+Assumptions!$B$13+IF((AH4)*AC4&gt;=Assumptions!$B$16,Assumptions!$B$17,IF((AH4)*AC4&gt;=Assumptions!$B$14,Assumptions!$B$15,0))))</f>
        <v>920499.471250001</v>
      </c>
      <c r="AK4" s="47" t="n">
        <f aca="false">(AI4)*AC4-(((D4)+(AI4)*Assumptions!$B$4+IF(H4="Yes",Assumptions!$B$6*(D4),(AI4)*Assumptions!$B$5))*(1+Assumptions!$B$7*(Assumptions!$B$8*(IF(AI4&gt;AH4,Assumptions!$B$22,Assumptions!$B$21))*Assumptions!$B$9+Assumptions!$B$10))+(D4)*Assumptions!$B$11*(IF(AI4&gt;AH4,Assumptions!$B$22,Assumptions!$B$21))+(AI4)*AC4*(Assumptions!$B$12+Assumptions!$B$13+IF((AI4)*AC4&gt;=Assumptions!$B$16,Assumptions!$B$17,IF((AI4)*AC4&gt;=Assumptions!$B$14,Assumptions!$B$15,0))))</f>
        <v>920499.471250001</v>
      </c>
      <c r="AL4" s="47" t="n">
        <f aca="false">Assumptions!$B$7*(O4+P4+Q4)</f>
        <v>2316681.25</v>
      </c>
    </row>
    <row r="5" customFormat="false" ht="23.85" hidden="false" customHeight="false" outlineLevel="0" collapsed="false">
      <c r="A5" s="40" t="n">
        <v>3</v>
      </c>
      <c r="B5" s="40" t="s">
        <v>74</v>
      </c>
      <c r="C5" s="40" t="s">
        <v>75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76</v>
      </c>
      <c r="I5" s="44" t="s">
        <v>77</v>
      </c>
      <c r="J5" s="45" t="n">
        <f aca="false">IF(AK5&gt;AJ5,AI5,AH5)</f>
        <v>7504</v>
      </c>
      <c r="K5" s="40" t="str">
        <f aca="false">IF(AK5&gt;AJ5,"Zoning estimate",IF(H5="Yes","Approved plans",IF(G5&gt;0,"Listing claim","110% old house")))</f>
        <v>Approved plans</v>
      </c>
      <c r="L5" s="45" t="n">
        <f aca="false">IF(AK5&gt;AJ5,IF(AI5&gt;AH5,Assumptions!$B$22,Assumptions!$B$21),Assumptions!$B$21)</f>
        <v>2</v>
      </c>
      <c r="M5" s="46" t="n">
        <f aca="false">INDEX(Assumptions!$B$32:$B$44,MATCH(AG5,Assumptions!$A$32:$A$44,0))*(1+IF(UPPER(Assumptions!$B$27)="WORST",Assumptions!$B$24,IF(UPPER(Assumptions!$B$27)="BEST",Assumptions!$B$26,Assumptions!$B$25)))</f>
        <v>2035</v>
      </c>
      <c r="N5" s="47" t="n">
        <f aca="false">J5*M5</f>
        <v>15270640</v>
      </c>
      <c r="O5" s="47" t="n">
        <f aca="false">D5</f>
        <v>4375000</v>
      </c>
      <c r="P5" s="47" t="n">
        <f aca="false">J5*Assumptions!$B$4</f>
        <v>5252800</v>
      </c>
      <c r="Q5" s="47" t="n">
        <f aca="false">IF(H5="Yes",Assumptions!$B$6*(D5),(J5)*Assumptions!$B$5)</f>
        <v>218750</v>
      </c>
      <c r="R5" s="47" t="n">
        <f aca="false">AL5*(Assumptions!$B$8*L5*Assumptions!$B$9+Assumptions!$B$10)</f>
        <v>864034.7625</v>
      </c>
      <c r="S5" s="47" t="n">
        <f aca="false">O5*Assumptions!$B$11*L5</f>
        <v>105000</v>
      </c>
      <c r="T5" s="47" t="n">
        <f aca="false">N5*(Assumptions!$B$12+Assumptions!$B$13)</f>
        <v>849047.584</v>
      </c>
      <c r="U5" s="47" t="n">
        <f aca="false">N5*IF(N5&gt;=Assumptions!$B$16,Assumptions!$B$17,IF(N5&gt;=Assumptions!$B$14,Assumptions!$B$15,0))</f>
        <v>839885.2</v>
      </c>
      <c r="V5" s="48" t="n">
        <f aca="false">SUM(O5:U5)</f>
        <v>12504517.5465</v>
      </c>
      <c r="W5" s="48" t="n">
        <f aca="false">N5-V5</f>
        <v>2766122.4535</v>
      </c>
      <c r="X5" s="49" t="n">
        <f aca="false">IF(V5=0,0,W5/V5)</f>
        <v>0.221209850217231</v>
      </c>
      <c r="Y5" s="47" t="n">
        <f aca="false">MAX(0,(N5/(1+Assumptions!$B$23)-(J5*(Assumptions!$B$4+IF(H5="Yes",0,Assumptions!$B$5)))*(1+(Assumptions!$B$7*(Assumptions!$B$8*L5*Assumptions!$B$9+Assumptions!$B$10)))-N5*(Assumptions!$B$12+Assumptions!$B$13+IF(N5&gt;=Assumptions!$B$16,Assumptions!$B$17,IF(N5&gt;=Assumptions!$B$14,Assumptions!$B$15,0))))/((1+IF(H5="Yes",Assumptions!$B$6,0))*(1+(Assumptions!$B$7*(Assumptions!$B$8*L5*Assumptions!$B$9+Assumptions!$B$10)))+Assumptions!$B$11*L5))</f>
        <v>5038986.74667812</v>
      </c>
      <c r="Z5" s="50" t="n">
        <f aca="false">IF(Y5&lt;=0,"no price works",D5/Y5)</f>
        <v>0.868230106555482</v>
      </c>
      <c r="AA5" s="46" t="n">
        <f aca="false">INDEX(Assumptions!$B$32:$B$44,MATCH(AG5,Assumptions!$A$32:$A$44,0))*(1+Assumptions!$B$24)</f>
        <v>1850</v>
      </c>
      <c r="AB5" s="47" t="n">
        <f aca="false">(J5)*AA5-(((D5)+(J5)*Assumptions!$B$4+IF(H5="Yes",Assumptions!$B$6*(D5),(J5)*Assumptions!$B$5))*(1+Assumptions!$B$7*(Assumptions!$B$8*(L5)*Assumptions!$B$9+Assumptions!$B$10))+(D5)*Assumptions!$B$11*(L5)+(J5)*AA5*(Assumptions!$B$12+Assumptions!$B$13+IF((J5)*AA5&gt;=Assumptions!$B$16,Assumptions!$B$17,IF((J5)*AA5&gt;=Assumptions!$B$14,Assumptions!$B$15,0))))</f>
        <v>1531421.7975</v>
      </c>
      <c r="AC5" s="46" t="n">
        <f aca="false">INDEX(Assumptions!$B$32:$B$44,MATCH(AG5,Assumptions!$A$32:$A$44,0))*(1+Assumptions!$B$25)</f>
        <v>2035</v>
      </c>
      <c r="AD5" s="47" t="n">
        <f aca="false">(J5)*AC5-(((D5)+(J5)*Assumptions!$B$4+IF(H5="Yes",Assumptions!$B$6*(D5),(J5)*Assumptions!$B$5))*(1+Assumptions!$B$7*(Assumptions!$B$8*(L5)*Assumptions!$B$9+Assumptions!$B$10))+(D5)*Assumptions!$B$11*(L5)+(J5)*AC5*(Assumptions!$B$12+Assumptions!$B$13+IF((J5)*AC5&gt;=Assumptions!$B$16,Assumptions!$B$17,IF((J5)*AC5&gt;=Assumptions!$B$14,Assumptions!$B$15,0))))</f>
        <v>2766122.4535</v>
      </c>
      <c r="AE5" s="46" t="n">
        <f aca="false">INDEX(Assumptions!$B$32:$B$44,MATCH(AG5,Assumptions!$A$32:$A$44,0))*(1+Assumptions!$B$26)</f>
        <v>2220</v>
      </c>
      <c r="AF5" s="47" t="n">
        <f aca="false">(J5)*AE5-(((D5)+(J5)*Assumptions!$B$4+IF(H5="Yes",Assumptions!$B$6*(D5),(J5)*Assumptions!$B$5))*(1+Assumptions!$B$7*(Assumptions!$B$8*(L5)*Assumptions!$B$9+Assumptions!$B$10))+(D5)*Assumptions!$B$11*(L5)+(J5)*AE5*(Assumptions!$B$12+Assumptions!$B$13+IF((J5)*AE5&gt;=Assumptions!$B$16,Assumptions!$B$17,IF((J5)*AE5&gt;=Assumptions!$B$14,Assumptions!$B$15,0))))</f>
        <v>4000823.1095</v>
      </c>
      <c r="AG5" s="40" t="s">
        <v>78</v>
      </c>
      <c r="AH5" s="45" t="n">
        <f aca="false">IF(G5&gt;0,G5,ROUND(F5*Assumptions!$B$18,0))</f>
        <v>7504</v>
      </c>
      <c r="AI5" s="45" t="n">
        <f aca="false">IF(H5="Yes",AH5,MAX(AH5,MIN(Assumptions!$B$20,ROUND(E5*Assumptions!$B$19,0))))</f>
        <v>7504</v>
      </c>
      <c r="AJ5" s="47" t="n">
        <f aca="false">(AH5)*AC5-(((D5)+(AH5)*Assumptions!$B$4+IF(H5="Yes",Assumptions!$B$6*(D5),(AH5)*Assumptions!$B$5))*(1+Assumptions!$B$7*(Assumptions!$B$8*(Assumptions!$B$21)*Assumptions!$B$9+Assumptions!$B$10))+(D5)*Assumptions!$B$11*(Assumptions!$B$21)+(AH5)*AC5*(Assumptions!$B$12+Assumptions!$B$13+IF((AH5)*AC5&gt;=Assumptions!$B$16,Assumptions!$B$17,IF((AH5)*AC5&gt;=Assumptions!$B$14,Assumptions!$B$15,0))))</f>
        <v>2766122.4535</v>
      </c>
      <c r="AK5" s="47" t="n">
        <f aca="false">(AI5)*AC5-(((D5)+(AI5)*Assumptions!$B$4+IF(H5="Yes",Assumptions!$B$6*(D5),(AI5)*Assumptions!$B$5))*(1+Assumptions!$B$7*(Assumptions!$B$8*(IF(AI5&gt;AH5,Assumptions!$B$22,Assumptions!$B$21))*Assumptions!$B$9+Assumptions!$B$10))+(D5)*Assumptions!$B$11*(IF(AI5&gt;AH5,Assumptions!$B$22,Assumptions!$B$21))+(AI5)*AC5*(Assumptions!$B$12+Assumptions!$B$13+IF((AI5)*AC5&gt;=Assumptions!$B$16,Assumptions!$B$17,IF((AI5)*AC5&gt;=Assumptions!$B$14,Assumptions!$B$15,0))))</f>
        <v>2766122.4535</v>
      </c>
      <c r="AL5" s="47" t="n">
        <f aca="false">Assumptions!$B$7*(O5+P5+Q5)</f>
        <v>6400257.5</v>
      </c>
    </row>
    <row r="6" customFormat="false" ht="15" hidden="false" customHeight="false" outlineLevel="0" collapsed="false">
      <c r="A6" s="40" t="n">
        <v>4</v>
      </c>
      <c r="B6" s="40" t="s">
        <v>79</v>
      </c>
      <c r="C6" s="40" t="s">
        <v>66</v>
      </c>
      <c r="D6" s="41" t="n">
        <v>2795000</v>
      </c>
      <c r="E6" s="42" t="n">
        <v>13724</v>
      </c>
      <c r="F6" s="42" t="n">
        <v>4219</v>
      </c>
      <c r="G6" s="42"/>
      <c r="H6" s="43" t="s">
        <v>67</v>
      </c>
      <c r="I6" s="44" t="s">
        <v>80</v>
      </c>
      <c r="J6" s="45" t="n">
        <f aca="false">IF(AK6&gt;AJ6,AI6,AH6)</f>
        <v>5490</v>
      </c>
      <c r="K6" s="40" t="str">
        <f aca="false">IF(AK6&gt;AJ6,"Zoning estimate",IF(H6="Yes","Approved plans",IF(G6&gt;0,"Listing claim","110% old house")))</f>
        <v>Zoning estimate</v>
      </c>
      <c r="L6" s="45" t="n">
        <f aca="false">IF(AK6&gt;AJ6,IF(AI6&gt;AH6,Assumptions!$B$22,Assumptions!$B$21),Assumptions!$B$21)</f>
        <v>3</v>
      </c>
      <c r="M6" s="46" t="n">
        <f aca="false">INDEX(Assumptions!$B$32:$B$44,MATCH(AG6,Assumptions!$A$32:$A$44,0))*(1+IF(UPPER(Assumptions!$B$27)="WORST",Assumptions!$B$24,IF(UPPER(Assumptions!$B$27)="BEST",Assumptions!$B$26,Assumptions!$B$25)))</f>
        <v>2046</v>
      </c>
      <c r="N6" s="47" t="n">
        <f aca="false">J6*M6</f>
        <v>11232540</v>
      </c>
      <c r="O6" s="47" t="n">
        <f aca="false">D6</f>
        <v>2795000</v>
      </c>
      <c r="P6" s="47" t="n">
        <f aca="false">J6*Assumptions!$B$4</f>
        <v>3843000</v>
      </c>
      <c r="Q6" s="47" t="n">
        <f aca="false">IF(H6="Yes",Assumptions!$B$6*(D6),(J6)*Assumptions!$B$5)</f>
        <v>411750</v>
      </c>
      <c r="R6" s="47" t="n">
        <f aca="false">AL6*(Assumptions!$B$8*L6*Assumptions!$B$9+Assumptions!$B$10)</f>
        <v>893555.8125</v>
      </c>
      <c r="S6" s="47" t="n">
        <f aca="false">O6*Assumptions!$B$11*L6</f>
        <v>100620</v>
      </c>
      <c r="T6" s="47" t="n">
        <f aca="false">N6*(Assumptions!$B$12+Assumptions!$B$13)</f>
        <v>624529.224</v>
      </c>
      <c r="U6" s="47" t="n">
        <f aca="false">N6*IF(N6&gt;=Assumptions!$B$16,Assumptions!$B$17,IF(N6&gt;=Assumptions!$B$14,Assumptions!$B$15,0))</f>
        <v>617789.7</v>
      </c>
      <c r="V6" s="48" t="n">
        <f aca="false">SUM(O6:U6)</f>
        <v>9286244.7365</v>
      </c>
      <c r="W6" s="48" t="n">
        <f aca="false">N6-V6</f>
        <v>1946295.2635</v>
      </c>
      <c r="X6" s="49" t="n">
        <f aca="false">IF(V6=0,0,W6/V6)</f>
        <v>0.209589055503782</v>
      </c>
      <c r="Y6" s="47" t="n">
        <f aca="false">MAX(0,(N6/(1+Assumptions!$B$23)-(J6*(Assumptions!$B$4+IF(H6="Yes",0,Assumptions!$B$5)))*(1+(Assumptions!$B$7*(Assumptions!$B$8*L6*Assumptions!$B$9+Assumptions!$B$10)))-N6*(Assumptions!$B$12+Assumptions!$B$13+IF(N6&gt;=Assumptions!$B$16,Assumptions!$B$17,IF(N6&gt;=Assumptions!$B$14,Assumptions!$B$15,0))))/((1+IF(H6="Yes",Assumptions!$B$6,0))*(1+(Assumptions!$B$7*(Assumptions!$B$8*L6*Assumptions!$B$9+Assumptions!$B$10)))+Assumptions!$B$11*L6))</f>
        <v>3208830.4454582</v>
      </c>
      <c r="Z6" s="50" t="n">
        <f aca="false">IF(Y6&lt;=0,"no price works",D6/Y6)</f>
        <v>0.87103386966303</v>
      </c>
      <c r="AA6" s="46" t="n">
        <f aca="false">INDEX(Assumptions!$B$32:$B$44,MATCH(AG6,Assumptions!$A$32:$A$44,0))*(1+Assumptions!$B$24)</f>
        <v>1860</v>
      </c>
      <c r="AB6" s="47" t="n">
        <f aca="false">(J6)*AA6-(((D6)+(J6)*Assumptions!$B$4+IF(H6="Yes",Assumptions!$B$6*(D6),(J6)*Assumptions!$B$5))*(1+Assumptions!$B$7*(Assumptions!$B$8*(L6)*Assumptions!$B$9+Assumptions!$B$10))+(D6)*Assumptions!$B$11*(L6)+(J6)*AA6*(Assumptions!$B$12+Assumptions!$B$13+IF((J6)*AA6&gt;=Assumptions!$B$16,Assumptions!$B$17,IF((J6)*AA6&gt;=Assumptions!$B$14,Assumptions!$B$15,0))))</f>
        <v>1191264.3475</v>
      </c>
      <c r="AC6" s="46" t="n">
        <f aca="false">INDEX(Assumptions!$B$32:$B$44,MATCH(AG6,Assumptions!$A$32:$A$44,0))*(1+Assumptions!$B$25)</f>
        <v>2046</v>
      </c>
      <c r="AD6" s="47" t="n">
        <f aca="false">(J6)*AC6-(((D6)+(J6)*Assumptions!$B$4+IF(H6="Yes",Assumptions!$B$6*(D6),(J6)*Assumptions!$B$5))*(1+Assumptions!$B$7*(Assumptions!$B$8*(L6)*Assumptions!$B$9+Assumptions!$B$10))+(D6)*Assumptions!$B$11*(L6)+(J6)*AC6*(Assumptions!$B$12+Assumptions!$B$13+IF((J6)*AC6&gt;=Assumptions!$B$16,Assumptions!$B$17,IF((J6)*AC6&gt;=Assumptions!$B$14,Assumptions!$B$15,0))))</f>
        <v>1946295.2635</v>
      </c>
      <c r="AE6" s="46" t="n">
        <f aca="false">INDEX(Assumptions!$B$32:$B$44,MATCH(AG6,Assumptions!$A$32:$A$44,0))*(1+Assumptions!$B$26)</f>
        <v>2232</v>
      </c>
      <c r="AF6" s="47" t="n">
        <f aca="false">(J6)*AE6-(((D6)+(J6)*Assumptions!$B$4+IF(H6="Yes",Assumptions!$B$6*(D6),(J6)*Assumptions!$B$5))*(1+Assumptions!$B$7*(Assumptions!$B$8*(L6)*Assumptions!$B$9+Assumptions!$B$10))+(D6)*Assumptions!$B$11*(L6)+(J6)*AE6*(Assumptions!$B$12+Assumptions!$B$13+IF((J6)*AE6&gt;=Assumptions!$B$16,Assumptions!$B$17,IF((J6)*AE6&gt;=Assumptions!$B$14,Assumptions!$B$15,0))))</f>
        <v>2854497.1795</v>
      </c>
      <c r="AG6" s="40" t="s">
        <v>69</v>
      </c>
      <c r="AH6" s="45" t="n">
        <f aca="false">IF(G6&gt;0,G6,ROUND(F6*Assumptions!$B$18,0))</f>
        <v>4641</v>
      </c>
      <c r="AI6" s="45" t="n">
        <f aca="false">IF(H6="Yes",AH6,MAX(AH6,MIN(Assumptions!$B$20,ROUND(E6*Assumptions!$B$19,0))))</f>
        <v>5490</v>
      </c>
      <c r="AJ6" s="47" t="n">
        <f aca="false">(AH6)*AC6-(((D6)+(AH6)*Assumptions!$B$4+IF(H6="Yes",Assumptions!$B$6*(D6),(AH6)*Assumptions!$B$5))*(1+Assumptions!$B$7*(Assumptions!$B$8*(Assumptions!$B$21)*Assumptions!$B$9+Assumptions!$B$10))+(D6)*Assumptions!$B$11*(Assumptions!$B$21)+(AH6)*AC6*(Assumptions!$B$12+Assumptions!$B$13+IF((AH6)*AC6&gt;=Assumptions!$B$16,Assumptions!$B$17,IF((AH6)*AC6&gt;=Assumptions!$B$14,Assumptions!$B$15,0))))</f>
        <v>1567984.28215</v>
      </c>
      <c r="AK6" s="47" t="n">
        <f aca="false">(AI6)*AC6-(((D6)+(AI6)*Assumptions!$B$4+IF(H6="Yes",Assumptions!$B$6*(D6),(AI6)*Assumptions!$B$5))*(1+Assumptions!$B$7*(Assumptions!$B$8*(IF(AI6&gt;AH6,Assumptions!$B$22,Assumptions!$B$21))*Assumptions!$B$9+Assumptions!$B$10))+(D6)*Assumptions!$B$11*(IF(AI6&gt;AH6,Assumptions!$B$22,Assumptions!$B$21))+(AI6)*AC6*(Assumptions!$B$12+Assumptions!$B$13+IF((AI6)*AC6&gt;=Assumptions!$B$16,Assumptions!$B$17,IF((AI6)*AC6&gt;=Assumptions!$B$14,Assumptions!$B$15,0))))</f>
        <v>1946295.2635</v>
      </c>
      <c r="AL6" s="47" t="n">
        <f aca="false">Assumptions!$B$7*(O6+P6+Q6)</f>
        <v>4582337.5</v>
      </c>
    </row>
    <row r="7" customFormat="false" ht="23.85" hidden="false" customHeight="false" outlineLevel="0" collapsed="false">
      <c r="A7" s="40" t="n">
        <v>5</v>
      </c>
      <c r="B7" s="40" t="s">
        <v>81</v>
      </c>
      <c r="C7" s="40" t="s">
        <v>71</v>
      </c>
      <c r="D7" s="41" t="n">
        <v>1395000</v>
      </c>
      <c r="E7" s="42" t="n">
        <v>5556</v>
      </c>
      <c r="F7" s="42" t="n">
        <v>1302</v>
      </c>
      <c r="G7" s="42" t="n">
        <v>4270</v>
      </c>
      <c r="H7" s="43" t="s">
        <v>76</v>
      </c>
      <c r="I7" s="44" t="s">
        <v>82</v>
      </c>
      <c r="J7" s="45" t="n">
        <f aca="false">IF(AK7&gt;AJ7,AI7,AH7)</f>
        <v>4270</v>
      </c>
      <c r="K7" s="40" t="str">
        <f aca="false">IF(AK7&gt;AJ7,"Zoning estimate",IF(H7="Yes","Approved plans",IF(G7&gt;0,"Listing claim","110% old house")))</f>
        <v>Approved plans</v>
      </c>
      <c r="L7" s="45" t="n">
        <f aca="false">IF(AK7&gt;AJ7,IF(AI7&gt;AH7,Assumptions!$B$22,Assumptions!$B$21),Assumptions!$B$21)</f>
        <v>2</v>
      </c>
      <c r="M7" s="46" t="n">
        <f aca="false">INDEX(Assumptions!$B$32:$B$44,MATCH(AG7,Assumptions!$A$32:$A$44,0))*(1+IF(UPPER(Assumptions!$B$27)="WORST",Assumptions!$B$24,IF(UPPER(Assumptions!$B$27)="BEST",Assumptions!$B$26,Assumptions!$B$25)))</f>
        <v>1540</v>
      </c>
      <c r="N7" s="47" t="n">
        <f aca="false">J7*M7</f>
        <v>6575800</v>
      </c>
      <c r="O7" s="47" t="n">
        <f aca="false">D7</f>
        <v>1395000</v>
      </c>
      <c r="P7" s="47" t="n">
        <f aca="false">J7*Assumptions!$B$4</f>
        <v>2989000</v>
      </c>
      <c r="Q7" s="47" t="n">
        <f aca="false">IF(H7="Yes",Assumptions!$B$6*(D7),(J7)*Assumptions!$B$5)</f>
        <v>69750</v>
      </c>
      <c r="R7" s="47" t="n">
        <f aca="false">AL7*(Assumptions!$B$8*L7*Assumptions!$B$9+Assumptions!$B$10)</f>
        <v>390816.5625</v>
      </c>
      <c r="S7" s="47" t="n">
        <f aca="false">O7*Assumptions!$B$11*L7</f>
        <v>33480</v>
      </c>
      <c r="T7" s="47" t="n">
        <f aca="false">N7*(Assumptions!$B$12+Assumptions!$B$13)</f>
        <v>365614.48</v>
      </c>
      <c r="U7" s="47" t="n">
        <f aca="false">N7*IF(N7&gt;=Assumptions!$B$16,Assumptions!$B$17,IF(N7&gt;=Assumptions!$B$14,Assumptions!$B$15,0))</f>
        <v>263032</v>
      </c>
      <c r="V7" s="48" t="n">
        <f aca="false">SUM(O7:U7)</f>
        <v>5506693.0425</v>
      </c>
      <c r="W7" s="48" t="n">
        <f aca="false">N7-V7</f>
        <v>1069106.9575</v>
      </c>
      <c r="X7" s="49" t="n">
        <f aca="false">IF(V7=0,0,W7/V7)</f>
        <v>0.194146822648141</v>
      </c>
      <c r="Y7" s="47" t="n">
        <f aca="false">MAX(0,(N7/(1+Assumptions!$B$23)-(J7*(Assumptions!$B$4+IF(H7="Yes",0,Assumptions!$B$5)))*(1+(Assumptions!$B$7*(Assumptions!$B$8*L7*Assumptions!$B$9+Assumptions!$B$10)))-N7*(Assumptions!$B$12+Assumptions!$B$13+IF(N7&gt;=Assumptions!$B$16,Assumptions!$B$17,IF(N7&gt;=Assumptions!$B$14,Assumptions!$B$15,0))))/((1+IF(H7="Yes",Assumptions!$B$6,0))*(1+(Assumptions!$B$7*(Assumptions!$B$8*L7*Assumptions!$B$9+Assumptions!$B$10)))+Assumptions!$B$11*L7))</f>
        <v>1576277.00551757</v>
      </c>
      <c r="Z7" s="50" t="n">
        <f aca="false">IF(Y7&lt;=0,"no price works",D7/Y7)</f>
        <v>0.884996732881957</v>
      </c>
      <c r="AA7" s="46" t="n">
        <f aca="false">INDEX(Assumptions!$B$32:$B$44,MATCH(AG7,Assumptions!$A$32:$A$44,0))*(1+Assumptions!$B$24)</f>
        <v>1400</v>
      </c>
      <c r="AB7" s="47" t="n">
        <f aca="false">(J7)*AA7-(((D7)+(J7)*Assumptions!$B$4+IF(H7="Yes",Assumptions!$B$6*(D7),(J7)*Assumptions!$B$5))*(1+Assumptions!$B$7*(Assumptions!$B$8*(L7)*Assumptions!$B$9+Assumptions!$B$10))+(D7)*Assumptions!$B$11*(L7)+(J7)*AA7*(Assumptions!$B$12+Assumptions!$B$13+IF((J7)*AA7&gt;=Assumptions!$B$16,Assumptions!$B$17,IF((J7)*AA7&gt;=Assumptions!$B$14,Assumptions!$B$15,0))))</f>
        <v>528456.6375</v>
      </c>
      <c r="AC7" s="46" t="n">
        <f aca="false">INDEX(Assumptions!$B$32:$B$44,MATCH(AG7,Assumptions!$A$32:$A$44,0))*(1+Assumptions!$B$25)</f>
        <v>1540</v>
      </c>
      <c r="AD7" s="47" t="n">
        <f aca="false">(J7)*AC7-(((D7)+(J7)*Assumptions!$B$4+IF(H7="Yes",Assumptions!$B$6*(D7),(J7)*Assumptions!$B$5))*(1+Assumptions!$B$7*(Assumptions!$B$8*(L7)*Assumptions!$B$9+Assumptions!$B$10))+(D7)*Assumptions!$B$11*(L7)+(J7)*AC7*(Assumptions!$B$12+Assumptions!$B$13+IF((J7)*AC7&gt;=Assumptions!$B$16,Assumptions!$B$17,IF((J7)*AC7&gt;=Assumptions!$B$14,Assumptions!$B$15,0))))</f>
        <v>1069106.9575</v>
      </c>
      <c r="AE7" s="46" t="n">
        <f aca="false">INDEX(Assumptions!$B$32:$B$44,MATCH(AG7,Assumptions!$A$32:$A$44,0))*(1+Assumptions!$B$26)</f>
        <v>1680</v>
      </c>
      <c r="AF7" s="47" t="n">
        <f aca="false">(J7)*AE7-(((D7)+(J7)*Assumptions!$B$4+IF(H7="Yes",Assumptions!$B$6*(D7),(J7)*Assumptions!$B$5))*(1+Assumptions!$B$7*(Assumptions!$B$8*(L7)*Assumptions!$B$9+Assumptions!$B$10))+(D7)*Assumptions!$B$11*(L7)+(J7)*AE7*(Assumptions!$B$12+Assumptions!$B$13+IF((J7)*AE7&gt;=Assumptions!$B$16,Assumptions!$B$17,IF((J7)*AE7&gt;=Assumptions!$B$14,Assumptions!$B$15,0))))</f>
        <v>1609757.2775</v>
      </c>
      <c r="AG7" s="40" t="s">
        <v>73</v>
      </c>
      <c r="AH7" s="45" t="n">
        <f aca="false">IF(G7&gt;0,G7,ROUND(F7*Assumptions!$B$18,0))</f>
        <v>4270</v>
      </c>
      <c r="AI7" s="45" t="n">
        <f aca="false">IF(H7="Yes",AH7,MAX(AH7,MIN(Assumptions!$B$20,ROUND(E7*Assumptions!$B$19,0))))</f>
        <v>4270</v>
      </c>
      <c r="AJ7" s="47" t="n">
        <f aca="false">(AH7)*AC7-(((D7)+(AH7)*Assumptions!$B$4+IF(H7="Yes",Assumptions!$B$6*(D7),(AH7)*Assumptions!$B$5))*(1+Assumptions!$B$7*(Assumptions!$B$8*(Assumptions!$B$21)*Assumptions!$B$9+Assumptions!$B$10))+(D7)*Assumptions!$B$11*(Assumptions!$B$21)+(AH7)*AC7*(Assumptions!$B$12+Assumptions!$B$13+IF((AH7)*AC7&gt;=Assumptions!$B$16,Assumptions!$B$17,IF((AH7)*AC7&gt;=Assumptions!$B$14,Assumptions!$B$15,0))))</f>
        <v>1069106.9575</v>
      </c>
      <c r="AK7" s="47" t="n">
        <f aca="false">(AI7)*AC7-(((D7)+(AI7)*Assumptions!$B$4+IF(H7="Yes",Assumptions!$B$6*(D7),(AI7)*Assumptions!$B$5))*(1+Assumptions!$B$7*(Assumptions!$B$8*(IF(AI7&gt;AH7,Assumptions!$B$22,Assumptions!$B$21))*Assumptions!$B$9+Assumptions!$B$10))+(D7)*Assumptions!$B$11*(IF(AI7&gt;AH7,Assumptions!$B$22,Assumptions!$B$21))+(AI7)*AC7*(Assumptions!$B$12+Assumptions!$B$13+IF((AI7)*AC7&gt;=Assumptions!$B$16,Assumptions!$B$17,IF((AI7)*AC7&gt;=Assumptions!$B$14,Assumptions!$B$15,0))))</f>
        <v>1069106.9575</v>
      </c>
      <c r="AL7" s="47" t="n">
        <f aca="false">Assumptions!$B$7*(O7+P7+Q7)</f>
        <v>2894937.5</v>
      </c>
    </row>
    <row r="8" customFormat="false" ht="15" hidden="false" customHeight="false" outlineLevel="0" collapsed="false">
      <c r="A8" s="40" t="n">
        <v>6</v>
      </c>
      <c r="B8" s="40" t="s">
        <v>83</v>
      </c>
      <c r="C8" s="40" t="s">
        <v>66</v>
      </c>
      <c r="D8" s="41" t="n">
        <v>3750000</v>
      </c>
      <c r="E8" s="42" t="n">
        <v>18344</v>
      </c>
      <c r="F8" s="42" t="n">
        <v>3254</v>
      </c>
      <c r="G8" s="42"/>
      <c r="H8" s="43" t="s">
        <v>67</v>
      </c>
      <c r="I8" s="44"/>
      <c r="J8" s="45" t="n">
        <f aca="false">IF(AK8&gt;AJ8,AI8,AH8)</f>
        <v>7338</v>
      </c>
      <c r="K8" s="40" t="str">
        <f aca="false">IF(AK8&gt;AJ8,"Zoning estimate",IF(H8="Yes","Approved plans",IF(G8&gt;0,"Listing claim","110% old house")))</f>
        <v>Zoning estimate</v>
      </c>
      <c r="L8" s="45" t="n">
        <f aca="false">IF(AK8&gt;AJ8,IF(AI8&gt;AH8,Assumptions!$B$22,Assumptions!$B$21),Assumptions!$B$21)</f>
        <v>3</v>
      </c>
      <c r="M8" s="46" t="n">
        <f aca="false">INDEX(Assumptions!$B$32:$B$44,MATCH(AG8,Assumptions!$A$32:$A$44,0))*(1+IF(UPPER(Assumptions!$B$27)="WORST",Assumptions!$B$24,IF(UPPER(Assumptions!$B$27)="BEST",Assumptions!$B$26,Assumptions!$B$25)))</f>
        <v>2046</v>
      </c>
      <c r="N8" s="47" t="n">
        <f aca="false">J8*M8</f>
        <v>15013548</v>
      </c>
      <c r="O8" s="47" t="n">
        <f aca="false">D8</f>
        <v>3750000</v>
      </c>
      <c r="P8" s="47" t="n">
        <f aca="false">J8*Assumptions!$B$4</f>
        <v>5136600</v>
      </c>
      <c r="Q8" s="47" t="n">
        <f aca="false">IF(H8="Yes",Assumptions!$B$6*(D8),(J8)*Assumptions!$B$5)</f>
        <v>550350</v>
      </c>
      <c r="R8" s="47" t="n">
        <f aca="false">AL8*(Assumptions!$B$8*L8*Assumptions!$B$9+Assumptions!$B$10)</f>
        <v>1196133.4125</v>
      </c>
      <c r="S8" s="47" t="n">
        <f aca="false">O8*Assumptions!$B$11*L8</f>
        <v>135000</v>
      </c>
      <c r="T8" s="47" t="n">
        <f aca="false">N8*(Assumptions!$B$12+Assumptions!$B$13)</f>
        <v>834753.2688</v>
      </c>
      <c r="U8" s="47" t="n">
        <f aca="false">N8*IF(N8&gt;=Assumptions!$B$16,Assumptions!$B$17,IF(N8&gt;=Assumptions!$B$14,Assumptions!$B$15,0))</f>
        <v>825745.14</v>
      </c>
      <c r="V8" s="48" t="n">
        <f aca="false">SUM(O8:U8)</f>
        <v>12428581.8213</v>
      </c>
      <c r="W8" s="48" t="n">
        <f aca="false">N8-V8</f>
        <v>2584966.1787</v>
      </c>
      <c r="X8" s="49" t="n">
        <f aca="false">IF(V8=0,0,W8/V8)</f>
        <v>0.207985610576253</v>
      </c>
      <c r="Y8" s="47" t="n">
        <f aca="false">MAX(0,(N8/(1+Assumptions!$B$23)-(J8*(Assumptions!$B$4+IF(H8="Yes",0,Assumptions!$B$5)))*(1+(Assumptions!$B$7*(Assumptions!$B$8*L8*Assumptions!$B$9+Assumptions!$B$10)))-N8*(Assumptions!$B$12+Assumptions!$B$13+IF(N8&gt;=Assumptions!$B$16,Assumptions!$B$17,IF(N8&gt;=Assumptions!$B$14,Assumptions!$B$15,0))))/((1+IF(H8="Yes",Assumptions!$B$6,0))*(1+(Assumptions!$B$7*(Assumptions!$B$8*L8*Assumptions!$B$9+Assumptions!$B$10)))+Assumptions!$B$11*L8))</f>
        <v>4288961.34950315</v>
      </c>
      <c r="Z8" s="50" t="n">
        <f aca="false">IF(Y8&lt;=0,"no price works",D8/Y8)</f>
        <v>0.874337559706481</v>
      </c>
      <c r="AA8" s="46" t="n">
        <f aca="false">INDEX(Assumptions!$B$32:$B$44,MATCH(AG8,Assumptions!$A$32:$A$44,0))*(1+Assumptions!$B$24)</f>
        <v>1860</v>
      </c>
      <c r="AB8" s="47" t="n">
        <f aca="false">(J8)*AA8-(((D8)+(J8)*Assumptions!$B$4+IF(H8="Yes",Assumptions!$B$6*(D8),(J8)*Assumptions!$B$5))*(1+Assumptions!$B$7*(Assumptions!$B$8*(L8)*Assumptions!$B$9+Assumptions!$B$10))+(D8)*Assumptions!$B$11*(L8)+(J8)*AA8*(Assumptions!$B$12+Assumptions!$B$13+IF((J8)*AA8&gt;=Assumptions!$B$16,Assumptions!$B$17,IF((J8)*AA8&gt;=Assumptions!$B$14,Assumptions!$B$15,0))))</f>
        <v>1371052.5795</v>
      </c>
      <c r="AC8" s="46" t="n">
        <f aca="false">INDEX(Assumptions!$B$32:$B$44,MATCH(AG8,Assumptions!$A$32:$A$44,0))*(1+Assumptions!$B$25)</f>
        <v>2046</v>
      </c>
      <c r="AD8" s="47" t="n">
        <f aca="false">(J8)*AC8-(((D8)+(J8)*Assumptions!$B$4+IF(H8="Yes",Assumptions!$B$6*(D8),(J8)*Assumptions!$B$5))*(1+Assumptions!$B$7*(Assumptions!$B$8*(L8)*Assumptions!$B$9+Assumptions!$B$10))+(D8)*Assumptions!$B$11*(L8)+(J8)*AC8*(Assumptions!$B$12+Assumptions!$B$13+IF((J8)*AC8&gt;=Assumptions!$B$16,Assumptions!$B$17,IF((J8)*AC8&gt;=Assumptions!$B$14,Assumptions!$B$15,0))))</f>
        <v>2584966.1787</v>
      </c>
      <c r="AE8" s="46" t="n">
        <f aca="false">INDEX(Assumptions!$B$32:$B$44,MATCH(AG8,Assumptions!$A$32:$A$44,0))*(1+Assumptions!$B$26)</f>
        <v>2232</v>
      </c>
      <c r="AF8" s="47" t="n">
        <f aca="false">(J8)*AE8-(((D8)+(J8)*Assumptions!$B$4+IF(H8="Yes",Assumptions!$B$6*(D8),(J8)*Assumptions!$B$5))*(1+Assumptions!$B$7*(Assumptions!$B$8*(L8)*Assumptions!$B$9+Assumptions!$B$10))+(D8)*Assumptions!$B$11*(L8)+(J8)*AE8*(Assumptions!$B$12+Assumptions!$B$13+IF((J8)*AE8&gt;=Assumptions!$B$16,Assumptions!$B$17,IF((J8)*AE8&gt;=Assumptions!$B$14,Assumptions!$B$15,0))))</f>
        <v>3798879.7779</v>
      </c>
      <c r="AG8" s="40" t="s">
        <v>69</v>
      </c>
      <c r="AH8" s="45" t="n">
        <f aca="false">IF(G8&gt;0,G8,ROUND(F8*Assumptions!$B$18,0))</f>
        <v>3579</v>
      </c>
      <c r="AI8" s="45" t="n">
        <f aca="false">IF(H8="Yes",AH8,MAX(AH8,MIN(Assumptions!$B$20,ROUND(E8*Assumptions!$B$19,0))))</f>
        <v>7338</v>
      </c>
      <c r="AJ8" s="47" t="n">
        <f aca="false">(AH8)*AC8-(((D8)+(AH8)*Assumptions!$B$4+IF(H8="Yes",Assumptions!$B$6*(D8),(AH8)*Assumptions!$B$5))*(1+Assumptions!$B$7*(Assumptions!$B$8*(Assumptions!$B$21)*Assumptions!$B$9+Assumptions!$B$10))+(D8)*Assumptions!$B$11*(Assumptions!$B$21)+(AH8)*AC8*(Assumptions!$B$12+Assumptions!$B$13+IF((AH8)*AC8&gt;=Assumptions!$B$16,Assumptions!$B$17,IF((AH8)*AC8&gt;=Assumptions!$B$14,Assumptions!$B$15,0))))</f>
        <v>-563591.679149999</v>
      </c>
      <c r="AK8" s="47" t="n">
        <f aca="false">(AI8)*AC8-(((D8)+(AI8)*Assumptions!$B$4+IF(H8="Yes",Assumptions!$B$6*(D8),(AI8)*Assumptions!$B$5))*(1+Assumptions!$B$7*(Assumptions!$B$8*(IF(AI8&gt;AH8,Assumptions!$B$22,Assumptions!$B$21))*Assumptions!$B$9+Assumptions!$B$10))+(D8)*Assumptions!$B$11*(IF(AI8&gt;AH8,Assumptions!$B$22,Assumptions!$B$21))+(AI8)*AC8*(Assumptions!$B$12+Assumptions!$B$13+IF((AI8)*AC8&gt;=Assumptions!$B$16,Assumptions!$B$17,IF((AI8)*AC8&gt;=Assumptions!$B$14,Assumptions!$B$15,0))))</f>
        <v>2584966.1787</v>
      </c>
      <c r="AL8" s="47" t="n">
        <f aca="false">Assumptions!$B$7*(O8+P8+Q8)</f>
        <v>6134017.5</v>
      </c>
    </row>
    <row r="9" customFormat="false" ht="23.85" hidden="false" customHeight="false" outlineLevel="0" collapsed="false">
      <c r="A9" s="40" t="n">
        <v>7</v>
      </c>
      <c r="B9" s="40" t="s">
        <v>84</v>
      </c>
      <c r="C9" s="40" t="s">
        <v>75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76</v>
      </c>
      <c r="I9" s="44" t="s">
        <v>85</v>
      </c>
      <c r="J9" s="45" t="n">
        <f aca="false">IF(AK9&gt;AJ9,AI9,AH9)</f>
        <v>7154</v>
      </c>
      <c r="K9" s="40" t="str">
        <f aca="false">IF(AK9&gt;AJ9,"Zoning estimate",IF(H9="Yes","Approved plans",IF(G9&gt;0,"Listing claim","110% old house")))</f>
        <v>Approved plans</v>
      </c>
      <c r="L9" s="45" t="n">
        <f aca="false">IF(AK9&gt;AJ9,IF(AI9&gt;AH9,Assumptions!$B$22,Assumptions!$B$21),Assumptions!$B$21)</f>
        <v>2</v>
      </c>
      <c r="M9" s="46" t="n">
        <f aca="false">INDEX(Assumptions!$B$32:$B$44,MATCH(AG9,Assumptions!$A$32:$A$44,0))*(1+IF(UPPER(Assumptions!$B$27)="WORST",Assumptions!$B$24,IF(UPPER(Assumptions!$B$27)="BEST",Assumptions!$B$26,Assumptions!$B$25)))</f>
        <v>2035</v>
      </c>
      <c r="N9" s="47" t="n">
        <f aca="false">J9*M9</f>
        <v>14558390</v>
      </c>
      <c r="O9" s="47" t="n">
        <f aca="false">D9</f>
        <v>4495000</v>
      </c>
      <c r="P9" s="47" t="n">
        <f aca="false">J9*Assumptions!$B$4</f>
        <v>5007800</v>
      </c>
      <c r="Q9" s="47" t="n">
        <f aca="false">IF(H9="Yes",Assumptions!$B$6*(D9),(J9)*Assumptions!$B$5)</f>
        <v>224750</v>
      </c>
      <c r="R9" s="47" t="n">
        <f aca="false">AL9*(Assumptions!$B$8*L9*Assumptions!$B$9+Assumptions!$B$10)</f>
        <v>853592.5125</v>
      </c>
      <c r="S9" s="47" t="n">
        <f aca="false">O9*Assumptions!$B$11*L9</f>
        <v>107880</v>
      </c>
      <c r="T9" s="47" t="n">
        <f aca="false">N9*(Assumptions!$B$12+Assumptions!$B$13)</f>
        <v>809446.484</v>
      </c>
      <c r="U9" s="47" t="n">
        <f aca="false">N9*IF(N9&gt;=Assumptions!$B$16,Assumptions!$B$17,IF(N9&gt;=Assumptions!$B$14,Assumptions!$B$15,0))</f>
        <v>800711.45</v>
      </c>
      <c r="V9" s="48" t="n">
        <f aca="false">SUM(O9:U9)</f>
        <v>12299180.4465</v>
      </c>
      <c r="W9" s="48" t="n">
        <f aca="false">N9-V9</f>
        <v>2259209.5535</v>
      </c>
      <c r="X9" s="49" t="n">
        <f aca="false">IF(V9=0,0,W9/V9)</f>
        <v>0.183687812641444</v>
      </c>
      <c r="Y9" s="47" t="n">
        <f aca="false">MAX(0,(N9/(1+Assumptions!$B$23)-(J9*(Assumptions!$B$4+IF(H9="Yes",0,Assumptions!$B$5)))*(1+(Assumptions!$B$7*(Assumptions!$B$8*L9*Assumptions!$B$9+Assumptions!$B$10)))-N9*(Assumptions!$B$12+Assumptions!$B$13+IF(N9&gt;=Assumptions!$B$16,Assumptions!$B$17,IF(N9&gt;=Assumptions!$B$14,Assumptions!$B$15,0))))/((1+IF(H9="Yes",Assumptions!$B$6,0))*(1+(Assumptions!$B$7*(Assumptions!$B$8*L9*Assumptions!$B$9+Assumptions!$B$10)))+Assumptions!$B$11*L9))</f>
        <v>4803959.37976216</v>
      </c>
      <c r="Z9" s="50" t="n">
        <f aca="false">IF(Y9&lt;=0,"no price works",D9/Y9)</f>
        <v>0.93568651286609</v>
      </c>
      <c r="AA9" s="46" t="n">
        <f aca="false">INDEX(Assumptions!$B$32:$B$44,MATCH(AG9,Assumptions!$A$32:$A$44,0))*(1+Assumptions!$B$24)</f>
        <v>1850</v>
      </c>
      <c r="AB9" s="47" t="n">
        <f aca="false">(J9)*AA9-(((D9)+(J9)*Assumptions!$B$4+IF(H9="Yes",Assumptions!$B$6*(D9),(J9)*Assumptions!$B$5))*(1+Assumptions!$B$7*(Assumptions!$B$8*(L9)*Assumptions!$B$9+Assumptions!$B$10))+(D9)*Assumptions!$B$11*(L9)+(J9)*AA9*(Assumptions!$B$12+Assumptions!$B$13+IF((J9)*AA9&gt;=Assumptions!$B$16,Assumptions!$B$17,IF((J9)*AA9&gt;=Assumptions!$B$14,Assumptions!$B$15,0))))</f>
        <v>1082097.5475</v>
      </c>
      <c r="AC9" s="46" t="n">
        <f aca="false">INDEX(Assumptions!$B$32:$B$44,MATCH(AG9,Assumptions!$A$32:$A$44,0))*(1+Assumptions!$B$25)</f>
        <v>2035</v>
      </c>
      <c r="AD9" s="47" t="n">
        <f aca="false">(J9)*AC9-(((D9)+(J9)*Assumptions!$B$4+IF(H9="Yes",Assumptions!$B$6*(D9),(J9)*Assumptions!$B$5))*(1+Assumptions!$B$7*(Assumptions!$B$8*(L9)*Assumptions!$B$9+Assumptions!$B$10))+(D9)*Assumptions!$B$11*(L9)+(J9)*AC9*(Assumptions!$B$12+Assumptions!$B$13+IF((J9)*AC9&gt;=Assumptions!$B$16,Assumptions!$B$17,IF((J9)*AC9&gt;=Assumptions!$B$14,Assumptions!$B$15,0))))</f>
        <v>2259209.5535</v>
      </c>
      <c r="AE9" s="46" t="n">
        <f aca="false">INDEX(Assumptions!$B$32:$B$44,MATCH(AG9,Assumptions!$A$32:$A$44,0))*(1+Assumptions!$B$26)</f>
        <v>2220</v>
      </c>
      <c r="AF9" s="47" t="n">
        <f aca="false">(J9)*AE9-(((D9)+(J9)*Assumptions!$B$4+IF(H9="Yes",Assumptions!$B$6*(D9),(J9)*Assumptions!$B$5))*(1+Assumptions!$B$7*(Assumptions!$B$8*(L9)*Assumptions!$B$9+Assumptions!$B$10))+(D9)*Assumptions!$B$11*(L9)+(J9)*AE9*(Assumptions!$B$12+Assumptions!$B$13+IF((J9)*AE9&gt;=Assumptions!$B$16,Assumptions!$B$17,IF((J9)*AE9&gt;=Assumptions!$B$14,Assumptions!$B$15,0))))</f>
        <v>3436321.5595</v>
      </c>
      <c r="AG9" s="40" t="s">
        <v>78</v>
      </c>
      <c r="AH9" s="45" t="n">
        <f aca="false">IF(G9&gt;0,G9,ROUND(F9*Assumptions!$B$18,0))</f>
        <v>7154</v>
      </c>
      <c r="AI9" s="45" t="n">
        <f aca="false">IF(H9="Yes",AH9,MAX(AH9,MIN(Assumptions!$B$20,ROUND(E9*Assumptions!$B$19,0))))</f>
        <v>7154</v>
      </c>
      <c r="AJ9" s="47" t="n">
        <f aca="false">(AH9)*AC9-(((D9)+(AH9)*Assumptions!$B$4+IF(H9="Yes",Assumptions!$B$6*(D9),(AH9)*Assumptions!$B$5))*(1+Assumptions!$B$7*(Assumptions!$B$8*(Assumptions!$B$21)*Assumptions!$B$9+Assumptions!$B$10))+(D9)*Assumptions!$B$11*(Assumptions!$B$21)+(AH9)*AC9*(Assumptions!$B$12+Assumptions!$B$13+IF((AH9)*AC9&gt;=Assumptions!$B$16,Assumptions!$B$17,IF((AH9)*AC9&gt;=Assumptions!$B$14,Assumptions!$B$15,0))))</f>
        <v>2259209.5535</v>
      </c>
      <c r="AK9" s="47" t="n">
        <f aca="false">(AI9)*AC9-(((D9)+(AI9)*Assumptions!$B$4+IF(H9="Yes",Assumptions!$B$6*(D9),(AI9)*Assumptions!$B$5))*(1+Assumptions!$B$7*(Assumptions!$B$8*(IF(AI9&gt;AH9,Assumptions!$B$22,Assumptions!$B$21))*Assumptions!$B$9+Assumptions!$B$10))+(D9)*Assumptions!$B$11*(IF(AI9&gt;AH9,Assumptions!$B$22,Assumptions!$B$21))+(AI9)*AC9*(Assumptions!$B$12+Assumptions!$B$13+IF((AI9)*AC9&gt;=Assumptions!$B$16,Assumptions!$B$17,IF((AI9)*AC9&gt;=Assumptions!$B$14,Assumptions!$B$15,0))))</f>
        <v>2259209.5535</v>
      </c>
      <c r="AL9" s="47" t="n">
        <f aca="false">Assumptions!$B$7*(O9+P9+Q9)</f>
        <v>6322907.5</v>
      </c>
    </row>
    <row r="10" customFormat="false" ht="15" hidden="false" customHeight="false" outlineLevel="0" collapsed="false">
      <c r="A10" s="40" t="n">
        <v>8</v>
      </c>
      <c r="B10" s="40" t="s">
        <v>86</v>
      </c>
      <c r="C10" s="40" t="s">
        <v>66</v>
      </c>
      <c r="D10" s="41" t="n">
        <v>2670000</v>
      </c>
      <c r="E10" s="42" t="n">
        <v>11467</v>
      </c>
      <c r="F10" s="42" t="n">
        <v>2283</v>
      </c>
      <c r="G10" s="42"/>
      <c r="H10" s="43" t="s">
        <v>67</v>
      </c>
      <c r="I10" s="44"/>
      <c r="J10" s="45" t="n">
        <f aca="false">IF(AK10&gt;AJ10,AI10,AH10)</f>
        <v>4587</v>
      </c>
      <c r="K10" s="40" t="str">
        <f aca="false">IF(AK10&gt;AJ10,"Zoning estimate",IF(H10="Yes","Approved plans",IF(G10&gt;0,"Listing claim","110% old house")))</f>
        <v>Zoning estimate</v>
      </c>
      <c r="L10" s="45" t="n">
        <f aca="false">IF(AK10&gt;AJ10,IF(AI10&gt;AH10,Assumptions!$B$22,Assumptions!$B$21),Assumptions!$B$21)</f>
        <v>3</v>
      </c>
      <c r="M10" s="46" t="n">
        <f aca="false">INDEX(Assumptions!$B$32:$B$44,MATCH(AG10,Assumptions!$A$32:$A$44,0))*(1+IF(UPPER(Assumptions!$B$27)="WORST",Assumptions!$B$24,IF(UPPER(Assumptions!$B$27)="BEST",Assumptions!$B$26,Assumptions!$B$25)))</f>
        <v>2046</v>
      </c>
      <c r="N10" s="47" t="n">
        <f aca="false">J10*M10</f>
        <v>9385002</v>
      </c>
      <c r="O10" s="47" t="n">
        <f aca="false">D10</f>
        <v>2670000</v>
      </c>
      <c r="P10" s="47" t="n">
        <f aca="false">J10*Assumptions!$B$4</f>
        <v>3210900</v>
      </c>
      <c r="Q10" s="47" t="n">
        <f aca="false">IF(H10="Yes",Assumptions!$B$6*(D10),(J10)*Assumptions!$B$5)</f>
        <v>344025</v>
      </c>
      <c r="R10" s="47" t="n">
        <f aca="false">AL10*(Assumptions!$B$8*L10*Assumptions!$B$9+Assumptions!$B$10)</f>
        <v>789009.24375</v>
      </c>
      <c r="S10" s="47" t="n">
        <f aca="false">O10*Assumptions!$B$11*L10</f>
        <v>96120</v>
      </c>
      <c r="T10" s="47" t="n">
        <f aca="false">N10*(Assumptions!$B$12+Assumptions!$B$13)</f>
        <v>521806.1112</v>
      </c>
      <c r="U10" s="47" t="n">
        <f aca="false">N10*IF(N10&gt;=Assumptions!$B$16,Assumptions!$B$17,IF(N10&gt;=Assumptions!$B$14,Assumptions!$B$15,0))</f>
        <v>375400.08</v>
      </c>
      <c r="V10" s="48" t="n">
        <f aca="false">SUM(O10:U10)</f>
        <v>8007260.43495</v>
      </c>
      <c r="W10" s="48" t="n">
        <f aca="false">N10-V10</f>
        <v>1377741.56505</v>
      </c>
      <c r="X10" s="49" t="n">
        <f aca="false">IF(V10=0,0,W10/V10)</f>
        <v>0.17206154042854</v>
      </c>
      <c r="Y10" s="47" t="n">
        <f aca="false">MAX(0,(N10/(1+Assumptions!$B$23)-(J10*(Assumptions!$B$4+IF(H10="Yes",0,Assumptions!$B$5)))*(1+(Assumptions!$B$7*(Assumptions!$B$8*L10*Assumptions!$B$9+Assumptions!$B$10)))-N10*(Assumptions!$B$12+Assumptions!$B$13+IF(N10&gt;=Assumptions!$B$16,Assumptions!$B$17,IF(N10&gt;=Assumptions!$B$14,Assumptions!$B$15,0))))/((1+IF(H10="Yes",Assumptions!$B$6,0))*(1+(Assumptions!$B$7*(Assumptions!$B$8*L10*Assumptions!$B$9+Assumptions!$B$10)))+Assumptions!$B$11*L10))</f>
        <v>2802109.97153114</v>
      </c>
      <c r="Z10" s="50" t="n">
        <f aca="false">IF(Y10&lt;=0,"no price works",D10/Y10)</f>
        <v>0.952853395165306</v>
      </c>
      <c r="AA10" s="46" t="n">
        <f aca="false">INDEX(Assumptions!$B$32:$B$44,MATCH(AG10,Assumptions!$A$32:$A$44,0))*(1+Assumptions!$B$24)</f>
        <v>1860</v>
      </c>
      <c r="AB10" s="47" t="n">
        <f aca="false">(J10)*AA10-(((D10)+(J10)*Assumptions!$B$4+IF(H10="Yes",Assumptions!$B$6*(D10),(J10)*Assumptions!$B$5))*(1+Assumptions!$B$7*(Assumptions!$B$8*(L10)*Assumptions!$B$9+Assumptions!$B$10))+(D10)*Assumptions!$B$11*(L10)+(J10)*AA10*(Assumptions!$B$12+Assumptions!$B$13+IF((J10)*AA10&gt;=Assumptions!$B$16,Assumptions!$B$17,IF((J10)*AA10&gt;=Assumptions!$B$14,Assumptions!$B$15,0))))</f>
        <v>606123.764250001</v>
      </c>
      <c r="AC10" s="46" t="n">
        <f aca="false">INDEX(Assumptions!$B$32:$B$44,MATCH(AG10,Assumptions!$A$32:$A$44,0))*(1+Assumptions!$B$25)</f>
        <v>2046</v>
      </c>
      <c r="AD10" s="47" t="n">
        <f aca="false">(J10)*AC10-(((D10)+(J10)*Assumptions!$B$4+IF(H10="Yes",Assumptions!$B$6*(D10),(J10)*Assumptions!$B$5))*(1+Assumptions!$B$7*(Assumptions!$B$8*(L10)*Assumptions!$B$9+Assumptions!$B$10))+(D10)*Assumptions!$B$11*(L10)+(J10)*AC10*(Assumptions!$B$12+Assumptions!$B$13+IF((J10)*AC10&gt;=Assumptions!$B$16,Assumptions!$B$17,IF((J10)*AC10&gt;=Assumptions!$B$14,Assumptions!$B$15,0))))</f>
        <v>1377741.56505</v>
      </c>
      <c r="AE10" s="46" t="n">
        <f aca="false">INDEX(Assumptions!$B$32:$B$44,MATCH(AG10,Assumptions!$A$32:$A$44,0))*(1+Assumptions!$B$26)</f>
        <v>2232</v>
      </c>
      <c r="AF10" s="47" t="n">
        <f aca="false">(J10)*AE10-(((D10)+(J10)*Assumptions!$B$4+IF(H10="Yes",Assumptions!$B$6*(D10),(J10)*Assumptions!$B$5))*(1+Assumptions!$B$7*(Assumptions!$B$8*(L10)*Assumptions!$B$9+Assumptions!$B$10))+(D10)*Assumptions!$B$11*(L10)+(J10)*AE10*(Assumptions!$B$12+Assumptions!$B$13+IF((J10)*AE10&gt;=Assumptions!$B$16,Assumptions!$B$17,IF((J10)*AE10&gt;=Assumptions!$B$14,Assumptions!$B$15,0))))</f>
        <v>2149359.36585</v>
      </c>
      <c r="AG10" s="40" t="s">
        <v>69</v>
      </c>
      <c r="AH10" s="45" t="n">
        <f aca="false">IF(G10&gt;0,G10,ROUND(F10*Assumptions!$B$18,0))</f>
        <v>2511</v>
      </c>
      <c r="AI10" s="45" t="n">
        <f aca="false">IF(H10="Yes",AH10,MAX(AH10,MIN(Assumptions!$B$20,ROUND(E10*Assumptions!$B$19,0))))</f>
        <v>4587</v>
      </c>
      <c r="AJ10" s="47" t="n">
        <f aca="false">(AH10)*AC10-(((D10)+(AH10)*Assumptions!$B$4+IF(H10="Yes",Assumptions!$B$6*(D10),(AH10)*Assumptions!$B$5))*(1+Assumptions!$B$7*(Assumptions!$B$8*(Assumptions!$B$21)*Assumptions!$B$9+Assumptions!$B$10))+(D10)*Assumptions!$B$11*(Assumptions!$B$21)+(AH10)*AC10*(Assumptions!$B$12+Assumptions!$B$13+IF((AH10)*AC10&gt;=Assumptions!$B$16,Assumptions!$B$17,IF((AH10)*AC10&gt;=Assumptions!$B$14,Assumptions!$B$15,0))))</f>
        <v>-233300.527349999</v>
      </c>
      <c r="AK10" s="47" t="n">
        <f aca="false">(AI10)*AC10-(((D10)+(AI10)*Assumptions!$B$4+IF(H10="Yes",Assumptions!$B$6*(D10),(AI10)*Assumptions!$B$5))*(1+Assumptions!$B$7*(Assumptions!$B$8*(IF(AI10&gt;AH10,Assumptions!$B$22,Assumptions!$B$21))*Assumptions!$B$9+Assumptions!$B$10))+(D10)*Assumptions!$B$11*(IF(AI10&gt;AH10,Assumptions!$B$22,Assumptions!$B$21))+(AI10)*AC10*(Assumptions!$B$12+Assumptions!$B$13+IF((AI10)*AC10&gt;=Assumptions!$B$16,Assumptions!$B$17,IF((AI10)*AC10&gt;=Assumptions!$B$14,Assumptions!$B$15,0))))</f>
        <v>1377741.56505</v>
      </c>
      <c r="AL10" s="47" t="n">
        <f aca="false">Assumptions!$B$7*(O10+P10+Q10)</f>
        <v>4046201.25</v>
      </c>
    </row>
    <row r="11" customFormat="false" ht="15" hidden="false" customHeight="false" outlineLevel="0" collapsed="false">
      <c r="A11" s="40" t="n">
        <v>9</v>
      </c>
      <c r="B11" s="40" t="s">
        <v>87</v>
      </c>
      <c r="C11" s="40" t="s">
        <v>71</v>
      </c>
      <c r="D11" s="41" t="n">
        <v>999000</v>
      </c>
      <c r="E11" s="42" t="n">
        <v>7813</v>
      </c>
      <c r="F11" s="42" t="n">
        <v>1044</v>
      </c>
      <c r="G11" s="42"/>
      <c r="H11" s="43" t="s">
        <v>67</v>
      </c>
      <c r="I11" s="44" t="s">
        <v>88</v>
      </c>
      <c r="J11" s="45" t="n">
        <f aca="false">IF(AK11&gt;AJ11,AI11,AH11)</f>
        <v>3125</v>
      </c>
      <c r="K11" s="40" t="str">
        <f aca="false">IF(AK11&gt;AJ11,"Zoning estimate",IF(H11="Yes","Approved plans",IF(G11&gt;0,"Listing claim","110% old house")))</f>
        <v>Zoning estimate</v>
      </c>
      <c r="L11" s="45" t="n">
        <f aca="false">IF(AK11&gt;AJ11,IF(AI11&gt;AH11,Assumptions!$B$22,Assumptions!$B$21),Assumptions!$B$21)</f>
        <v>3</v>
      </c>
      <c r="M11" s="46" t="n">
        <f aca="false">INDEX(Assumptions!$B$32:$B$44,MATCH(AG11,Assumptions!$A$32:$A$44,0))*(1+IF(UPPER(Assumptions!$B$27)="WORST",Assumptions!$B$24,IF(UPPER(Assumptions!$B$27)="BEST",Assumptions!$B$26,Assumptions!$B$25)))</f>
        <v>1540</v>
      </c>
      <c r="N11" s="47" t="n">
        <f aca="false">J11*M11</f>
        <v>4812500</v>
      </c>
      <c r="O11" s="47" t="n">
        <f aca="false">D11</f>
        <v>999000</v>
      </c>
      <c r="P11" s="47" t="n">
        <f aca="false">J11*Assumptions!$B$4</f>
        <v>2187500</v>
      </c>
      <c r="Q11" s="47" t="n">
        <f aca="false">IF(H11="Yes",Assumptions!$B$6*(D11),(J11)*Assumptions!$B$5)</f>
        <v>234375</v>
      </c>
      <c r="R11" s="47" t="n">
        <f aca="false">AL11*(Assumptions!$B$8*L11*Assumptions!$B$9+Assumptions!$B$10)</f>
        <v>433595.90625</v>
      </c>
      <c r="S11" s="47" t="n">
        <f aca="false">O11*Assumptions!$B$11*L11</f>
        <v>35964</v>
      </c>
      <c r="T11" s="47" t="n">
        <f aca="false">N11*(Assumptions!$B$12+Assumptions!$B$13)</f>
        <v>267575</v>
      </c>
      <c r="U11" s="47" t="n">
        <f aca="false">N11*IF(N11&gt;=Assumptions!$B$16,Assumptions!$B$17,IF(N11&gt;=Assumptions!$B$14,Assumptions!$B$15,0))</f>
        <v>0</v>
      </c>
      <c r="V11" s="48" t="n">
        <f aca="false">SUM(O11:U11)</f>
        <v>4158009.90625</v>
      </c>
      <c r="W11" s="48" t="n">
        <f aca="false">N11-V11</f>
        <v>654490.093750001</v>
      </c>
      <c r="X11" s="49" t="n">
        <f aca="false">IF(V11=0,0,W11/V11)</f>
        <v>0.157404649942325</v>
      </c>
      <c r="Y11" s="47" t="n">
        <f aca="false">MAX(0,(N11/(1+Assumptions!$B$23)-(J11*(Assumptions!$B$4+IF(H11="Yes",0,Assumptions!$B$5)))*(1+(Assumptions!$B$7*(Assumptions!$B$8*L11*Assumptions!$B$9+Assumptions!$B$10)))-N11*(Assumptions!$B$12+Assumptions!$B$13+IF(N11&gt;=Assumptions!$B$16,Assumptions!$B$17,IF(N11&gt;=Assumptions!$B$14,Assumptions!$B$15,0))))/((1+IF(H11="Yes",Assumptions!$B$6,0))*(1+(Assumptions!$B$7*(Assumptions!$B$8*L11*Assumptions!$B$9+Assumptions!$B$10)))+Assumptions!$B$11*L11))</f>
        <v>1022025.32998981</v>
      </c>
      <c r="Z11" s="50" t="n">
        <f aca="false">IF(Y11&lt;=0,"no price works",D11/Y11)</f>
        <v>0.977470881284282</v>
      </c>
      <c r="AA11" s="46" t="n">
        <f aca="false">INDEX(Assumptions!$B$32:$B$44,MATCH(AG11,Assumptions!$A$32:$A$44,0))*(1+Assumptions!$B$24)</f>
        <v>1400</v>
      </c>
      <c r="AB11" s="47" t="n">
        <f aca="false">(J11)*AA11-(((D11)+(J11)*Assumptions!$B$4+IF(H11="Yes",Assumptions!$B$6*(D11),(J11)*Assumptions!$B$5))*(1+Assumptions!$B$7*(Assumptions!$B$8*(L11)*Assumptions!$B$9+Assumptions!$B$10))+(D11)*Assumptions!$B$11*(L11)+(J11)*AA11*(Assumptions!$B$12+Assumptions!$B$13+IF((J11)*AA11&gt;=Assumptions!$B$16,Assumptions!$B$17,IF((J11)*AA11&gt;=Assumptions!$B$14,Assumptions!$B$15,0))))</f>
        <v>241315.09375</v>
      </c>
      <c r="AC11" s="46" t="n">
        <f aca="false">INDEX(Assumptions!$B$32:$B$44,MATCH(AG11,Assumptions!$A$32:$A$44,0))*(1+Assumptions!$B$25)</f>
        <v>1540</v>
      </c>
      <c r="AD11" s="47" t="n">
        <f aca="false">(J11)*AC11-(((D11)+(J11)*Assumptions!$B$4+IF(H11="Yes",Assumptions!$B$6*(D11),(J11)*Assumptions!$B$5))*(1+Assumptions!$B$7*(Assumptions!$B$8*(L11)*Assumptions!$B$9+Assumptions!$B$10))+(D11)*Assumptions!$B$11*(L11)+(J11)*AC11*(Assumptions!$B$12+Assumptions!$B$13+IF((J11)*AC11&gt;=Assumptions!$B$16,Assumptions!$B$17,IF((J11)*AC11&gt;=Assumptions!$B$14,Assumptions!$B$15,0))))</f>
        <v>654490.093750001</v>
      </c>
      <c r="AE11" s="46" t="n">
        <f aca="false">INDEX(Assumptions!$B$32:$B$44,MATCH(AG11,Assumptions!$A$32:$A$44,0))*(1+Assumptions!$B$26)</f>
        <v>1680</v>
      </c>
      <c r="AF11" s="47" t="n">
        <f aca="false">(J11)*AE11-(((D11)+(J11)*Assumptions!$B$4+IF(H11="Yes",Assumptions!$B$6*(D11),(J11)*Assumptions!$B$5))*(1+Assumptions!$B$7*(Assumptions!$B$8*(L11)*Assumptions!$B$9+Assumptions!$B$10))+(D11)*Assumptions!$B$11*(L11)+(J11)*AE11*(Assumptions!$B$12+Assumptions!$B$13+IF((J11)*AE11&gt;=Assumptions!$B$16,Assumptions!$B$17,IF((J11)*AE11&gt;=Assumptions!$B$14,Assumptions!$B$15,0))))</f>
        <v>1067665.09375</v>
      </c>
      <c r="AG11" s="40" t="s">
        <v>73</v>
      </c>
      <c r="AH11" s="45" t="n">
        <f aca="false">IF(G11&gt;0,G11,ROUND(F11*Assumptions!$B$18,0))</f>
        <v>1148</v>
      </c>
      <c r="AI11" s="45" t="n">
        <f aca="false">IF(H11="Yes",AH11,MAX(AH11,MIN(Assumptions!$B$20,ROUND(E11*Assumptions!$B$19,0))))</f>
        <v>3125</v>
      </c>
      <c r="AJ11" s="47" t="n">
        <f aca="false">(AH11)*AC11-(((D11)+(AH11)*Assumptions!$B$4+IF(H11="Yes",Assumptions!$B$6*(D11),(AH11)*Assumptions!$B$5))*(1+Assumptions!$B$7*(Assumptions!$B$8*(Assumptions!$B$21)*Assumptions!$B$9+Assumptions!$B$10))+(D11)*Assumptions!$B$11*(Assumptions!$B$21)+(AH11)*AC11*(Assumptions!$B$12+Assumptions!$B$13+IF((AH11)*AC11&gt;=Assumptions!$B$16,Assumptions!$B$17,IF((AH11)*AC11&gt;=Assumptions!$B$14,Assumptions!$B$15,0))))</f>
        <v>-408785.777</v>
      </c>
      <c r="AK11" s="47" t="n">
        <f aca="false">(AI11)*AC11-(((D11)+(AI11)*Assumptions!$B$4+IF(H11="Yes",Assumptions!$B$6*(D11),(AI11)*Assumptions!$B$5))*(1+Assumptions!$B$7*(Assumptions!$B$8*(IF(AI11&gt;AH11,Assumptions!$B$22,Assumptions!$B$21))*Assumptions!$B$9+Assumptions!$B$10))+(D11)*Assumptions!$B$11*(IF(AI11&gt;AH11,Assumptions!$B$22,Assumptions!$B$21))+(AI11)*AC11*(Assumptions!$B$12+Assumptions!$B$13+IF((AI11)*AC11&gt;=Assumptions!$B$16,Assumptions!$B$17,IF((AI11)*AC11&gt;=Assumptions!$B$14,Assumptions!$B$15,0))))</f>
        <v>654490.093750001</v>
      </c>
      <c r="AL11" s="47" t="n">
        <f aca="false">Assumptions!$B$7*(O11+P11+Q11)</f>
        <v>2223568.75</v>
      </c>
    </row>
    <row r="12" customFormat="false" ht="15" hidden="false" customHeight="false" outlineLevel="0" collapsed="false">
      <c r="A12" s="40" t="n">
        <v>10</v>
      </c>
      <c r="B12" s="40" t="s">
        <v>89</v>
      </c>
      <c r="C12" s="40" t="s">
        <v>71</v>
      </c>
      <c r="D12" s="41" t="n">
        <v>990000</v>
      </c>
      <c r="E12" s="42" t="n">
        <v>7400</v>
      </c>
      <c r="F12" s="42" t="n">
        <v>1694</v>
      </c>
      <c r="G12" s="42"/>
      <c r="H12" s="43" t="s">
        <v>67</v>
      </c>
      <c r="I12" s="44" t="s">
        <v>90</v>
      </c>
      <c r="J12" s="45" t="n">
        <f aca="false">IF(AK12&gt;AJ12,AI12,AH12)</f>
        <v>2960</v>
      </c>
      <c r="K12" s="40" t="str">
        <f aca="false">IF(AK12&gt;AJ12,"Zoning estimate",IF(H12="Yes","Approved plans",IF(G12&gt;0,"Listing claim","110% old house")))</f>
        <v>Zoning estimate</v>
      </c>
      <c r="L12" s="45" t="n">
        <f aca="false">IF(AK12&gt;AJ12,IF(AI12&gt;AH12,Assumptions!$B$22,Assumptions!$B$21),Assumptions!$B$21)</f>
        <v>3</v>
      </c>
      <c r="M12" s="46" t="n">
        <f aca="false">INDEX(Assumptions!$B$32:$B$44,MATCH(AG12,Assumptions!$A$32:$A$44,0))*(1+IF(UPPER(Assumptions!$B$27)="WORST",Assumptions!$B$24,IF(UPPER(Assumptions!$B$27)="BEST",Assumptions!$B$26,Assumptions!$B$25)))</f>
        <v>1540</v>
      </c>
      <c r="N12" s="47" t="n">
        <f aca="false">J12*M12</f>
        <v>4558400</v>
      </c>
      <c r="O12" s="47" t="n">
        <f aca="false">D12</f>
        <v>990000</v>
      </c>
      <c r="P12" s="47" t="n">
        <f aca="false">J12*Assumptions!$B$4</f>
        <v>2072000</v>
      </c>
      <c r="Q12" s="47" t="n">
        <f aca="false">IF(H12="Yes",Assumptions!$B$6*(D12),(J12)*Assumptions!$B$5)</f>
        <v>222000</v>
      </c>
      <c r="R12" s="47" t="n">
        <f aca="false">AL12*(Assumptions!$B$8*L12*Assumptions!$B$9+Assumptions!$B$10)</f>
        <v>416247</v>
      </c>
      <c r="S12" s="47" t="n">
        <f aca="false">O12*Assumptions!$B$11*L12</f>
        <v>35640</v>
      </c>
      <c r="T12" s="47" t="n">
        <f aca="false">N12*(Assumptions!$B$12+Assumptions!$B$13)</f>
        <v>253447.04</v>
      </c>
      <c r="U12" s="47" t="n">
        <f aca="false">N12*IF(N12&gt;=Assumptions!$B$16,Assumptions!$B$17,IF(N12&gt;=Assumptions!$B$14,Assumptions!$B$15,0))</f>
        <v>0</v>
      </c>
      <c r="V12" s="48" t="n">
        <f aca="false">SUM(O12:U12)</f>
        <v>3989334.04</v>
      </c>
      <c r="W12" s="48" t="n">
        <f aca="false">N12-V12</f>
        <v>569065.960000001</v>
      </c>
      <c r="X12" s="49" t="n">
        <f aca="false">IF(V12=0,0,W12/V12)</f>
        <v>0.142646856416165</v>
      </c>
      <c r="Y12" s="47" t="n">
        <f aca="false">MAX(0,(N12/(1+Assumptions!$B$23)-(J12*(Assumptions!$B$4+IF(H12="Yes",0,Assumptions!$B$5)))*(1+(Assumptions!$B$7*(Assumptions!$B$8*L12*Assumptions!$B$9+Assumptions!$B$10)))-N12*(Assumptions!$B$12+Assumptions!$B$13+IF(N12&gt;=Assumptions!$B$16,Assumptions!$B$17,IF(N12&gt;=Assumptions!$B$14,Assumptions!$B$15,0))))/((1+IF(H12="Yes",Assumptions!$B$6,0))*(1+(Assumptions!$B$7*(Assumptions!$B$8*L12*Assumptions!$B$9+Assumptions!$B$10)))+Assumptions!$B$11*L12))</f>
        <v>968062.39256635</v>
      </c>
      <c r="Z12" s="50" t="n">
        <f aca="false">IF(Y12&lt;=0,"no price works",D12/Y12)</f>
        <v>1.02266135695603</v>
      </c>
      <c r="AA12" s="46" t="n">
        <f aca="false">INDEX(Assumptions!$B$32:$B$44,MATCH(AG12,Assumptions!$A$32:$A$44,0))*(1+Assumptions!$B$24)</f>
        <v>1400</v>
      </c>
      <c r="AB12" s="47" t="n">
        <f aca="false">(J12)*AA12-(((D12)+(J12)*Assumptions!$B$4+IF(H12="Yes",Assumptions!$B$6*(D12),(J12)*Assumptions!$B$5))*(1+Assumptions!$B$7*(Assumptions!$B$8*(L12)*Assumptions!$B$9+Assumptions!$B$10))+(D12)*Assumptions!$B$11*(L12)+(J12)*AA12*(Assumptions!$B$12+Assumptions!$B$13+IF((J12)*AA12&gt;=Assumptions!$B$16,Assumptions!$B$17,IF((J12)*AA12&gt;=Assumptions!$B$14,Assumptions!$B$15,0))))</f>
        <v>177706.600000001</v>
      </c>
      <c r="AC12" s="46" t="n">
        <f aca="false">INDEX(Assumptions!$B$32:$B$44,MATCH(AG12,Assumptions!$A$32:$A$44,0))*(1+Assumptions!$B$25)</f>
        <v>1540</v>
      </c>
      <c r="AD12" s="47" t="n">
        <f aca="false">(J12)*AC12-(((D12)+(J12)*Assumptions!$B$4+IF(H12="Yes",Assumptions!$B$6*(D12),(J12)*Assumptions!$B$5))*(1+Assumptions!$B$7*(Assumptions!$B$8*(L12)*Assumptions!$B$9+Assumptions!$B$10))+(D12)*Assumptions!$B$11*(L12)+(J12)*AC12*(Assumptions!$B$12+Assumptions!$B$13+IF((J12)*AC12&gt;=Assumptions!$B$16,Assumptions!$B$17,IF((J12)*AC12&gt;=Assumptions!$B$14,Assumptions!$B$15,0))))</f>
        <v>569065.960000001</v>
      </c>
      <c r="AE12" s="46" t="n">
        <f aca="false">INDEX(Assumptions!$B$32:$B$44,MATCH(AG12,Assumptions!$A$32:$A$44,0))*(1+Assumptions!$B$26)</f>
        <v>1680</v>
      </c>
      <c r="AF12" s="47" t="n">
        <f aca="false">(J12)*AE12-(((D12)+(J12)*Assumptions!$B$4+IF(H12="Yes",Assumptions!$B$6*(D12),(J12)*Assumptions!$B$5))*(1+Assumptions!$B$7*(Assumptions!$B$8*(L12)*Assumptions!$B$9+Assumptions!$B$10))+(D12)*Assumptions!$B$11*(L12)+(J12)*AE12*(Assumptions!$B$12+Assumptions!$B$13+IF((J12)*AE12&gt;=Assumptions!$B$16,Assumptions!$B$17,IF((J12)*AE12&gt;=Assumptions!$B$14,Assumptions!$B$15,0))))</f>
        <v>960425.32</v>
      </c>
      <c r="AG12" s="40" t="s">
        <v>73</v>
      </c>
      <c r="AH12" s="45" t="n">
        <f aca="false">IF(G12&gt;0,G12,ROUND(F12*Assumptions!$B$18,0))</f>
        <v>1863</v>
      </c>
      <c r="AI12" s="45" t="n">
        <f aca="false">IF(H12="Yes",AH12,MAX(AH12,MIN(Assumptions!$B$20,ROUND(E12*Assumptions!$B$19,0))))</f>
        <v>2960</v>
      </c>
      <c r="AJ12" s="47" t="n">
        <f aca="false">(AH12)*AC12-(((D12)+(AH12)*Assumptions!$B$4+IF(H12="Yes",Assumptions!$B$6*(D12),(AH12)*Assumptions!$B$5))*(1+Assumptions!$B$7*(Assumptions!$B$8*(Assumptions!$B$21)*Assumptions!$B$9+Assumptions!$B$10))+(D12)*Assumptions!$B$11*(Assumptions!$B$21)+(AH12)*AC12*(Assumptions!$B$12+Assumptions!$B$13+IF((AH12)*AC12&gt;=Assumptions!$B$16,Assumptions!$B$17,IF((AH12)*AC12&gt;=Assumptions!$B$14,Assumptions!$B$15,0))))</f>
        <v>38349.3442500006</v>
      </c>
      <c r="AK12" s="47" t="n">
        <f aca="false">(AI12)*AC12-(((D12)+(AI12)*Assumptions!$B$4+IF(H12="Yes",Assumptions!$B$6*(D12),(AI12)*Assumptions!$B$5))*(1+Assumptions!$B$7*(Assumptions!$B$8*(IF(AI12&gt;AH12,Assumptions!$B$22,Assumptions!$B$21))*Assumptions!$B$9+Assumptions!$B$10))+(D12)*Assumptions!$B$11*(IF(AI12&gt;AH12,Assumptions!$B$22,Assumptions!$B$21))+(AI12)*AC12*(Assumptions!$B$12+Assumptions!$B$13+IF((AI12)*AC12&gt;=Assumptions!$B$16,Assumptions!$B$17,IF((AI12)*AC12&gt;=Assumptions!$B$14,Assumptions!$B$15,0))))</f>
        <v>569065.960000001</v>
      </c>
      <c r="AL12" s="47" t="n">
        <f aca="false">Assumptions!$B$7*(O12+P12+Q12)</f>
        <v>2134600</v>
      </c>
    </row>
    <row r="13" customFormat="false" ht="15" hidden="false" customHeight="false" outlineLevel="0" collapsed="false">
      <c r="A13" s="40" t="n">
        <v>11</v>
      </c>
      <c r="B13" s="40" t="s">
        <v>91</v>
      </c>
      <c r="C13" s="40" t="s">
        <v>66</v>
      </c>
      <c r="D13" s="41" t="n">
        <v>2350000</v>
      </c>
      <c r="E13" s="42" t="n">
        <v>9447</v>
      </c>
      <c r="F13" s="42" t="n">
        <v>1571</v>
      </c>
      <c r="G13" s="42"/>
      <c r="H13" s="43" t="s">
        <v>67</v>
      </c>
      <c r="I13" s="44" t="s">
        <v>92</v>
      </c>
      <c r="J13" s="45" t="n">
        <f aca="false">IF(AK13&gt;AJ13,AI13,AH13)</f>
        <v>3779</v>
      </c>
      <c r="K13" s="40" t="str">
        <f aca="false">IF(AK13&gt;AJ13,"Zoning estimate",IF(H13="Yes","Approved plans",IF(G13&gt;0,"Listing claim","110% old house")))</f>
        <v>Zoning estimate</v>
      </c>
      <c r="L13" s="45" t="n">
        <f aca="false">IF(AK13&gt;AJ13,IF(AI13&gt;AH13,Assumptions!$B$22,Assumptions!$B$21),Assumptions!$B$21)</f>
        <v>3</v>
      </c>
      <c r="M13" s="46" t="n">
        <f aca="false">INDEX(Assumptions!$B$32:$B$44,MATCH(AG13,Assumptions!$A$32:$A$44,0))*(1+IF(UPPER(Assumptions!$B$27)="WORST",Assumptions!$B$24,IF(UPPER(Assumptions!$B$27)="BEST",Assumptions!$B$26,Assumptions!$B$25)))</f>
        <v>2046</v>
      </c>
      <c r="N13" s="47" t="n">
        <f aca="false">J13*M13</f>
        <v>7731834</v>
      </c>
      <c r="O13" s="47" t="n">
        <f aca="false">D13</f>
        <v>2350000</v>
      </c>
      <c r="P13" s="47" t="n">
        <f aca="false">J13*Assumptions!$B$4</f>
        <v>2645300</v>
      </c>
      <c r="Q13" s="47" t="n">
        <f aca="false">IF(H13="Yes",Assumptions!$B$6*(D13),(J13)*Assumptions!$B$5)</f>
        <v>283425</v>
      </c>
      <c r="R13" s="47" t="n">
        <f aca="false">AL13*(Assumptions!$B$8*L13*Assumptions!$B$9+Assumptions!$B$10)</f>
        <v>669078.39375</v>
      </c>
      <c r="S13" s="47" t="n">
        <f aca="false">O13*Assumptions!$B$11*L13</f>
        <v>84600</v>
      </c>
      <c r="T13" s="47" t="n">
        <f aca="false">N13*(Assumptions!$B$12+Assumptions!$B$13)</f>
        <v>429889.9704</v>
      </c>
      <c r="U13" s="47" t="n">
        <f aca="false">N13*IF(N13&gt;=Assumptions!$B$16,Assumptions!$B$17,IF(N13&gt;=Assumptions!$B$14,Assumptions!$B$15,0))</f>
        <v>309273.36</v>
      </c>
      <c r="V13" s="48" t="n">
        <f aca="false">SUM(O13:U13)</f>
        <v>6771566.72415</v>
      </c>
      <c r="W13" s="48" t="n">
        <f aca="false">N13-V13</f>
        <v>960267.275850001</v>
      </c>
      <c r="X13" s="49" t="n">
        <f aca="false">IF(V13=0,0,W13/V13)</f>
        <v>0.141808729791485</v>
      </c>
      <c r="Y13" s="47" t="n">
        <f aca="false">MAX(0,(N13/(1+Assumptions!$B$23)-(J13*(Assumptions!$B$4+IF(H13="Yes",0,Assumptions!$B$5)))*(1+(Assumptions!$B$7*(Assumptions!$B$8*L13*Assumptions!$B$9+Assumptions!$B$10)))-N13*(Assumptions!$B$12+Assumptions!$B$13+IF(N13&gt;=Assumptions!$B$16,Assumptions!$B$17,IF(N13&gt;=Assumptions!$B$14,Assumptions!$B$15,0))))/((1+IF(H13="Yes",Assumptions!$B$6,0))*(1+(Assumptions!$B$7*(Assumptions!$B$8*L13*Assumptions!$B$9+Assumptions!$B$10)))+Assumptions!$B$11*L13))</f>
        <v>2308518.33058996</v>
      </c>
      <c r="Z13" s="50" t="n">
        <f aca="false">IF(Y13&lt;=0,"no price works",D13/Y13)</f>
        <v>1.01796895821028</v>
      </c>
      <c r="AA13" s="46" t="n">
        <f aca="false">INDEX(Assumptions!$B$32:$B$44,MATCH(AG13,Assumptions!$A$32:$A$44,0))*(1+Assumptions!$B$24)</f>
        <v>1860</v>
      </c>
      <c r="AB13" s="47" t="n">
        <f aca="false">(J13)*AA13-(((D13)+(J13)*Assumptions!$B$4+IF(H13="Yes",Assumptions!$B$6*(D13),(J13)*Assumptions!$B$5))*(1+Assumptions!$B$7*(Assumptions!$B$8*(L13)*Assumptions!$B$9+Assumptions!$B$10))+(D13)*Assumptions!$B$11*(L13)+(J13)*AA13*(Assumptions!$B$12+Assumptions!$B$13+IF((J13)*AA13&gt;=Assumptions!$B$16,Assumptions!$B$17,IF((J13)*AA13&gt;=Assumptions!$B$14,Assumptions!$B$15,0))))</f>
        <v>324569.94225</v>
      </c>
      <c r="AC13" s="46" t="n">
        <f aca="false">INDEX(Assumptions!$B$32:$B$44,MATCH(AG13,Assumptions!$A$32:$A$44,0))*(1+Assumptions!$B$25)</f>
        <v>2046</v>
      </c>
      <c r="AD13" s="47" t="n">
        <f aca="false">(J13)*AC13-(((D13)+(J13)*Assumptions!$B$4+IF(H13="Yes",Assumptions!$B$6*(D13),(J13)*Assumptions!$B$5))*(1+Assumptions!$B$7*(Assumptions!$B$8*(L13)*Assumptions!$B$9+Assumptions!$B$10))+(D13)*Assumptions!$B$11*(L13)+(J13)*AC13*(Assumptions!$B$12+Assumptions!$B$13+IF((J13)*AC13&gt;=Assumptions!$B$16,Assumptions!$B$17,IF((J13)*AC13&gt;=Assumptions!$B$14,Assumptions!$B$15,0))))</f>
        <v>960267.275850001</v>
      </c>
      <c r="AE13" s="46" t="n">
        <f aca="false">INDEX(Assumptions!$B$32:$B$44,MATCH(AG13,Assumptions!$A$32:$A$44,0))*(1+Assumptions!$B$26)</f>
        <v>2232</v>
      </c>
      <c r="AF13" s="47" t="n">
        <f aca="false">(J13)*AE13-(((D13)+(J13)*Assumptions!$B$4+IF(H13="Yes",Assumptions!$B$6*(D13),(J13)*Assumptions!$B$5))*(1+Assumptions!$B$7*(Assumptions!$B$8*(L13)*Assumptions!$B$9+Assumptions!$B$10))+(D13)*Assumptions!$B$11*(L13)+(J13)*AE13*(Assumptions!$B$12+Assumptions!$B$13+IF((J13)*AE13&gt;=Assumptions!$B$16,Assumptions!$B$17,IF((J13)*AE13&gt;=Assumptions!$B$14,Assumptions!$B$15,0))))</f>
        <v>1595964.60945</v>
      </c>
      <c r="AG13" s="40" t="s">
        <v>69</v>
      </c>
      <c r="AH13" s="45" t="n">
        <f aca="false">IF(G13&gt;0,G13,ROUND(F13*Assumptions!$B$18,0))</f>
        <v>1728</v>
      </c>
      <c r="AI13" s="45" t="n">
        <f aca="false">IF(H13="Yes",AH13,MAX(AH13,MIN(Assumptions!$B$20,ROUND(E13*Assumptions!$B$19,0))))</f>
        <v>3779</v>
      </c>
      <c r="AJ13" s="47" t="n">
        <f aca="false">(AH13)*AC13-(((D13)+(AH13)*Assumptions!$B$4+IF(H13="Yes",Assumptions!$B$6*(D13),(AH13)*Assumptions!$B$5))*(1+Assumptions!$B$7*(Assumptions!$B$8*(Assumptions!$B$21)*Assumptions!$B$9+Assumptions!$B$10))+(D13)*Assumptions!$B$11*(Assumptions!$B$21)+(AH13)*AC13*(Assumptions!$B$12+Assumptions!$B$13+IF((AH13)*AC13&gt;=Assumptions!$B$16,Assumptions!$B$17,IF((AH13)*AC13&gt;=Assumptions!$B$14,Assumptions!$B$15,0))))</f>
        <v>-730412.432799999</v>
      </c>
      <c r="AK13" s="47" t="n">
        <f aca="false">(AI13)*AC13-(((D13)+(AI13)*Assumptions!$B$4+IF(H13="Yes",Assumptions!$B$6*(D13),(AI13)*Assumptions!$B$5))*(1+Assumptions!$B$7*(Assumptions!$B$8*(IF(AI13&gt;AH13,Assumptions!$B$22,Assumptions!$B$21))*Assumptions!$B$9+Assumptions!$B$10))+(D13)*Assumptions!$B$11*(IF(AI13&gt;AH13,Assumptions!$B$22,Assumptions!$B$21))+(AI13)*AC13*(Assumptions!$B$12+Assumptions!$B$13+IF((AI13)*AC13&gt;=Assumptions!$B$16,Assumptions!$B$17,IF((AI13)*AC13&gt;=Assumptions!$B$14,Assumptions!$B$15,0))))</f>
        <v>960267.275850001</v>
      </c>
      <c r="AL13" s="47" t="n">
        <f aca="false">Assumptions!$B$7*(O13+P13+Q13)</f>
        <v>3431171.25</v>
      </c>
    </row>
    <row r="14" customFormat="false" ht="15" hidden="false" customHeight="false" outlineLevel="0" collapsed="false">
      <c r="A14" s="40" t="n">
        <v>12</v>
      </c>
      <c r="B14" s="40" t="s">
        <v>93</v>
      </c>
      <c r="C14" s="40" t="s">
        <v>75</v>
      </c>
      <c r="D14" s="41" t="n">
        <v>3595000</v>
      </c>
      <c r="E14" s="42" t="n">
        <v>8630</v>
      </c>
      <c r="F14" s="42" t="n">
        <v>4929</v>
      </c>
      <c r="G14" s="42"/>
      <c r="H14" s="43" t="s">
        <v>67</v>
      </c>
      <c r="I14" s="44" t="s">
        <v>94</v>
      </c>
      <c r="J14" s="45" t="n">
        <f aca="false">IF(AK14&gt;AJ14,AI14,AH14)</f>
        <v>5422</v>
      </c>
      <c r="K14" s="40" t="str">
        <f aca="false">IF(AK14&gt;AJ14,"Zoning estimate",IF(H14="Yes","Approved plans",IF(G14&gt;0,"Listing claim","110% old house")))</f>
        <v>110% old house</v>
      </c>
      <c r="L14" s="45" t="n">
        <f aca="false">IF(AK14&gt;AJ14,IF(AI14&gt;AH14,Assumptions!$B$22,Assumptions!$B$21),Assumptions!$B$21)</f>
        <v>2</v>
      </c>
      <c r="M14" s="46" t="n">
        <f aca="false">INDEX(Assumptions!$B$32:$B$44,MATCH(AG14,Assumptions!$A$32:$A$44,0))*(1+IF(UPPER(Assumptions!$B$27)="WORST",Assumptions!$B$24,IF(UPPER(Assumptions!$B$27)="BEST",Assumptions!$B$26,Assumptions!$B$25)))</f>
        <v>2035</v>
      </c>
      <c r="N14" s="47" t="n">
        <f aca="false">J14*M14</f>
        <v>11033770</v>
      </c>
      <c r="O14" s="47" t="n">
        <f aca="false">D14</f>
        <v>3595000</v>
      </c>
      <c r="P14" s="47" t="n">
        <f aca="false">J14*Assumptions!$B$4</f>
        <v>3795400</v>
      </c>
      <c r="Q14" s="47" t="n">
        <f aca="false">IF(H14="Yes",Assumptions!$B$6*(D14),(J14)*Assumptions!$B$5)</f>
        <v>406650</v>
      </c>
      <c r="R14" s="47" t="n">
        <f aca="false">AL14*(Assumptions!$B$8*L14*Assumptions!$B$9+Assumptions!$B$10)</f>
        <v>684191.1375</v>
      </c>
      <c r="S14" s="47" t="n">
        <f aca="false">O14*Assumptions!$B$11*L14</f>
        <v>86280</v>
      </c>
      <c r="T14" s="47" t="n">
        <f aca="false">N14*(Assumptions!$B$12+Assumptions!$B$13)</f>
        <v>613477.612</v>
      </c>
      <c r="U14" s="47" t="n">
        <f aca="false">N14*IF(N14&gt;=Assumptions!$B$16,Assumptions!$B$17,IF(N14&gt;=Assumptions!$B$14,Assumptions!$B$15,0))</f>
        <v>606857.35</v>
      </c>
      <c r="V14" s="48" t="n">
        <f aca="false">SUM(O14:U14)</f>
        <v>9787856.0995</v>
      </c>
      <c r="W14" s="48" t="n">
        <f aca="false">N14-V14</f>
        <v>1245913.9005</v>
      </c>
      <c r="X14" s="49" t="n">
        <f aca="false">IF(V14=0,0,W14/V14)</f>
        <v>0.127291808117576</v>
      </c>
      <c r="Y14" s="47" t="n">
        <f aca="false">MAX(0,(N14/(1+Assumptions!$B$23)-(J14*(Assumptions!$B$4+IF(H14="Yes",0,Assumptions!$B$5)))*(1+(Assumptions!$B$7*(Assumptions!$B$8*L14*Assumptions!$B$9+Assumptions!$B$10)))-N14*(Assumptions!$B$12+Assumptions!$B$13+IF(N14&gt;=Assumptions!$B$16,Assumptions!$B$17,IF(N14&gt;=Assumptions!$B$14,Assumptions!$B$15,0))))/((1+IF(H14="Yes",Assumptions!$B$6,0))*(1+(Assumptions!$B$7*(Assumptions!$B$8*L14*Assumptions!$B$9+Assumptions!$B$10)))+Assumptions!$B$11*L14))</f>
        <v>3421153.81982969</v>
      </c>
      <c r="Z14" s="50" t="n">
        <f aca="false">IF(Y14&lt;=0,"no price works",D14/Y14)</f>
        <v>1.05081507272858</v>
      </c>
      <c r="AA14" s="46" t="n">
        <f aca="false">INDEX(Assumptions!$B$32:$B$44,MATCH(AG14,Assumptions!$A$32:$A$44,0))*(1+Assumptions!$B$24)</f>
        <v>1850</v>
      </c>
      <c r="AB14" s="47" t="n">
        <f aca="false">(J14)*AA14-(((D14)+(J14)*Assumptions!$B$4+IF(H14="Yes",Assumptions!$B$6*(D14),(J14)*Assumptions!$B$5))*(1+Assumptions!$B$7*(Assumptions!$B$8*(L14)*Assumptions!$B$9+Assumptions!$B$10))+(D14)*Assumptions!$B$11*(L14)+(J14)*AA14*(Assumptions!$B$12+Assumptions!$B$13+IF((J14)*AA14&gt;=Assumptions!$B$16,Assumptions!$B$17,IF((J14)*AA14&gt;=Assumptions!$B$14,Assumptions!$B$15,0))))</f>
        <v>504243.942500001</v>
      </c>
      <c r="AC14" s="46" t="n">
        <f aca="false">INDEX(Assumptions!$B$32:$B$44,MATCH(AG14,Assumptions!$A$32:$A$44,0))*(1+Assumptions!$B$25)</f>
        <v>2035</v>
      </c>
      <c r="AD14" s="47" t="n">
        <f aca="false">(J14)*AC14-(((D14)+(J14)*Assumptions!$B$4+IF(H14="Yes",Assumptions!$B$6*(D14),(J14)*Assumptions!$B$5))*(1+Assumptions!$B$7*(Assumptions!$B$8*(L14)*Assumptions!$B$9+Assumptions!$B$10))+(D14)*Assumptions!$B$11*(L14)+(J14)*AC14*(Assumptions!$B$12+Assumptions!$B$13+IF((J14)*AC14&gt;=Assumptions!$B$16,Assumptions!$B$17,IF((J14)*AC14&gt;=Assumptions!$B$14,Assumptions!$B$15,0))))</f>
        <v>1245913.9005</v>
      </c>
      <c r="AE14" s="46" t="n">
        <f aca="false">INDEX(Assumptions!$B$32:$B$44,MATCH(AG14,Assumptions!$A$32:$A$44,0))*(1+Assumptions!$B$26)</f>
        <v>2220</v>
      </c>
      <c r="AF14" s="47" t="n">
        <f aca="false">(J14)*AE14-(((D14)+(J14)*Assumptions!$B$4+IF(H14="Yes",Assumptions!$B$6*(D14),(J14)*Assumptions!$B$5))*(1+Assumptions!$B$7*(Assumptions!$B$8*(L14)*Assumptions!$B$9+Assumptions!$B$10))+(D14)*Assumptions!$B$11*(L14)+(J14)*AE14*(Assumptions!$B$12+Assumptions!$B$13+IF((J14)*AE14&gt;=Assumptions!$B$16,Assumptions!$B$17,IF((J14)*AE14&gt;=Assumptions!$B$14,Assumptions!$B$15,0))))</f>
        <v>2138044.3585</v>
      </c>
      <c r="AG14" s="40" t="s">
        <v>78</v>
      </c>
      <c r="AH14" s="45" t="n">
        <f aca="false">IF(G14&gt;0,G14,ROUND(F14*Assumptions!$B$18,0))</f>
        <v>5422</v>
      </c>
      <c r="AI14" s="45" t="n">
        <f aca="false">IF(H14="Yes",AH14,MAX(AH14,MIN(Assumptions!$B$20,ROUND(E14*Assumptions!$B$19,0))))</f>
        <v>5422</v>
      </c>
      <c r="AJ14" s="47" t="n">
        <f aca="false">(AH14)*AC14-(((D14)+(AH14)*Assumptions!$B$4+IF(H14="Yes",Assumptions!$B$6*(D14),(AH14)*Assumptions!$B$5))*(1+Assumptions!$B$7*(Assumptions!$B$8*(Assumptions!$B$21)*Assumptions!$B$9+Assumptions!$B$10))+(D14)*Assumptions!$B$11*(Assumptions!$B$21)+(AH14)*AC14*(Assumptions!$B$12+Assumptions!$B$13+IF((AH14)*AC14&gt;=Assumptions!$B$16,Assumptions!$B$17,IF((AH14)*AC14&gt;=Assumptions!$B$14,Assumptions!$B$15,0))))</f>
        <v>1245913.9005</v>
      </c>
      <c r="AK14" s="47" t="n">
        <f aca="false">(AI14)*AC14-(((D14)+(AI14)*Assumptions!$B$4+IF(H14="Yes",Assumptions!$B$6*(D14),(AI14)*Assumptions!$B$5))*(1+Assumptions!$B$7*(Assumptions!$B$8*(IF(AI14&gt;AH14,Assumptions!$B$22,Assumptions!$B$21))*Assumptions!$B$9+Assumptions!$B$10))+(D14)*Assumptions!$B$11*(IF(AI14&gt;AH14,Assumptions!$B$22,Assumptions!$B$21))+(AI14)*AC14*(Assumptions!$B$12+Assumptions!$B$13+IF((AI14)*AC14&gt;=Assumptions!$B$16,Assumptions!$B$17,IF((AI14)*AC14&gt;=Assumptions!$B$14,Assumptions!$B$15,0))))</f>
        <v>1245913.9005</v>
      </c>
      <c r="AL14" s="47" t="n">
        <f aca="false">Assumptions!$B$7*(O14+P14+Q14)</f>
        <v>5068082.5</v>
      </c>
    </row>
    <row r="15" customFormat="false" ht="15" hidden="false" customHeight="false" outlineLevel="0" collapsed="false">
      <c r="A15" s="40" t="n">
        <v>13</v>
      </c>
      <c r="B15" s="40" t="s">
        <v>95</v>
      </c>
      <c r="C15" s="40" t="s">
        <v>71</v>
      </c>
      <c r="D15" s="41" t="n">
        <v>899000</v>
      </c>
      <c r="E15" s="42" t="n">
        <v>4946</v>
      </c>
      <c r="F15" s="42" t="n">
        <v>2052</v>
      </c>
      <c r="G15" s="42"/>
      <c r="H15" s="43" t="s">
        <v>67</v>
      </c>
      <c r="I15" s="44" t="s">
        <v>96</v>
      </c>
      <c r="J15" s="45" t="n">
        <f aca="false">IF(AK15&gt;AJ15,AI15,AH15)</f>
        <v>2257</v>
      </c>
      <c r="K15" s="40" t="str">
        <f aca="false">IF(AK15&gt;AJ15,"Zoning estimate",IF(H15="Yes","Approved plans",IF(G15&gt;0,"Listing claim","110% old house")))</f>
        <v>110% old house</v>
      </c>
      <c r="L15" s="45" t="n">
        <f aca="false">IF(AK15&gt;AJ15,IF(AI15&gt;AH15,Assumptions!$B$22,Assumptions!$B$21),Assumptions!$B$21)</f>
        <v>2</v>
      </c>
      <c r="M15" s="46" t="n">
        <f aca="false">INDEX(Assumptions!$B$32:$B$44,MATCH(AG15,Assumptions!$A$32:$A$44,0))*(1+IF(UPPER(Assumptions!$B$27)="WORST",Assumptions!$B$24,IF(UPPER(Assumptions!$B$27)="BEST",Assumptions!$B$26,Assumptions!$B$25)))</f>
        <v>1540</v>
      </c>
      <c r="N15" s="47" t="n">
        <f aca="false">J15*M15</f>
        <v>3475780</v>
      </c>
      <c r="O15" s="47" t="n">
        <f aca="false">D15</f>
        <v>899000</v>
      </c>
      <c r="P15" s="47" t="n">
        <f aca="false">J15*Assumptions!$B$4</f>
        <v>1579900</v>
      </c>
      <c r="Q15" s="47" t="n">
        <f aca="false">IF(H15="Yes",Assumptions!$B$6*(D15),(J15)*Assumptions!$B$5)</f>
        <v>169275</v>
      </c>
      <c r="R15" s="47" t="n">
        <f aca="false">AL15*(Assumptions!$B$8*L15*Assumptions!$B$9+Assumptions!$B$10)</f>
        <v>232377.35625</v>
      </c>
      <c r="S15" s="47" t="n">
        <f aca="false">O15*Assumptions!$B$11*L15</f>
        <v>21576</v>
      </c>
      <c r="T15" s="47" t="n">
        <f aca="false">N15*(Assumptions!$B$12+Assumptions!$B$13)</f>
        <v>193253.368</v>
      </c>
      <c r="U15" s="47" t="n">
        <f aca="false">N15*IF(N15&gt;=Assumptions!$B$16,Assumptions!$B$17,IF(N15&gt;=Assumptions!$B$14,Assumptions!$B$15,0))</f>
        <v>0</v>
      </c>
      <c r="V15" s="48" t="n">
        <f aca="false">SUM(O15:U15)</f>
        <v>3095381.72425</v>
      </c>
      <c r="W15" s="48" t="n">
        <f aca="false">N15-V15</f>
        <v>380398.27575</v>
      </c>
      <c r="X15" s="49" t="n">
        <f aca="false">IF(V15=0,0,W15/V15)</f>
        <v>0.122892201879291</v>
      </c>
      <c r="Y15" s="47" t="n">
        <f aca="false">MAX(0,(N15/(1+Assumptions!$B$23)-(J15*(Assumptions!$B$4+IF(H15="Yes",0,Assumptions!$B$5)))*(1+(Assumptions!$B$7*(Assumptions!$B$8*L15*Assumptions!$B$9+Assumptions!$B$10)))-N15*(Assumptions!$B$12+Assumptions!$B$13+IF(N15&gt;=Assumptions!$B$16,Assumptions!$B$17,IF(N15&gt;=Assumptions!$B$14,Assumptions!$B$15,0))))/((1+IF(H15="Yes",Assumptions!$B$6,0))*(1+(Assumptions!$B$7*(Assumptions!$B$8*L15*Assumptions!$B$9+Assumptions!$B$10)))+Assumptions!$B$11*L15))</f>
        <v>833369.837692241</v>
      </c>
      <c r="Z15" s="50" t="n">
        <f aca="false">IF(Y15&lt;=0,"no price works",D15/Y15)</f>
        <v>1.07875274498715</v>
      </c>
      <c r="AA15" s="46" t="n">
        <f aca="false">INDEX(Assumptions!$B$32:$B$44,MATCH(AG15,Assumptions!$A$32:$A$44,0))*(1+Assumptions!$B$24)</f>
        <v>1400</v>
      </c>
      <c r="AB15" s="47" t="n">
        <f aca="false">(J15)*AA15-(((D15)+(J15)*Assumptions!$B$4+IF(H15="Yes",Assumptions!$B$6*(D15),(J15)*Assumptions!$B$5))*(1+Assumptions!$B$7*(Assumptions!$B$8*(L15)*Assumptions!$B$9+Assumptions!$B$10))+(D15)*Assumptions!$B$11*(L15)+(J15)*AA15*(Assumptions!$B$12+Assumptions!$B$13+IF((J15)*AA15&gt;=Assumptions!$B$16,Assumptions!$B$17,IF((J15)*AA15&gt;=Assumptions!$B$14,Assumptions!$B$15,0))))</f>
        <v>81986.7637499999</v>
      </c>
      <c r="AC15" s="46" t="n">
        <f aca="false">INDEX(Assumptions!$B$32:$B$44,MATCH(AG15,Assumptions!$A$32:$A$44,0))*(1+Assumptions!$B$25)</f>
        <v>1540</v>
      </c>
      <c r="AD15" s="47" t="n">
        <f aca="false">(J15)*AC15-(((D15)+(J15)*Assumptions!$B$4+IF(H15="Yes",Assumptions!$B$6*(D15),(J15)*Assumptions!$B$5))*(1+Assumptions!$B$7*(Assumptions!$B$8*(L15)*Assumptions!$B$9+Assumptions!$B$10))+(D15)*Assumptions!$B$11*(L15)+(J15)*AC15*(Assumptions!$B$12+Assumptions!$B$13+IF((J15)*AC15&gt;=Assumptions!$B$16,Assumptions!$B$17,IF((J15)*AC15&gt;=Assumptions!$B$14,Assumptions!$B$15,0))))</f>
        <v>380398.27575</v>
      </c>
      <c r="AE15" s="46" t="n">
        <f aca="false">INDEX(Assumptions!$B$32:$B$44,MATCH(AG15,Assumptions!$A$32:$A$44,0))*(1+Assumptions!$B$26)</f>
        <v>1680</v>
      </c>
      <c r="AF15" s="47" t="n">
        <f aca="false">(J15)*AE15-(((D15)+(J15)*Assumptions!$B$4+IF(H15="Yes",Assumptions!$B$6*(D15),(J15)*Assumptions!$B$5))*(1+Assumptions!$B$7*(Assumptions!$B$8*(L15)*Assumptions!$B$9+Assumptions!$B$10))+(D15)*Assumptions!$B$11*(L15)+(J15)*AE15*(Assumptions!$B$12+Assumptions!$B$13+IF((J15)*AE15&gt;=Assumptions!$B$16,Assumptions!$B$17,IF((J15)*AE15&gt;=Assumptions!$B$14,Assumptions!$B$15,0))))</f>
        <v>678809.78775</v>
      </c>
      <c r="AG15" s="40" t="s">
        <v>73</v>
      </c>
      <c r="AH15" s="45" t="n">
        <f aca="false">IF(G15&gt;0,G15,ROUND(F15*Assumptions!$B$18,0))</f>
        <v>2257</v>
      </c>
      <c r="AI15" s="45" t="n">
        <f aca="false">IF(H15="Yes",AH15,MAX(AH15,MIN(Assumptions!$B$20,ROUND(E15*Assumptions!$B$19,0))))</f>
        <v>2257</v>
      </c>
      <c r="AJ15" s="47" t="n">
        <f aca="false">(AH15)*AC15-(((D15)+(AH15)*Assumptions!$B$4+IF(H15="Yes",Assumptions!$B$6*(D15),(AH15)*Assumptions!$B$5))*(1+Assumptions!$B$7*(Assumptions!$B$8*(Assumptions!$B$21)*Assumptions!$B$9+Assumptions!$B$10))+(D15)*Assumptions!$B$11*(Assumptions!$B$21)+(AH15)*AC15*(Assumptions!$B$12+Assumptions!$B$13+IF((AH15)*AC15&gt;=Assumptions!$B$16,Assumptions!$B$17,IF((AH15)*AC15&gt;=Assumptions!$B$14,Assumptions!$B$15,0))))</f>
        <v>380398.27575</v>
      </c>
      <c r="AK15" s="47" t="n">
        <f aca="false">(AI15)*AC15-(((D15)+(AI15)*Assumptions!$B$4+IF(H15="Yes",Assumptions!$B$6*(D15),(AI15)*Assumptions!$B$5))*(1+Assumptions!$B$7*(Assumptions!$B$8*(IF(AI15&gt;AH15,Assumptions!$B$22,Assumptions!$B$21))*Assumptions!$B$9+Assumptions!$B$10))+(D15)*Assumptions!$B$11*(IF(AI15&gt;AH15,Assumptions!$B$22,Assumptions!$B$21))+(AI15)*AC15*(Assumptions!$B$12+Assumptions!$B$13+IF((AI15)*AC15&gt;=Assumptions!$B$16,Assumptions!$B$17,IF((AI15)*AC15&gt;=Assumptions!$B$14,Assumptions!$B$15,0))))</f>
        <v>380398.27575</v>
      </c>
      <c r="AL15" s="47" t="n">
        <f aca="false">Assumptions!$B$7*(O15+P15+Q15)</f>
        <v>1721313.75</v>
      </c>
    </row>
    <row r="16" customFormat="false" ht="23.85" hidden="false" customHeight="false" outlineLevel="0" collapsed="false">
      <c r="A16" s="40" t="n">
        <v>14</v>
      </c>
      <c r="B16" s="40" t="s">
        <v>97</v>
      </c>
      <c r="C16" s="40" t="s">
        <v>98</v>
      </c>
      <c r="D16" s="41" t="n">
        <v>990000</v>
      </c>
      <c r="E16" s="42" t="n">
        <v>13699</v>
      </c>
      <c r="F16" s="42" t="n">
        <v>2061</v>
      </c>
      <c r="G16" s="42"/>
      <c r="H16" s="43" t="s">
        <v>67</v>
      </c>
      <c r="I16" s="44" t="s">
        <v>99</v>
      </c>
      <c r="J16" s="45" t="n">
        <f aca="false">IF(AK16&gt;AJ16,AI16,AH16)</f>
        <v>5480</v>
      </c>
      <c r="K16" s="40" t="str">
        <f aca="false">IF(AK16&gt;AJ16,"Zoning estimate",IF(H16="Yes","Approved plans",IF(G16&gt;0,"Listing claim","110% old house")))</f>
        <v>Zoning estimate</v>
      </c>
      <c r="L16" s="45" t="n">
        <f aca="false">IF(AK16&gt;AJ16,IF(AI16&gt;AH16,Assumptions!$B$22,Assumptions!$B$21),Assumptions!$B$21)</f>
        <v>3</v>
      </c>
      <c r="M16" s="46" t="n">
        <f aca="false">INDEX(Assumptions!$B$32:$B$44,MATCH(AG16,Assumptions!$A$32:$A$44,0))*(1+IF(UPPER(Assumptions!$B$27)="WORST",Assumptions!$B$24,IF(UPPER(Assumptions!$B$27)="BEST",Assumptions!$B$26,Assumptions!$B$25)))</f>
        <v>1375</v>
      </c>
      <c r="N16" s="47" t="n">
        <f aca="false">J16*M16</f>
        <v>7535000</v>
      </c>
      <c r="O16" s="47" t="n">
        <f aca="false">D16</f>
        <v>990000</v>
      </c>
      <c r="P16" s="47" t="n">
        <f aca="false">J16*Assumptions!$B$4</f>
        <v>3836000</v>
      </c>
      <c r="Q16" s="47" t="n">
        <f aca="false">IF(H16="Yes",Assumptions!$B$6*(D16),(J16)*Assumptions!$B$5)</f>
        <v>411000</v>
      </c>
      <c r="R16" s="47" t="n">
        <f aca="false">AL16*(Assumptions!$B$8*L16*Assumptions!$B$9+Assumptions!$B$10)</f>
        <v>663789.75</v>
      </c>
      <c r="S16" s="47" t="n">
        <f aca="false">O16*Assumptions!$B$11*L16</f>
        <v>35640</v>
      </c>
      <c r="T16" s="47" t="n">
        <f aca="false">N16*(Assumptions!$B$12+Assumptions!$B$13)</f>
        <v>418946</v>
      </c>
      <c r="U16" s="47" t="n">
        <f aca="false">N16*IF(N16&gt;=Assumptions!$B$16,Assumptions!$B$17,IF(N16&gt;=Assumptions!$B$14,Assumptions!$B$15,0))</f>
        <v>301400</v>
      </c>
      <c r="V16" s="48" t="n">
        <f aca="false">SUM(O16:U16)</f>
        <v>6656775.75</v>
      </c>
      <c r="W16" s="48" t="n">
        <f aca="false">N16-V16</f>
        <v>878224.25</v>
      </c>
      <c r="X16" s="49" t="n">
        <f aca="false">IF(V16=0,0,W16/V16)</f>
        <v>0.131929372864934</v>
      </c>
      <c r="Y16" s="47" t="n">
        <f aca="false">MAX(0,(N16/(1+Assumptions!$B$23)-(J16*(Assumptions!$B$4+IF(H16="Yes",0,Assumptions!$B$5)))*(1+(Assumptions!$B$7*(Assumptions!$B$8*L16*Assumptions!$B$9+Assumptions!$B$10)))-N16*(Assumptions!$B$12+Assumptions!$B$13+IF(N16&gt;=Assumptions!$B$16,Assumptions!$B$17,IF(N16&gt;=Assumptions!$B$14,Assumptions!$B$15,0))))/((1+IF(H16="Yes",Assumptions!$B$6,0))*(1+(Assumptions!$B$7*(Assumptions!$B$8*L16*Assumptions!$B$9+Assumptions!$B$10)))+Assumptions!$B$11*L16))</f>
        <v>900039.271591897</v>
      </c>
      <c r="Z16" s="50" t="n">
        <f aca="false">IF(Y16&lt;=0,"no price works",D16/Y16)</f>
        <v>1.09995200348201</v>
      </c>
      <c r="AA16" s="46" t="n">
        <f aca="false">INDEX(Assumptions!$B$32:$B$44,MATCH(AG16,Assumptions!$A$32:$A$44,0))*(1+Assumptions!$B$24)</f>
        <v>1250</v>
      </c>
      <c r="AB16" s="47" t="n">
        <f aca="false">(J16)*AA16-(((D16)+(J16)*Assumptions!$B$4+IF(H16="Yes",Assumptions!$B$6*(D16),(J16)*Assumptions!$B$5))*(1+Assumptions!$B$7*(Assumptions!$B$8*(L16)*Assumptions!$B$9+Assumptions!$B$10))+(D16)*Assumptions!$B$11*(L16)+(J16)*AA16*(Assumptions!$B$12+Assumptions!$B$13+IF((J16)*AA16&gt;=Assumptions!$B$16,Assumptions!$B$17,IF((J16)*AA16&gt;=Assumptions!$B$14,Assumptions!$B$15,0))))</f>
        <v>258710.25</v>
      </c>
      <c r="AC16" s="46" t="n">
        <f aca="false">INDEX(Assumptions!$B$32:$B$44,MATCH(AG16,Assumptions!$A$32:$A$44,0))*(1+Assumptions!$B$25)</f>
        <v>1375</v>
      </c>
      <c r="AD16" s="47" t="n">
        <f aca="false">(J16)*AC16-(((D16)+(J16)*Assumptions!$B$4+IF(H16="Yes",Assumptions!$B$6*(D16),(J16)*Assumptions!$B$5))*(1+Assumptions!$B$7*(Assumptions!$B$8*(L16)*Assumptions!$B$9+Assumptions!$B$10))+(D16)*Assumptions!$B$11*(L16)+(J16)*AC16*(Assumptions!$B$12+Assumptions!$B$13+IF((J16)*AC16&gt;=Assumptions!$B$16,Assumptions!$B$17,IF((J16)*AC16&gt;=Assumptions!$B$14,Assumptions!$B$15,0))))</f>
        <v>878224.25</v>
      </c>
      <c r="AE16" s="46" t="n">
        <f aca="false">INDEX(Assumptions!$B$32:$B$44,MATCH(AG16,Assumptions!$A$32:$A$44,0))*(1+Assumptions!$B$26)</f>
        <v>1500</v>
      </c>
      <c r="AF16" s="47" t="n">
        <f aca="false">(J16)*AE16-(((D16)+(J16)*Assumptions!$B$4+IF(H16="Yes",Assumptions!$B$6*(D16),(J16)*Assumptions!$B$5))*(1+Assumptions!$B$7*(Assumptions!$B$8*(L16)*Assumptions!$B$9+Assumptions!$B$10))+(D16)*Assumptions!$B$11*(L16)+(J16)*AE16*(Assumptions!$B$12+Assumptions!$B$13+IF((J16)*AE16&gt;=Assumptions!$B$16,Assumptions!$B$17,IF((J16)*AE16&gt;=Assumptions!$B$14,Assumptions!$B$15,0))))</f>
        <v>1497738.25</v>
      </c>
      <c r="AG16" s="40" t="s">
        <v>100</v>
      </c>
      <c r="AH16" s="45" t="n">
        <f aca="false">IF(G16&gt;0,G16,ROUND(F16*Assumptions!$B$18,0))</f>
        <v>2267</v>
      </c>
      <c r="AI16" s="45" t="n">
        <f aca="false">IF(H16="Yes",AH16,MAX(AH16,MIN(Assumptions!$B$20,ROUND(E16*Assumptions!$B$19,0))))</f>
        <v>5480</v>
      </c>
      <c r="AJ16" s="47" t="n">
        <f aca="false">(AH16)*AC16-(((D16)+(AH16)*Assumptions!$B$4+IF(H16="Yes",Assumptions!$B$6*(D16),(AH16)*Assumptions!$B$5))*(1+Assumptions!$B$7*(Assumptions!$B$8*(Assumptions!$B$21)*Assumptions!$B$9+Assumptions!$B$10))+(D16)*Assumptions!$B$11*(Assumptions!$B$21)+(AH16)*AC16*(Assumptions!$B$12+Assumptions!$B$13+IF((AH16)*AC16&gt;=Assumptions!$B$16,Assumptions!$B$17,IF((AH16)*AC16&gt;=Assumptions!$B$14,Assumptions!$B$15,0))))</f>
        <v>-67914.8187500001</v>
      </c>
      <c r="AK16" s="47" t="n">
        <f aca="false">(AI16)*AC16-(((D16)+(AI16)*Assumptions!$B$4+IF(H16="Yes",Assumptions!$B$6*(D16),(AI16)*Assumptions!$B$5))*(1+Assumptions!$B$7*(Assumptions!$B$8*(IF(AI16&gt;AH16,Assumptions!$B$22,Assumptions!$B$21))*Assumptions!$B$9+Assumptions!$B$10))+(D16)*Assumptions!$B$11*(IF(AI16&gt;AH16,Assumptions!$B$22,Assumptions!$B$21))+(AI16)*AC16*(Assumptions!$B$12+Assumptions!$B$13+IF((AI16)*AC16&gt;=Assumptions!$B$16,Assumptions!$B$17,IF((AI16)*AC16&gt;=Assumptions!$B$14,Assumptions!$B$15,0))))</f>
        <v>878224.25</v>
      </c>
      <c r="AL16" s="47" t="n">
        <f aca="false">Assumptions!$B$7*(O16+P16+Q16)</f>
        <v>3404050</v>
      </c>
    </row>
    <row r="17" customFormat="false" ht="15" hidden="false" customHeight="false" outlineLevel="0" collapsed="false">
      <c r="A17" s="40" t="n">
        <v>15</v>
      </c>
      <c r="B17" s="40" t="s">
        <v>101</v>
      </c>
      <c r="C17" s="40" t="s">
        <v>98</v>
      </c>
      <c r="D17" s="41" t="n">
        <v>1395000</v>
      </c>
      <c r="E17" s="42" t="n">
        <v>19135</v>
      </c>
      <c r="F17" s="42" t="n">
        <v>2313</v>
      </c>
      <c r="G17" s="42"/>
      <c r="H17" s="43" t="s">
        <v>67</v>
      </c>
      <c r="I17" s="44"/>
      <c r="J17" s="45" t="n">
        <f aca="false">IF(AK17&gt;AJ17,AI17,AH17)</f>
        <v>7654</v>
      </c>
      <c r="K17" s="40" t="str">
        <f aca="false">IF(AK17&gt;AJ17,"Zoning estimate",IF(H17="Yes","Approved plans",IF(G17&gt;0,"Listing claim","110% old house")))</f>
        <v>Zoning estimate</v>
      </c>
      <c r="L17" s="45" t="n">
        <f aca="false">IF(AK17&gt;AJ17,IF(AI17&gt;AH17,Assumptions!$B$22,Assumptions!$B$21),Assumptions!$B$21)</f>
        <v>3</v>
      </c>
      <c r="M17" s="46" t="n">
        <f aca="false">INDEX(Assumptions!$B$32:$B$44,MATCH(AG17,Assumptions!$A$32:$A$44,0))*(1+IF(UPPER(Assumptions!$B$27)="WORST",Assumptions!$B$24,IF(UPPER(Assumptions!$B$27)="BEST",Assumptions!$B$26,Assumptions!$B$25)))</f>
        <v>1375</v>
      </c>
      <c r="N17" s="47" t="n">
        <f aca="false">J17*M17</f>
        <v>10524250</v>
      </c>
      <c r="O17" s="47" t="n">
        <f aca="false">D17</f>
        <v>1395000</v>
      </c>
      <c r="P17" s="47" t="n">
        <f aca="false">J17*Assumptions!$B$4</f>
        <v>5357800</v>
      </c>
      <c r="Q17" s="47" t="n">
        <f aca="false">IF(H17="Yes",Assumptions!$B$6*(D17),(J17)*Assumptions!$B$5)</f>
        <v>574050</v>
      </c>
      <c r="R17" s="47" t="n">
        <f aca="false">AL17*(Assumptions!$B$8*L17*Assumptions!$B$9+Assumptions!$B$10)</f>
        <v>928678.2375</v>
      </c>
      <c r="S17" s="47" t="n">
        <f aca="false">O17*Assumptions!$B$11*L17</f>
        <v>50220</v>
      </c>
      <c r="T17" s="47" t="n">
        <f aca="false">N17*(Assumptions!$B$12+Assumptions!$B$13)</f>
        <v>585148.3</v>
      </c>
      <c r="U17" s="47" t="n">
        <f aca="false">N17*IF(N17&gt;=Assumptions!$B$16,Assumptions!$B$17,IF(N17&gt;=Assumptions!$B$14,Assumptions!$B$15,0))</f>
        <v>420970</v>
      </c>
      <c r="V17" s="48" t="n">
        <f aca="false">SUM(O17:U17)</f>
        <v>9311866.5375</v>
      </c>
      <c r="W17" s="48" t="n">
        <f aca="false">N17-V17</f>
        <v>1212383.4625</v>
      </c>
      <c r="X17" s="49" t="n">
        <f aca="false">IF(V17=0,0,W17/V17)</f>
        <v>0.130197684601426</v>
      </c>
      <c r="Y17" s="47" t="n">
        <f aca="false">MAX(0,(N17/(1+Assumptions!$B$23)-(J17*(Assumptions!$B$4+IF(H17="Yes",0,Assumptions!$B$5)))*(1+(Assumptions!$B$7*(Assumptions!$B$8*L17*Assumptions!$B$9+Assumptions!$B$10)))-N17*(Assumptions!$B$12+Assumptions!$B$13+IF(N17&gt;=Assumptions!$B$16,Assumptions!$B$17,IF(N17&gt;=Assumptions!$B$14,Assumptions!$B$15,0))))/((1+IF(H17="Yes",Assumptions!$B$6,0))*(1+(Assumptions!$B$7*(Assumptions!$B$8*L17*Assumptions!$B$9+Assumptions!$B$10)))+Assumptions!$B$11*L17))</f>
        <v>1257098.64685481</v>
      </c>
      <c r="Z17" s="50" t="n">
        <f aca="false">IF(Y17&lt;=0,"no price works",D17/Y17)</f>
        <v>1.10969811596744</v>
      </c>
      <c r="AA17" s="46" t="n">
        <f aca="false">INDEX(Assumptions!$B$32:$B$44,MATCH(AG17,Assumptions!$A$32:$A$44,0))*(1+Assumptions!$B$24)</f>
        <v>1250</v>
      </c>
      <c r="AB17" s="47" t="n">
        <f aca="false">(J17)*AA17-(((D17)+(J17)*Assumptions!$B$4+IF(H17="Yes",Assumptions!$B$6*(D17),(J17)*Assumptions!$B$5))*(1+Assumptions!$B$7*(Assumptions!$B$8*(L17)*Assumptions!$B$9+Assumptions!$B$10))+(D17)*Assumptions!$B$11*(L17)+(J17)*AA17*(Assumptions!$B$12+Assumptions!$B$13+IF((J17)*AA17&gt;=Assumptions!$B$16,Assumptions!$B$17,IF((J17)*AA17&gt;=Assumptions!$B$14,Assumptions!$B$15,0))))</f>
        <v>347098.762499999</v>
      </c>
      <c r="AC17" s="46" t="n">
        <f aca="false">INDEX(Assumptions!$B$32:$B$44,MATCH(AG17,Assumptions!$A$32:$A$44,0))*(1+Assumptions!$B$25)</f>
        <v>1375</v>
      </c>
      <c r="AD17" s="47" t="n">
        <f aca="false">(J17)*AC17-(((D17)+(J17)*Assumptions!$B$4+IF(H17="Yes",Assumptions!$B$6*(D17),(J17)*Assumptions!$B$5))*(1+Assumptions!$B$7*(Assumptions!$B$8*(L17)*Assumptions!$B$9+Assumptions!$B$10))+(D17)*Assumptions!$B$11*(L17)+(J17)*AC17*(Assumptions!$B$12+Assumptions!$B$13+IF((J17)*AC17&gt;=Assumptions!$B$16,Assumptions!$B$17,IF((J17)*AC17&gt;=Assumptions!$B$14,Assumptions!$B$15,0))))</f>
        <v>1212383.4625</v>
      </c>
      <c r="AE17" s="46" t="n">
        <f aca="false">INDEX(Assumptions!$B$32:$B$44,MATCH(AG17,Assumptions!$A$32:$A$44,0))*(1+Assumptions!$B$26)</f>
        <v>1500</v>
      </c>
      <c r="AF17" s="47" t="n">
        <f aca="false">(J17)*AE17-(((D17)+(J17)*Assumptions!$B$4+IF(H17="Yes",Assumptions!$B$6*(D17),(J17)*Assumptions!$B$5))*(1+Assumptions!$B$7*(Assumptions!$B$8*(L17)*Assumptions!$B$9+Assumptions!$B$10))+(D17)*Assumptions!$B$11*(L17)+(J17)*AE17*(Assumptions!$B$12+Assumptions!$B$13+IF((J17)*AE17&gt;=Assumptions!$B$16,Assumptions!$B$17,IF((J17)*AE17&gt;=Assumptions!$B$14,Assumptions!$B$15,0))))</f>
        <v>1905453.1625</v>
      </c>
      <c r="AG17" s="40" t="s">
        <v>100</v>
      </c>
      <c r="AH17" s="45" t="n">
        <f aca="false">IF(G17&gt;0,G17,ROUND(F17*Assumptions!$B$18,0))</f>
        <v>2544</v>
      </c>
      <c r="AI17" s="45" t="n">
        <f aca="false">IF(H17="Yes",AH17,MAX(AH17,MIN(Assumptions!$B$20,ROUND(E17*Assumptions!$B$19,0))))</f>
        <v>7654</v>
      </c>
      <c r="AJ17" s="47" t="n">
        <f aca="false">(AH17)*AC17-(((D17)+(AH17)*Assumptions!$B$4+IF(H17="Yes",Assumptions!$B$6*(D17),(AH17)*Assumptions!$B$5))*(1+Assumptions!$B$7*(Assumptions!$B$8*(Assumptions!$B$21)*Assumptions!$B$9+Assumptions!$B$10))+(D17)*Assumptions!$B$11*(Assumptions!$B$21)+(AH17)*AC17*(Assumptions!$B$12+Assumptions!$B$13+IF((AH17)*AC17&gt;=Assumptions!$B$16,Assumptions!$B$17,IF((AH17)*AC17&gt;=Assumptions!$B$14,Assumptions!$B$15,0))))</f>
        <v>-391987.95</v>
      </c>
      <c r="AK17" s="47" t="n">
        <f aca="false">(AI17)*AC17-(((D17)+(AI17)*Assumptions!$B$4+IF(H17="Yes",Assumptions!$B$6*(D17),(AI17)*Assumptions!$B$5))*(1+Assumptions!$B$7*(Assumptions!$B$8*(IF(AI17&gt;AH17,Assumptions!$B$22,Assumptions!$B$21))*Assumptions!$B$9+Assumptions!$B$10))+(D17)*Assumptions!$B$11*(IF(AI17&gt;AH17,Assumptions!$B$22,Assumptions!$B$21))+(AI17)*AC17*(Assumptions!$B$12+Assumptions!$B$13+IF((AI17)*AC17&gt;=Assumptions!$B$16,Assumptions!$B$17,IF((AI17)*AC17&gt;=Assumptions!$B$14,Assumptions!$B$15,0))))</f>
        <v>1212383.4625</v>
      </c>
      <c r="AL17" s="47" t="n">
        <f aca="false">Assumptions!$B$7*(O17+P17+Q17)</f>
        <v>4762452.5</v>
      </c>
    </row>
    <row r="18" customFormat="false" ht="15" hidden="false" customHeight="false" outlineLevel="0" collapsed="false">
      <c r="A18" s="40" t="n">
        <v>16</v>
      </c>
      <c r="B18" s="40" t="s">
        <v>102</v>
      </c>
      <c r="C18" s="40" t="s">
        <v>98</v>
      </c>
      <c r="D18" s="41" t="n">
        <v>1000000</v>
      </c>
      <c r="E18" s="42" t="n">
        <v>9003</v>
      </c>
      <c r="F18" s="42" t="n">
        <v>4085</v>
      </c>
      <c r="G18" s="42"/>
      <c r="H18" s="43" t="s">
        <v>67</v>
      </c>
      <c r="I18" s="44" t="s">
        <v>103</v>
      </c>
      <c r="J18" s="45" t="n">
        <f aca="false">IF(AK18&gt;AJ18,AI18,AH18)</f>
        <v>4494</v>
      </c>
      <c r="K18" s="40" t="str">
        <f aca="false">IF(AK18&gt;AJ18,"Zoning estimate",IF(H18="Yes","Approved plans",IF(G18&gt;0,"Listing claim","110% old house")))</f>
        <v>110% old house</v>
      </c>
      <c r="L18" s="45" t="n">
        <f aca="false">IF(AK18&gt;AJ18,IF(AI18&gt;AH18,Assumptions!$B$22,Assumptions!$B$21),Assumptions!$B$21)</f>
        <v>2</v>
      </c>
      <c r="M18" s="46" t="n">
        <f aca="false">INDEX(Assumptions!$B$32:$B$44,MATCH(AG18,Assumptions!$A$32:$A$44,0))*(1+IF(UPPER(Assumptions!$B$27)="WORST",Assumptions!$B$24,IF(UPPER(Assumptions!$B$27)="BEST",Assumptions!$B$26,Assumptions!$B$25)))</f>
        <v>1375</v>
      </c>
      <c r="N18" s="47" t="n">
        <f aca="false">J18*M18</f>
        <v>6179250</v>
      </c>
      <c r="O18" s="47" t="n">
        <f aca="false">D18</f>
        <v>1000000</v>
      </c>
      <c r="P18" s="47" t="n">
        <f aca="false">J18*Assumptions!$B$4</f>
        <v>3145800</v>
      </c>
      <c r="Q18" s="47" t="n">
        <f aca="false">IF(H18="Yes",Assumptions!$B$6*(D18),(J18)*Assumptions!$B$5)</f>
        <v>337050</v>
      </c>
      <c r="R18" s="47" t="n">
        <f aca="false">AL18*(Assumptions!$B$8*L18*Assumptions!$B$9+Assumptions!$B$10)</f>
        <v>393370.0875</v>
      </c>
      <c r="S18" s="47" t="n">
        <f aca="false">O18*Assumptions!$B$11*L18</f>
        <v>24000</v>
      </c>
      <c r="T18" s="47" t="n">
        <f aca="false">N18*(Assumptions!$B$12+Assumptions!$B$13)</f>
        <v>343566.3</v>
      </c>
      <c r="U18" s="47" t="n">
        <f aca="false">N18*IF(N18&gt;=Assumptions!$B$16,Assumptions!$B$17,IF(N18&gt;=Assumptions!$B$14,Assumptions!$B$15,0))</f>
        <v>247170</v>
      </c>
      <c r="V18" s="48" t="n">
        <f aca="false">SUM(O18:U18)</f>
        <v>5490956.3875</v>
      </c>
      <c r="W18" s="48" t="n">
        <f aca="false">N18-V18</f>
        <v>688293.6125</v>
      </c>
      <c r="X18" s="49" t="n">
        <f aca="false">IF(V18=0,0,W18/V18)</f>
        <v>0.125350405999742</v>
      </c>
      <c r="Y18" s="47" t="n">
        <f aca="false">MAX(0,(N18/(1+Assumptions!$B$23)-(J18*(Assumptions!$B$4+IF(H18="Yes",0,Assumptions!$B$5)))*(1+(Assumptions!$B$7*(Assumptions!$B$8*L18*Assumptions!$B$9+Assumptions!$B$10)))-N18*(Assumptions!$B$12+Assumptions!$B$13+IF(N18&gt;=Assumptions!$B$16,Assumptions!$B$17,IF(N18&gt;=Assumptions!$B$14,Assumptions!$B$15,0))))/((1+IF(H18="Yes",Assumptions!$B$6,0))*(1+(Assumptions!$B$7*(Assumptions!$B$8*L18*Assumptions!$B$9+Assumptions!$B$10)))+Assumptions!$B$11*L18))</f>
        <v>894134.906287581</v>
      </c>
      <c r="Z18" s="50" t="n">
        <f aca="false">IF(Y18&lt;=0,"no price works",D18/Y18)</f>
        <v>1.11839946407189</v>
      </c>
      <c r="AA18" s="46" t="n">
        <f aca="false">INDEX(Assumptions!$B$32:$B$44,MATCH(AG18,Assumptions!$A$32:$A$44,0))*(1+Assumptions!$B$24)</f>
        <v>1250</v>
      </c>
      <c r="AB18" s="47" t="n">
        <f aca="false">(J18)*AA18-(((D18)+(J18)*Assumptions!$B$4+IF(H18="Yes",Assumptions!$B$6*(D18),(J18)*Assumptions!$B$5))*(1+Assumptions!$B$7*(Assumptions!$B$8*(L18)*Assumptions!$B$9+Assumptions!$B$10))+(D18)*Assumptions!$B$11*(L18)+(J18)*AA18*(Assumptions!$B$12+Assumptions!$B$13+IF((J18)*AA18&gt;=Assumptions!$B$16,Assumptions!$B$17,IF((J18)*AA18&gt;=Assumptions!$B$14,Assumptions!$B$15,0))))</f>
        <v>180246.9125</v>
      </c>
      <c r="AC18" s="46" t="n">
        <f aca="false">INDEX(Assumptions!$B$32:$B$44,MATCH(AG18,Assumptions!$A$32:$A$44,0))*(1+Assumptions!$B$25)</f>
        <v>1375</v>
      </c>
      <c r="AD18" s="47" t="n">
        <f aca="false">(J18)*AC18-(((D18)+(J18)*Assumptions!$B$4+IF(H18="Yes",Assumptions!$B$6*(D18),(J18)*Assumptions!$B$5))*(1+Assumptions!$B$7*(Assumptions!$B$8*(L18)*Assumptions!$B$9+Assumptions!$B$10))+(D18)*Assumptions!$B$11*(L18)+(J18)*AC18*(Assumptions!$B$12+Assumptions!$B$13+IF((J18)*AC18&gt;=Assumptions!$B$16,Assumptions!$B$17,IF((J18)*AC18&gt;=Assumptions!$B$14,Assumptions!$B$15,0))))</f>
        <v>688293.6125</v>
      </c>
      <c r="AE18" s="46" t="n">
        <f aca="false">INDEX(Assumptions!$B$32:$B$44,MATCH(AG18,Assumptions!$A$32:$A$44,0))*(1+Assumptions!$B$26)</f>
        <v>1500</v>
      </c>
      <c r="AF18" s="47" t="n">
        <f aca="false">(J18)*AE18-(((D18)+(J18)*Assumptions!$B$4+IF(H18="Yes",Assumptions!$B$6*(D18),(J18)*Assumptions!$B$5))*(1+Assumptions!$B$7*(Assumptions!$B$8*(L18)*Assumptions!$B$9+Assumptions!$B$10))+(D18)*Assumptions!$B$11*(L18)+(J18)*AE18*(Assumptions!$B$12+Assumptions!$B$13+IF((J18)*AE18&gt;=Assumptions!$B$16,Assumptions!$B$17,IF((J18)*AE18&gt;=Assumptions!$B$14,Assumptions!$B$15,0))))</f>
        <v>1196340.3125</v>
      </c>
      <c r="AG18" s="40" t="s">
        <v>100</v>
      </c>
      <c r="AH18" s="45" t="n">
        <f aca="false">IF(G18&gt;0,G18,ROUND(F18*Assumptions!$B$18,0))</f>
        <v>4494</v>
      </c>
      <c r="AI18" s="45" t="n">
        <f aca="false">IF(H18="Yes",AH18,MAX(AH18,MIN(Assumptions!$B$20,ROUND(E18*Assumptions!$B$19,0))))</f>
        <v>4494</v>
      </c>
      <c r="AJ18" s="47" t="n">
        <f aca="false">(AH18)*AC18-(((D18)+(AH18)*Assumptions!$B$4+IF(H18="Yes",Assumptions!$B$6*(D18),(AH18)*Assumptions!$B$5))*(1+Assumptions!$B$7*(Assumptions!$B$8*(Assumptions!$B$21)*Assumptions!$B$9+Assumptions!$B$10))+(D18)*Assumptions!$B$11*(Assumptions!$B$21)+(AH18)*AC18*(Assumptions!$B$12+Assumptions!$B$13+IF((AH18)*AC18&gt;=Assumptions!$B$16,Assumptions!$B$17,IF((AH18)*AC18&gt;=Assumptions!$B$14,Assumptions!$B$15,0))))</f>
        <v>688293.6125</v>
      </c>
      <c r="AK18" s="47" t="n">
        <f aca="false">(AI18)*AC18-(((D18)+(AI18)*Assumptions!$B$4+IF(H18="Yes",Assumptions!$B$6*(D18),(AI18)*Assumptions!$B$5))*(1+Assumptions!$B$7*(Assumptions!$B$8*(IF(AI18&gt;AH18,Assumptions!$B$22,Assumptions!$B$21))*Assumptions!$B$9+Assumptions!$B$10))+(D18)*Assumptions!$B$11*(IF(AI18&gt;AH18,Assumptions!$B$22,Assumptions!$B$21))+(AI18)*AC18*(Assumptions!$B$12+Assumptions!$B$13+IF((AI18)*AC18&gt;=Assumptions!$B$16,Assumptions!$B$17,IF((AI18)*AC18&gt;=Assumptions!$B$14,Assumptions!$B$15,0))))</f>
        <v>688293.6125</v>
      </c>
      <c r="AL18" s="47" t="n">
        <f aca="false">Assumptions!$B$7*(O18+P18+Q18)</f>
        <v>2913852.5</v>
      </c>
    </row>
    <row r="19" customFormat="false" ht="23.85" hidden="false" customHeight="false" outlineLevel="0" collapsed="false">
      <c r="A19" s="40" t="n">
        <v>17</v>
      </c>
      <c r="B19" s="40" t="s">
        <v>104</v>
      </c>
      <c r="C19" s="40" t="s">
        <v>75</v>
      </c>
      <c r="D19" s="41" t="n">
        <v>4000000</v>
      </c>
      <c r="E19" s="42" t="n">
        <v>8073</v>
      </c>
      <c r="F19" s="42" t="n">
        <v>4241</v>
      </c>
      <c r="G19" s="42" t="n">
        <v>5094</v>
      </c>
      <c r="H19" s="43" t="s">
        <v>76</v>
      </c>
      <c r="I19" s="44" t="s">
        <v>105</v>
      </c>
      <c r="J19" s="45" t="n">
        <f aca="false">IF(AK19&gt;AJ19,AI19,AH19)</f>
        <v>5094</v>
      </c>
      <c r="K19" s="40" t="str">
        <f aca="false">IF(AK19&gt;AJ19,"Zoning estimate",IF(H19="Yes","Approved plans",IF(G19&gt;0,"Listing claim","110% old house")))</f>
        <v>Approved plans</v>
      </c>
      <c r="L19" s="45" t="n">
        <f aca="false">IF(AK19&gt;AJ19,IF(AI19&gt;AH19,Assumptions!$B$22,Assumptions!$B$21),Assumptions!$B$21)</f>
        <v>2</v>
      </c>
      <c r="M19" s="46" t="n">
        <f aca="false">INDEX(Assumptions!$B$32:$B$44,MATCH(AG19,Assumptions!$A$32:$A$44,0))*(1+IF(UPPER(Assumptions!$B$27)="WORST",Assumptions!$B$24,IF(UPPER(Assumptions!$B$27)="BEST",Assumptions!$B$26,Assumptions!$B$25)))</f>
        <v>2035</v>
      </c>
      <c r="N19" s="47" t="n">
        <f aca="false">J19*M19</f>
        <v>10366290</v>
      </c>
      <c r="O19" s="47" t="n">
        <f aca="false">D19</f>
        <v>4000000</v>
      </c>
      <c r="P19" s="47" t="n">
        <f aca="false">J19*Assumptions!$B$4</f>
        <v>3565800</v>
      </c>
      <c r="Q19" s="47" t="n">
        <f aca="false">IF(H19="Yes",Assumptions!$B$6*(D19),(J19)*Assumptions!$B$5)</f>
        <v>200000</v>
      </c>
      <c r="R19" s="47" t="n">
        <f aca="false">AL19*(Assumptions!$B$8*L19*Assumptions!$B$9+Assumptions!$B$10)</f>
        <v>681448.95</v>
      </c>
      <c r="S19" s="47" t="n">
        <f aca="false">O19*Assumptions!$B$11*L19</f>
        <v>96000</v>
      </c>
      <c r="T19" s="47" t="n">
        <f aca="false">N19*(Assumptions!$B$12+Assumptions!$B$13)</f>
        <v>576365.724</v>
      </c>
      <c r="U19" s="47" t="n">
        <f aca="false">N19*IF(N19&gt;=Assumptions!$B$16,Assumptions!$B$17,IF(N19&gt;=Assumptions!$B$14,Assumptions!$B$15,0))</f>
        <v>414651.6</v>
      </c>
      <c r="V19" s="48" t="n">
        <f aca="false">SUM(O19:U19)</f>
        <v>9534266.274</v>
      </c>
      <c r="W19" s="48" t="n">
        <f aca="false">N19-V19</f>
        <v>832023.726000002</v>
      </c>
      <c r="X19" s="49" t="n">
        <f aca="false">IF(V19=0,0,W19/V19)</f>
        <v>0.0872666760177377</v>
      </c>
      <c r="Y19" s="47" t="n">
        <f aca="false">MAX(0,(N19/(1+Assumptions!$B$23)-(J19*(Assumptions!$B$4+IF(H19="Yes",0,Assumptions!$B$5)))*(1+(Assumptions!$B$7*(Assumptions!$B$8*L19*Assumptions!$B$9+Assumptions!$B$10)))-N19*(Assumptions!$B$12+Assumptions!$B$13+IF(N19&gt;=Assumptions!$B$16,Assumptions!$B$17,IF(N19&gt;=Assumptions!$B$14,Assumptions!$B$15,0))))/((1+IF(H19="Yes",Assumptions!$B$6,0))*(1+(Assumptions!$B$7*(Assumptions!$B$8*L19*Assumptions!$B$9+Assumptions!$B$10)))+Assumptions!$B$11*L19))</f>
        <v>3553996.80002685</v>
      </c>
      <c r="Z19" s="50" t="n">
        <f aca="false">IF(Y19&lt;=0,"no price works",D19/Y19)</f>
        <v>1.12549341630521</v>
      </c>
      <c r="AA19" s="46" t="n">
        <f aca="false">INDEX(Assumptions!$B$32:$B$44,MATCH(AG19,Assumptions!$A$32:$A$44,0))*(1+Assumptions!$B$24)</f>
        <v>1850</v>
      </c>
      <c r="AB19" s="47" t="n">
        <f aca="false">(J19)*AA19-(((D19)+(J19)*Assumptions!$B$4+IF(H19="Yes",Assumptions!$B$6*(D19),(J19)*Assumptions!$B$5))*(1+Assumptions!$B$7*(Assumptions!$B$8*(L19)*Assumptions!$B$9+Assumptions!$B$10))+(D19)*Assumptions!$B$11*(L19)+(J19)*AA19*(Assumptions!$B$12+Assumptions!$B$13+IF((J19)*AA19&gt;=Assumptions!$B$16,Assumptions!$B$17,IF((J19)*AA19&gt;=Assumptions!$B$14,Assumptions!$B$15,0))))</f>
        <v>-20273.7899999991</v>
      </c>
      <c r="AC19" s="46" t="n">
        <f aca="false">INDEX(Assumptions!$B$32:$B$44,MATCH(AG19,Assumptions!$A$32:$A$44,0))*(1+Assumptions!$B$25)</f>
        <v>2035</v>
      </c>
      <c r="AD19" s="47" t="n">
        <f aca="false">(J19)*AC19-(((D19)+(J19)*Assumptions!$B$4+IF(H19="Yes",Assumptions!$B$6*(D19),(J19)*Assumptions!$B$5))*(1+Assumptions!$B$7*(Assumptions!$B$8*(L19)*Assumptions!$B$9+Assumptions!$B$10))+(D19)*Assumptions!$B$11*(L19)+(J19)*AC19*(Assumptions!$B$12+Assumptions!$B$13+IF((J19)*AC19&gt;=Assumptions!$B$16,Assumptions!$B$17,IF((J19)*AC19&gt;=Assumptions!$B$14,Assumptions!$B$15,0))))</f>
        <v>832023.726000002</v>
      </c>
      <c r="AE19" s="46" t="n">
        <f aca="false">INDEX(Assumptions!$B$32:$B$44,MATCH(AG19,Assumptions!$A$32:$A$44,0))*(1+Assumptions!$B$26)</f>
        <v>2220</v>
      </c>
      <c r="AF19" s="47" t="n">
        <f aca="false">(J19)*AE19-(((D19)+(J19)*Assumptions!$B$4+IF(H19="Yes",Assumptions!$B$6*(D19),(J19)*Assumptions!$B$5))*(1+Assumptions!$B$7*(Assumptions!$B$8*(L19)*Assumptions!$B$9+Assumptions!$B$10))+(D19)*Assumptions!$B$11*(L19)+(J19)*AE19*(Assumptions!$B$12+Assumptions!$B$13+IF((J19)*AE19&gt;=Assumptions!$B$16,Assumptions!$B$17,IF((J19)*AE19&gt;=Assumptions!$B$14,Assumptions!$B$15,0))))</f>
        <v>1514691.042</v>
      </c>
      <c r="AG19" s="40" t="s">
        <v>78</v>
      </c>
      <c r="AH19" s="45" t="n">
        <f aca="false">IF(G19&gt;0,G19,ROUND(F19*Assumptions!$B$18,0))</f>
        <v>5094</v>
      </c>
      <c r="AI19" s="45" t="n">
        <f aca="false">IF(H19="Yes",AH19,MAX(AH19,MIN(Assumptions!$B$20,ROUND(E19*Assumptions!$B$19,0))))</f>
        <v>5094</v>
      </c>
      <c r="AJ19" s="47" t="n">
        <f aca="false">(AH19)*AC19-(((D19)+(AH19)*Assumptions!$B$4+IF(H19="Yes",Assumptions!$B$6*(D19),(AH19)*Assumptions!$B$5))*(1+Assumptions!$B$7*(Assumptions!$B$8*(Assumptions!$B$21)*Assumptions!$B$9+Assumptions!$B$10))+(D19)*Assumptions!$B$11*(Assumptions!$B$21)+(AH19)*AC19*(Assumptions!$B$12+Assumptions!$B$13+IF((AH19)*AC19&gt;=Assumptions!$B$16,Assumptions!$B$17,IF((AH19)*AC19&gt;=Assumptions!$B$14,Assumptions!$B$15,0))))</f>
        <v>832023.726000002</v>
      </c>
      <c r="AK19" s="47" t="n">
        <f aca="false">(AI19)*AC19-(((D19)+(AI19)*Assumptions!$B$4+IF(H19="Yes",Assumptions!$B$6*(D19),(AI19)*Assumptions!$B$5))*(1+Assumptions!$B$7*(Assumptions!$B$8*(IF(AI19&gt;AH19,Assumptions!$B$22,Assumptions!$B$21))*Assumptions!$B$9+Assumptions!$B$10))+(D19)*Assumptions!$B$11*(IF(AI19&gt;AH19,Assumptions!$B$22,Assumptions!$B$21))+(AI19)*AC19*(Assumptions!$B$12+Assumptions!$B$13+IF((AI19)*AC19&gt;=Assumptions!$B$16,Assumptions!$B$17,IF((AI19)*AC19&gt;=Assumptions!$B$14,Assumptions!$B$15,0))))</f>
        <v>832023.726000002</v>
      </c>
      <c r="AL19" s="47" t="n">
        <f aca="false">Assumptions!$B$7*(O19+P19+Q19)</f>
        <v>5047770</v>
      </c>
    </row>
    <row r="20" customFormat="false" ht="23.85" hidden="false" customHeight="false" outlineLevel="0" collapsed="false">
      <c r="A20" s="40" t="n">
        <v>18</v>
      </c>
      <c r="B20" s="40" t="s">
        <v>106</v>
      </c>
      <c r="C20" s="40" t="s">
        <v>107</v>
      </c>
      <c r="D20" s="41" t="n">
        <v>1300000</v>
      </c>
      <c r="E20" s="42" t="n">
        <v>5262</v>
      </c>
      <c r="F20" s="42" t="n">
        <v>2100</v>
      </c>
      <c r="G20" s="42" t="n">
        <v>4389</v>
      </c>
      <c r="H20" s="43" t="s">
        <v>76</v>
      </c>
      <c r="I20" s="44" t="s">
        <v>108</v>
      </c>
      <c r="J20" s="45" t="n">
        <f aca="false">IF(AK20&gt;AJ20,AI20,AH20)</f>
        <v>4389</v>
      </c>
      <c r="K20" s="40" t="str">
        <f aca="false">IF(AK20&gt;AJ20,"Zoning estimate",IF(H20="Yes","Approved plans",IF(G20&gt;0,"Listing claim","110% old house")))</f>
        <v>Approved plans</v>
      </c>
      <c r="L20" s="45" t="n">
        <f aca="false">IF(AK20&gt;AJ20,IF(AI20&gt;AH20,Assumptions!$B$22,Assumptions!$B$21),Assumptions!$B$21)</f>
        <v>2</v>
      </c>
      <c r="M20" s="46" t="n">
        <f aca="false">INDEX(Assumptions!$B$32:$B$44,MATCH(AG20,Assumptions!$A$32:$A$44,0))*(1+IF(UPPER(Assumptions!$B$27)="WORST",Assumptions!$B$24,IF(UPPER(Assumptions!$B$27)="BEST",Assumptions!$B$26,Assumptions!$B$25)))</f>
        <v>1375</v>
      </c>
      <c r="N20" s="47" t="n">
        <f aca="false">J20*M20</f>
        <v>6034875</v>
      </c>
      <c r="O20" s="47" t="n">
        <f aca="false">D20</f>
        <v>1300000</v>
      </c>
      <c r="P20" s="47" t="n">
        <f aca="false">J20*Assumptions!$B$4</f>
        <v>3072300</v>
      </c>
      <c r="Q20" s="47" t="n">
        <f aca="false">IF(H20="Yes",Assumptions!$B$6*(D20),(J20)*Assumptions!$B$5)</f>
        <v>65000</v>
      </c>
      <c r="R20" s="47" t="n">
        <f aca="false">AL20*(Assumptions!$B$8*L20*Assumptions!$B$9+Assumptions!$B$10)</f>
        <v>389373.075</v>
      </c>
      <c r="S20" s="47" t="n">
        <f aca="false">O20*Assumptions!$B$11*L20</f>
        <v>31200</v>
      </c>
      <c r="T20" s="47" t="n">
        <f aca="false">N20*(Assumptions!$B$12+Assumptions!$B$13)</f>
        <v>335539.05</v>
      </c>
      <c r="U20" s="47" t="n">
        <f aca="false">N20*IF(N20&gt;=Assumptions!$B$16,Assumptions!$B$17,IF(N20&gt;=Assumptions!$B$14,Assumptions!$B$15,0))</f>
        <v>241395</v>
      </c>
      <c r="V20" s="48" t="n">
        <f aca="false">SUM(O20:U20)</f>
        <v>5434807.125</v>
      </c>
      <c r="W20" s="48" t="n">
        <f aca="false">N20-V20</f>
        <v>600067.875</v>
      </c>
      <c r="X20" s="49" t="n">
        <f aca="false">IF(V20=0,0,W20/V20)</f>
        <v>0.110411990931509</v>
      </c>
      <c r="Y20" s="47" t="n">
        <f aca="false">MAX(0,(N20/(1+Assumptions!$B$23)-(J20*(Assumptions!$B$4+IF(H20="Yes",0,Assumptions!$B$5)))*(1+(Assumptions!$B$7*(Assumptions!$B$8*L20*Assumptions!$B$9+Assumptions!$B$10)))-N20*(Assumptions!$B$12+Assumptions!$B$13+IF(N20&gt;=Assumptions!$B$16,Assumptions!$B$17,IF(N20&gt;=Assumptions!$B$14,Assumptions!$B$15,0))))/((1+IF(H20="Yes",Assumptions!$B$6,0))*(1+(Assumptions!$B$7*(Assumptions!$B$8*L20*Assumptions!$B$9+Assumptions!$B$10)))+Assumptions!$B$11*L20))</f>
        <v>1139564.60220544</v>
      </c>
      <c r="Z20" s="50" t="n">
        <f aca="false">IF(Y20&lt;=0,"no price works",D20/Y20)</f>
        <v>1.14078657540262</v>
      </c>
      <c r="AA20" s="46" t="n">
        <f aca="false">INDEX(Assumptions!$B$32:$B$44,MATCH(AG20,Assumptions!$A$32:$A$44,0))*(1+Assumptions!$B$24)</f>
        <v>1250</v>
      </c>
      <c r="AB20" s="47" t="n">
        <f aca="false">(J20)*AA20-(((D20)+(J20)*Assumptions!$B$4+IF(H20="Yes",Assumptions!$B$6*(D20),(J20)*Assumptions!$B$5))*(1+Assumptions!$B$7*(Assumptions!$B$8*(L20)*Assumptions!$B$9+Assumptions!$B$10))+(D20)*Assumptions!$B$11*(L20)+(J20)*AA20*(Assumptions!$B$12+Assumptions!$B$13+IF((J20)*AA20&gt;=Assumptions!$B$16,Assumptions!$B$17,IF((J20)*AA20&gt;=Assumptions!$B$14,Assumptions!$B$15,0))))</f>
        <v>103891.425</v>
      </c>
      <c r="AC20" s="46" t="n">
        <f aca="false">INDEX(Assumptions!$B$32:$B$44,MATCH(AG20,Assumptions!$A$32:$A$44,0))*(1+Assumptions!$B$25)</f>
        <v>1375</v>
      </c>
      <c r="AD20" s="47" t="n">
        <f aca="false">(J20)*AC20-(((D20)+(J20)*Assumptions!$B$4+IF(H20="Yes",Assumptions!$B$6*(D20),(J20)*Assumptions!$B$5))*(1+Assumptions!$B$7*(Assumptions!$B$8*(L20)*Assumptions!$B$9+Assumptions!$B$10))+(D20)*Assumptions!$B$11*(L20)+(J20)*AC20*(Assumptions!$B$12+Assumptions!$B$13+IF((J20)*AC20&gt;=Assumptions!$B$16,Assumptions!$B$17,IF((J20)*AC20&gt;=Assumptions!$B$14,Assumptions!$B$15,0))))</f>
        <v>600067.875</v>
      </c>
      <c r="AE20" s="46" t="n">
        <f aca="false">INDEX(Assumptions!$B$32:$B$44,MATCH(AG20,Assumptions!$A$32:$A$44,0))*(1+Assumptions!$B$26)</f>
        <v>1500</v>
      </c>
      <c r="AF20" s="47" t="n">
        <f aca="false">(J20)*AE20-(((D20)+(J20)*Assumptions!$B$4+IF(H20="Yes",Assumptions!$B$6*(D20),(J20)*Assumptions!$B$5))*(1+Assumptions!$B$7*(Assumptions!$B$8*(L20)*Assumptions!$B$9+Assumptions!$B$10))+(D20)*Assumptions!$B$11*(L20)+(J20)*AE20*(Assumptions!$B$12+Assumptions!$B$13+IF((J20)*AE20&gt;=Assumptions!$B$16,Assumptions!$B$17,IF((J20)*AE20&gt;=Assumptions!$B$14,Assumptions!$B$15,0))))</f>
        <v>1096244.325</v>
      </c>
      <c r="AG20" s="40" t="s">
        <v>109</v>
      </c>
      <c r="AH20" s="45" t="n">
        <f aca="false">IF(G20&gt;0,G20,ROUND(F20*Assumptions!$B$18,0))</f>
        <v>4389</v>
      </c>
      <c r="AI20" s="45" t="n">
        <f aca="false">IF(H20="Yes",AH20,MAX(AH20,MIN(Assumptions!$B$20,ROUND(E20*Assumptions!$B$19,0))))</f>
        <v>4389</v>
      </c>
      <c r="AJ20" s="47" t="n">
        <f aca="false">(AH20)*AC20-(((D20)+(AH20)*Assumptions!$B$4+IF(H20="Yes",Assumptions!$B$6*(D20),(AH20)*Assumptions!$B$5))*(1+Assumptions!$B$7*(Assumptions!$B$8*(Assumptions!$B$21)*Assumptions!$B$9+Assumptions!$B$10))+(D20)*Assumptions!$B$11*(Assumptions!$B$21)+(AH20)*AC20*(Assumptions!$B$12+Assumptions!$B$13+IF((AH20)*AC20&gt;=Assumptions!$B$16,Assumptions!$B$17,IF((AH20)*AC20&gt;=Assumptions!$B$14,Assumptions!$B$15,0))))</f>
        <v>600067.875</v>
      </c>
      <c r="AK20" s="47" t="n">
        <f aca="false">(AI20)*AC20-(((D20)+(AI20)*Assumptions!$B$4+IF(H20="Yes",Assumptions!$B$6*(D20),(AI20)*Assumptions!$B$5))*(1+Assumptions!$B$7*(Assumptions!$B$8*(IF(AI20&gt;AH20,Assumptions!$B$22,Assumptions!$B$21))*Assumptions!$B$9+Assumptions!$B$10))+(D20)*Assumptions!$B$11*(IF(AI20&gt;AH20,Assumptions!$B$22,Assumptions!$B$21))+(AI20)*AC20*(Assumptions!$B$12+Assumptions!$B$13+IF((AI20)*AC20&gt;=Assumptions!$B$16,Assumptions!$B$17,IF((AI20)*AC20&gt;=Assumptions!$B$14,Assumptions!$B$15,0))))</f>
        <v>600067.875</v>
      </c>
      <c r="AL20" s="47" t="n">
        <f aca="false">Assumptions!$B$7*(O20+P20+Q20)</f>
        <v>2884245</v>
      </c>
    </row>
    <row r="21" customFormat="false" ht="23.85" hidden="false" customHeight="false" outlineLevel="0" collapsed="false">
      <c r="A21" s="40" t="n">
        <v>19</v>
      </c>
      <c r="B21" s="40" t="s">
        <v>110</v>
      </c>
      <c r="C21" s="40" t="s">
        <v>66</v>
      </c>
      <c r="D21" s="41" t="n">
        <v>5395000</v>
      </c>
      <c r="E21" s="42" t="n">
        <v>33876</v>
      </c>
      <c r="F21" s="42" t="n">
        <v>4320</v>
      </c>
      <c r="G21" s="42"/>
      <c r="H21" s="43" t="s">
        <v>67</v>
      </c>
      <c r="I21" s="44" t="s">
        <v>111</v>
      </c>
      <c r="J21" s="45" t="n">
        <f aca="false">IF(AK21&gt;AJ21,AI21,AH21)</f>
        <v>8000</v>
      </c>
      <c r="K21" s="40" t="str">
        <f aca="false">IF(AK21&gt;AJ21,"Zoning estimate",IF(H21="Yes","Approved plans",IF(G21&gt;0,"Listing claim","110% old house")))</f>
        <v>Zoning estimate</v>
      </c>
      <c r="L21" s="45" t="n">
        <f aca="false">IF(AK21&gt;AJ21,IF(AI21&gt;AH21,Assumptions!$B$22,Assumptions!$B$21),Assumptions!$B$21)</f>
        <v>3</v>
      </c>
      <c r="M21" s="46" t="n">
        <f aca="false">INDEX(Assumptions!$B$32:$B$44,MATCH(AG21,Assumptions!$A$32:$A$44,0))*(1+IF(UPPER(Assumptions!$B$27)="WORST",Assumptions!$B$24,IF(UPPER(Assumptions!$B$27)="BEST",Assumptions!$B$26,Assumptions!$B$25)))</f>
        <v>2046</v>
      </c>
      <c r="N21" s="47" t="n">
        <f aca="false">J21*M21</f>
        <v>16368000</v>
      </c>
      <c r="O21" s="47" t="n">
        <f aca="false">D21</f>
        <v>5395000</v>
      </c>
      <c r="P21" s="47" t="n">
        <f aca="false">J21*Assumptions!$B$4</f>
        <v>5600000</v>
      </c>
      <c r="Q21" s="47" t="n">
        <f aca="false">IF(H21="Yes",Assumptions!$B$6*(D21),(J21)*Assumptions!$B$5)</f>
        <v>600000</v>
      </c>
      <c r="R21" s="47" t="n">
        <f aca="false">AL21*(Assumptions!$B$8*L21*Assumptions!$B$9+Assumptions!$B$10)</f>
        <v>1469666.25</v>
      </c>
      <c r="S21" s="47" t="n">
        <f aca="false">O21*Assumptions!$B$11*L21</f>
        <v>194220</v>
      </c>
      <c r="T21" s="47" t="n">
        <f aca="false">N21*(Assumptions!$B$12+Assumptions!$B$13)</f>
        <v>910060.8</v>
      </c>
      <c r="U21" s="47" t="n">
        <f aca="false">N21*IF(N21&gt;=Assumptions!$B$16,Assumptions!$B$17,IF(N21&gt;=Assumptions!$B$14,Assumptions!$B$15,0))</f>
        <v>900240</v>
      </c>
      <c r="V21" s="48" t="n">
        <f aca="false">SUM(O21:U21)</f>
        <v>15069187.05</v>
      </c>
      <c r="W21" s="48" t="n">
        <f aca="false">N21-V21</f>
        <v>1298812.95</v>
      </c>
      <c r="X21" s="49" t="n">
        <f aca="false">IF(V21=0,0,W21/V21)</f>
        <v>0.0861899812969672</v>
      </c>
      <c r="Y21" s="47" t="n">
        <f aca="false">MAX(0,(N21/(1+Assumptions!$B$23)-(J21*(Assumptions!$B$4+IF(H21="Yes",0,Assumptions!$B$5)))*(1+(Assumptions!$B$7*(Assumptions!$B$8*L21*Assumptions!$B$9+Assumptions!$B$10)))-N21*(Assumptions!$B$12+Assumptions!$B$13+IF(N21&gt;=Assumptions!$B$16,Assumptions!$B$17,IF(N21&gt;=Assumptions!$B$14,Assumptions!$B$15,0))))/((1+IF(H21="Yes",Assumptions!$B$6,0))*(1+(Assumptions!$B$7*(Assumptions!$B$8*L21*Assumptions!$B$9+Assumptions!$B$10)))+Assumptions!$B$11*L21))</f>
        <v>4675891.35950194</v>
      </c>
      <c r="Z21" s="50" t="n">
        <f aca="false">IF(Y21&lt;=0,"no price works",D21/Y21)</f>
        <v>1.15379070752719</v>
      </c>
      <c r="AA21" s="46" t="n">
        <f aca="false">INDEX(Assumptions!$B$32:$B$44,MATCH(AG21,Assumptions!$A$32:$A$44,0))*(1+Assumptions!$B$24)</f>
        <v>1860</v>
      </c>
      <c r="AB21" s="47" t="n">
        <f aca="false">(J21)*AA21-(((D21)+(J21)*Assumptions!$B$4+IF(H21="Yes",Assumptions!$B$6*(D21),(J21)*Assumptions!$B$5))*(1+Assumptions!$B$7*(Assumptions!$B$8*(L21)*Assumptions!$B$9+Assumptions!$B$10))+(D21)*Assumptions!$B$11*(L21)+(J21)*AA21*(Assumptions!$B$12+Assumptions!$B$13+IF((J21)*AA21&gt;=Assumptions!$B$16,Assumptions!$B$17,IF((J21)*AA21&gt;=Assumptions!$B$14,Assumptions!$B$15,0))))</f>
        <v>-24614.2499999981</v>
      </c>
      <c r="AC21" s="46" t="n">
        <f aca="false">INDEX(Assumptions!$B$32:$B$44,MATCH(AG21,Assumptions!$A$32:$A$44,0))*(1+Assumptions!$B$25)</f>
        <v>2046</v>
      </c>
      <c r="AD21" s="47" t="n">
        <f aca="false">(J21)*AC21-(((D21)+(J21)*Assumptions!$B$4+IF(H21="Yes",Assumptions!$B$6*(D21),(J21)*Assumptions!$B$5))*(1+Assumptions!$B$7*(Assumptions!$B$8*(L21)*Assumptions!$B$9+Assumptions!$B$10))+(D21)*Assumptions!$B$11*(L21)+(J21)*AC21*(Assumptions!$B$12+Assumptions!$B$13+IF((J21)*AC21&gt;=Assumptions!$B$16,Assumptions!$B$17,IF((J21)*AC21&gt;=Assumptions!$B$14,Assumptions!$B$15,0))))</f>
        <v>1298812.95</v>
      </c>
      <c r="AE21" s="46" t="n">
        <f aca="false">INDEX(Assumptions!$B$32:$B$44,MATCH(AG21,Assumptions!$A$32:$A$44,0))*(1+Assumptions!$B$26)</f>
        <v>2232</v>
      </c>
      <c r="AF21" s="47" t="n">
        <f aca="false">(J21)*AE21-(((D21)+(J21)*Assumptions!$B$4+IF(H21="Yes",Assumptions!$B$6*(D21),(J21)*Assumptions!$B$5))*(1+Assumptions!$B$7*(Assumptions!$B$8*(L21)*Assumptions!$B$9+Assumptions!$B$10))+(D21)*Assumptions!$B$11*(L21)+(J21)*AE21*(Assumptions!$B$12+Assumptions!$B$13+IF((J21)*AE21&gt;=Assumptions!$B$16,Assumptions!$B$17,IF((J21)*AE21&gt;=Assumptions!$B$14,Assumptions!$B$15,0))))</f>
        <v>2622240.15</v>
      </c>
      <c r="AG21" s="40" t="s">
        <v>69</v>
      </c>
      <c r="AH21" s="45" t="n">
        <f aca="false">IF(G21&gt;0,G21,ROUND(F21*Assumptions!$B$18,0))</f>
        <v>4752</v>
      </c>
      <c r="AI21" s="45" t="n">
        <f aca="false">IF(H21="Yes",AH21,MAX(AH21,MIN(Assumptions!$B$20,ROUND(E21*Assumptions!$B$19,0))))</f>
        <v>8000</v>
      </c>
      <c r="AJ21" s="47" t="n">
        <f aca="false">(AH21)*AC21-(((D21)+(AH21)*Assumptions!$B$4+IF(H21="Yes",Assumptions!$B$6*(D21),(AH21)*Assumptions!$B$5))*(1+Assumptions!$B$7*(Assumptions!$B$8*(Assumptions!$B$21)*Assumptions!$B$9+Assumptions!$B$10))+(D21)*Assumptions!$B$11*(Assumptions!$B$21)+(AH21)*AC21*(Assumptions!$B$12+Assumptions!$B$13+IF((AH21)*AC21&gt;=Assumptions!$B$16,Assumptions!$B$17,IF((AH21)*AC21&gt;=Assumptions!$B$14,Assumptions!$B$15,0))))</f>
        <v>-1210744.7452</v>
      </c>
      <c r="AK21" s="47" t="n">
        <f aca="false">(AI21)*AC21-(((D21)+(AI21)*Assumptions!$B$4+IF(H21="Yes",Assumptions!$B$6*(D21),(AI21)*Assumptions!$B$5))*(1+Assumptions!$B$7*(Assumptions!$B$8*(IF(AI21&gt;AH21,Assumptions!$B$22,Assumptions!$B$21))*Assumptions!$B$9+Assumptions!$B$10))+(D21)*Assumptions!$B$11*(IF(AI21&gt;AH21,Assumptions!$B$22,Assumptions!$B$21))+(AI21)*AC21*(Assumptions!$B$12+Assumptions!$B$13+IF((AI21)*AC21&gt;=Assumptions!$B$16,Assumptions!$B$17,IF((AI21)*AC21&gt;=Assumptions!$B$14,Assumptions!$B$15,0))))</f>
        <v>1298812.95</v>
      </c>
      <c r="AL21" s="47" t="n">
        <f aca="false">Assumptions!$B$7*(O21+P21+Q21)</f>
        <v>7536750</v>
      </c>
    </row>
    <row r="22" customFormat="false" ht="15" hidden="false" customHeight="false" outlineLevel="0" collapsed="false">
      <c r="A22" s="40" t="n">
        <v>20</v>
      </c>
      <c r="B22" s="40" t="s">
        <v>112</v>
      </c>
      <c r="C22" s="40" t="s">
        <v>98</v>
      </c>
      <c r="D22" s="41" t="n">
        <v>995000</v>
      </c>
      <c r="E22" s="42" t="n">
        <v>4360</v>
      </c>
      <c r="F22" s="42" t="n">
        <v>2975</v>
      </c>
      <c r="G22" s="42"/>
      <c r="H22" s="43" t="s">
        <v>67</v>
      </c>
      <c r="I22" s="44" t="s">
        <v>113</v>
      </c>
      <c r="J22" s="45" t="n">
        <f aca="false">IF(AK22&gt;AJ22,AI22,AH22)</f>
        <v>3273</v>
      </c>
      <c r="K22" s="40" t="str">
        <f aca="false">IF(AK22&gt;AJ22,"Zoning estimate",IF(H22="Yes","Approved plans",IF(G22&gt;0,"Listing claim","110% old house")))</f>
        <v>110% old house</v>
      </c>
      <c r="L22" s="45" t="n">
        <f aca="false">IF(AK22&gt;AJ22,IF(AI22&gt;AH22,Assumptions!$B$22,Assumptions!$B$21),Assumptions!$B$21)</f>
        <v>2</v>
      </c>
      <c r="M22" s="46" t="n">
        <f aca="false">INDEX(Assumptions!$B$32:$B$44,MATCH(AG22,Assumptions!$A$32:$A$44,0))*(1+IF(UPPER(Assumptions!$B$27)="WORST",Assumptions!$B$24,IF(UPPER(Assumptions!$B$27)="BEST",Assumptions!$B$26,Assumptions!$B$25)))</f>
        <v>1375</v>
      </c>
      <c r="N22" s="47" t="n">
        <f aca="false">J22*M22</f>
        <v>4500375</v>
      </c>
      <c r="O22" s="47" t="n">
        <f aca="false">D22</f>
        <v>995000</v>
      </c>
      <c r="P22" s="47" t="n">
        <f aca="false">J22*Assumptions!$B$4</f>
        <v>2291100</v>
      </c>
      <c r="Q22" s="47" t="n">
        <f aca="false">IF(H22="Yes",Assumptions!$B$6*(D22),(J22)*Assumptions!$B$5)</f>
        <v>245475</v>
      </c>
      <c r="R22" s="47" t="n">
        <f aca="false">AL22*(Assumptions!$B$8*L22*Assumptions!$B$9+Assumptions!$B$10)</f>
        <v>309895.70625</v>
      </c>
      <c r="S22" s="47" t="n">
        <f aca="false">O22*Assumptions!$B$11*L22</f>
        <v>23880</v>
      </c>
      <c r="T22" s="47" t="n">
        <f aca="false">N22*(Assumptions!$B$12+Assumptions!$B$13)</f>
        <v>250220.85</v>
      </c>
      <c r="U22" s="47" t="n">
        <f aca="false">N22*IF(N22&gt;=Assumptions!$B$16,Assumptions!$B$17,IF(N22&gt;=Assumptions!$B$14,Assumptions!$B$15,0))</f>
        <v>0</v>
      </c>
      <c r="V22" s="48" t="n">
        <f aca="false">SUM(O22:U22)</f>
        <v>4115571.55625</v>
      </c>
      <c r="W22" s="48" t="n">
        <f aca="false">N22-V22</f>
        <v>384803.44375</v>
      </c>
      <c r="X22" s="49" t="n">
        <f aca="false">IF(V22=0,0,W22/V22)</f>
        <v>0.0934993933383636</v>
      </c>
      <c r="Y22" s="47" t="n">
        <f aca="false">MAX(0,(N22/(1+Assumptions!$B$23)-(J22*(Assumptions!$B$4+IF(H22="Yes",0,Assumptions!$B$5)))*(1+(Assumptions!$B$7*(Assumptions!$B$8*L22*Assumptions!$B$9+Assumptions!$B$10)))-N22*(Assumptions!$B$12+Assumptions!$B$13+IF(N22&gt;=Assumptions!$B$16,Assumptions!$B$17,IF(N22&gt;=Assumptions!$B$14,Assumptions!$B$15,0))))/((1+IF(H22="Yes",Assumptions!$B$6,0))*(1+(Assumptions!$B$7*(Assumptions!$B$8*L22*Assumptions!$B$9+Assumptions!$B$10)))+Assumptions!$B$11*L22))</f>
        <v>813122.787467859</v>
      </c>
      <c r="Z22" s="50" t="n">
        <f aca="false">IF(Y22&lt;=0,"no price works",D22/Y22)</f>
        <v>1.22367742650347</v>
      </c>
      <c r="AA22" s="46" t="n">
        <f aca="false">INDEX(Assumptions!$B$32:$B$44,MATCH(AG22,Assumptions!$A$32:$A$44,0))*(1+Assumptions!$B$24)</f>
        <v>1250</v>
      </c>
      <c r="AB22" s="47" t="n">
        <f aca="false">(J22)*AA22-(((D22)+(J22)*Assumptions!$B$4+IF(H22="Yes",Assumptions!$B$6*(D22),(J22)*Assumptions!$B$5))*(1+Assumptions!$B$7*(Assumptions!$B$8*(L22)*Assumptions!$B$9+Assumptions!$B$10))+(D22)*Assumptions!$B$11*(L22)+(J22)*AA22*(Assumptions!$B$12+Assumptions!$B$13+IF((J22)*AA22&gt;=Assumptions!$B$16,Assumptions!$B$17,IF((J22)*AA22&gt;=Assumptions!$B$14,Assumptions!$B$15,0))))</f>
        <v>-1574.20624999981</v>
      </c>
      <c r="AC22" s="46" t="n">
        <f aca="false">INDEX(Assumptions!$B$32:$B$44,MATCH(AG22,Assumptions!$A$32:$A$44,0))*(1+Assumptions!$B$25)</f>
        <v>1375</v>
      </c>
      <c r="AD22" s="47" t="n">
        <f aca="false">(J22)*AC22-(((D22)+(J22)*Assumptions!$B$4+IF(H22="Yes",Assumptions!$B$6*(D22),(J22)*Assumptions!$B$5))*(1+Assumptions!$B$7*(Assumptions!$B$8*(L22)*Assumptions!$B$9+Assumptions!$B$10))+(D22)*Assumptions!$B$11*(L22)+(J22)*AC22*(Assumptions!$B$12+Assumptions!$B$13+IF((J22)*AC22&gt;=Assumptions!$B$16,Assumptions!$B$17,IF((J22)*AC22&gt;=Assumptions!$B$14,Assumptions!$B$15,0))))</f>
        <v>384803.44375</v>
      </c>
      <c r="AE22" s="46" t="n">
        <f aca="false">INDEX(Assumptions!$B$32:$B$44,MATCH(AG22,Assumptions!$A$32:$A$44,0))*(1+Assumptions!$B$26)</f>
        <v>1500</v>
      </c>
      <c r="AF22" s="47" t="n">
        <f aca="false">(J22)*AE22-(((D22)+(J22)*Assumptions!$B$4+IF(H22="Yes",Assumptions!$B$6*(D22),(J22)*Assumptions!$B$5))*(1+Assumptions!$B$7*(Assumptions!$B$8*(L22)*Assumptions!$B$9+Assumptions!$B$10))+(D22)*Assumptions!$B$11*(L22)+(J22)*AE22*(Assumptions!$B$12+Assumptions!$B$13+IF((J22)*AE22&gt;=Assumptions!$B$16,Assumptions!$B$17,IF((J22)*AE22&gt;=Assumptions!$B$14,Assumptions!$B$15,0))))</f>
        <v>771181.09375</v>
      </c>
      <c r="AG22" s="40" t="s">
        <v>100</v>
      </c>
      <c r="AH22" s="45" t="n">
        <f aca="false">IF(G22&gt;0,G22,ROUND(F22*Assumptions!$B$18,0))</f>
        <v>3273</v>
      </c>
      <c r="AI22" s="45" t="n">
        <f aca="false">IF(H22="Yes",AH22,MAX(AH22,MIN(Assumptions!$B$20,ROUND(E22*Assumptions!$B$19,0))))</f>
        <v>3273</v>
      </c>
      <c r="AJ22" s="47" t="n">
        <f aca="false">(AH22)*AC22-(((D22)+(AH22)*Assumptions!$B$4+IF(H22="Yes",Assumptions!$B$6*(D22),(AH22)*Assumptions!$B$5))*(1+Assumptions!$B$7*(Assumptions!$B$8*(Assumptions!$B$21)*Assumptions!$B$9+Assumptions!$B$10))+(D22)*Assumptions!$B$11*(Assumptions!$B$21)+(AH22)*AC22*(Assumptions!$B$12+Assumptions!$B$13+IF((AH22)*AC22&gt;=Assumptions!$B$16,Assumptions!$B$17,IF((AH22)*AC22&gt;=Assumptions!$B$14,Assumptions!$B$15,0))))</f>
        <v>384803.44375</v>
      </c>
      <c r="AK22" s="47" t="n">
        <f aca="false">(AI22)*AC22-(((D22)+(AI22)*Assumptions!$B$4+IF(H22="Yes",Assumptions!$B$6*(D22),(AI22)*Assumptions!$B$5))*(1+Assumptions!$B$7*(Assumptions!$B$8*(IF(AI22&gt;AH22,Assumptions!$B$22,Assumptions!$B$21))*Assumptions!$B$9+Assumptions!$B$10))+(D22)*Assumptions!$B$11*(IF(AI22&gt;AH22,Assumptions!$B$22,Assumptions!$B$21))+(AI22)*AC22*(Assumptions!$B$12+Assumptions!$B$13+IF((AI22)*AC22&gt;=Assumptions!$B$16,Assumptions!$B$17,IF((AI22)*AC22&gt;=Assumptions!$B$14,Assumptions!$B$15,0))))</f>
        <v>384803.44375</v>
      </c>
      <c r="AL22" s="47" t="n">
        <f aca="false">Assumptions!$B$7*(O22+P22+Q22)</f>
        <v>2295523.75</v>
      </c>
    </row>
    <row r="23" customFormat="false" ht="15" hidden="false" customHeight="false" outlineLevel="0" collapsed="false">
      <c r="A23" s="40" t="n">
        <v>21</v>
      </c>
      <c r="B23" s="40" t="s">
        <v>114</v>
      </c>
      <c r="C23" s="40" t="s">
        <v>115</v>
      </c>
      <c r="D23" s="41" t="n">
        <v>2345000</v>
      </c>
      <c r="E23" s="42" t="n">
        <v>8156</v>
      </c>
      <c r="F23" s="42" t="n">
        <v>5423</v>
      </c>
      <c r="G23" s="42"/>
      <c r="H23" s="43" t="s">
        <v>67</v>
      </c>
      <c r="I23" s="44" t="s">
        <v>116</v>
      </c>
      <c r="J23" s="45" t="n">
        <f aca="false">IF(AK23&gt;AJ23,AI23,AH23)</f>
        <v>5965</v>
      </c>
      <c r="K23" s="40" t="str">
        <f aca="false">IF(AK23&gt;AJ23,"Zoning estimate",IF(H23="Yes","Approved plans",IF(G23&gt;0,"Listing claim","110% old house")))</f>
        <v>110% old house</v>
      </c>
      <c r="L23" s="45" t="n">
        <f aca="false">IF(AK23&gt;AJ23,IF(AI23&gt;AH23,Assumptions!$B$22,Assumptions!$B$21),Assumptions!$B$21)</f>
        <v>2</v>
      </c>
      <c r="M23" s="46" t="n">
        <f aca="false">INDEX(Assumptions!$B$32:$B$44,MATCH(AG23,Assumptions!$A$32:$A$44,0))*(1+IF(UPPER(Assumptions!$B$27)="WORST",Assumptions!$B$24,IF(UPPER(Assumptions!$B$27)="BEST",Assumptions!$B$26,Assumptions!$B$25)))</f>
        <v>1540</v>
      </c>
      <c r="N23" s="47" t="n">
        <f aca="false">J23*M23</f>
        <v>9186100</v>
      </c>
      <c r="O23" s="47" t="n">
        <f aca="false">D23</f>
        <v>2345000</v>
      </c>
      <c r="P23" s="47" t="n">
        <f aca="false">J23*Assumptions!$B$4</f>
        <v>4175500</v>
      </c>
      <c r="Q23" s="47" t="n">
        <f aca="false">IF(H23="Yes",Assumptions!$B$6*(D23),(J23)*Assumptions!$B$5)</f>
        <v>447375</v>
      </c>
      <c r="R23" s="47" t="n">
        <f aca="false">AL23*(Assumptions!$B$8*L23*Assumptions!$B$9+Assumptions!$B$10)</f>
        <v>611431.03125</v>
      </c>
      <c r="S23" s="47" t="n">
        <f aca="false">O23*Assumptions!$B$11*L23</f>
        <v>56280</v>
      </c>
      <c r="T23" s="47" t="n">
        <f aca="false">N23*(Assumptions!$B$12+Assumptions!$B$13)</f>
        <v>510747.16</v>
      </c>
      <c r="U23" s="47" t="n">
        <f aca="false">N23*IF(N23&gt;=Assumptions!$B$16,Assumptions!$B$17,IF(N23&gt;=Assumptions!$B$14,Assumptions!$B$15,0))</f>
        <v>367444</v>
      </c>
      <c r="V23" s="48" t="n">
        <f aca="false">SUM(O23:U23)</f>
        <v>8513777.19125</v>
      </c>
      <c r="W23" s="48" t="n">
        <f aca="false">N23-V23</f>
        <v>672322.808750002</v>
      </c>
      <c r="X23" s="49" t="n">
        <f aca="false">IF(V23=0,0,W23/V23)</f>
        <v>0.0789688047557762</v>
      </c>
      <c r="Y23" s="47" t="n">
        <f aca="false">MAX(0,(N23/(1+Assumptions!$B$23)-(J23*(Assumptions!$B$4+IF(H23="Yes",0,Assumptions!$B$5)))*(1+(Assumptions!$B$7*(Assumptions!$B$8*L23*Assumptions!$B$9+Assumptions!$B$10)))-N23*(Assumptions!$B$12+Assumptions!$B$13+IF(N23&gt;=Assumptions!$B$16,Assumptions!$B$17,IF(N23&gt;=Assumptions!$B$14,Assumptions!$B$15,0))))/((1+IF(H23="Yes",Assumptions!$B$6,0))*(1+(Assumptions!$B$7*(Assumptions!$B$8*L23*Assumptions!$B$9+Assumptions!$B$10)))+Assumptions!$B$11*L23))</f>
        <v>1871994.24531438</v>
      </c>
      <c r="Z23" s="50" t="n">
        <f aca="false">IF(Y23&lt;=0,"no price works",D23/Y23)</f>
        <v>1.25267479099872</v>
      </c>
      <c r="AA23" s="46" t="n">
        <f aca="false">INDEX(Assumptions!$B$32:$B$44,MATCH(AG23,Assumptions!$A$32:$A$44,0))*(1+Assumptions!$B$24)</f>
        <v>1400</v>
      </c>
      <c r="AB23" s="47" t="n">
        <f aca="false">(J23)*AA23-(((D23)+(J23)*Assumptions!$B$4+IF(H23="Yes",Assumptions!$B$6*(D23),(J23)*Assumptions!$B$5))*(1+Assumptions!$B$7*(Assumptions!$B$8*(L23)*Assumptions!$B$9+Assumptions!$B$10))+(D23)*Assumptions!$B$11*(L23)+(J23)*AA23*(Assumptions!$B$12+Assumptions!$B$13+IF((J23)*AA23&gt;=Assumptions!$B$16,Assumptions!$B$17,IF((J23)*AA23&gt;=Assumptions!$B$14,Assumptions!$B$15,0))))</f>
        <v>-82941.6312499996</v>
      </c>
      <c r="AC23" s="46" t="n">
        <f aca="false">INDEX(Assumptions!$B$32:$B$44,MATCH(AG23,Assumptions!$A$32:$A$44,0))*(1+Assumptions!$B$25)</f>
        <v>1540</v>
      </c>
      <c r="AD23" s="47" t="n">
        <f aca="false">(J23)*AC23-(((D23)+(J23)*Assumptions!$B$4+IF(H23="Yes",Assumptions!$B$6*(D23),(J23)*Assumptions!$B$5))*(1+Assumptions!$B$7*(Assumptions!$B$8*(L23)*Assumptions!$B$9+Assumptions!$B$10))+(D23)*Assumptions!$B$11*(L23)+(J23)*AC23*(Assumptions!$B$12+Assumptions!$B$13+IF((J23)*AC23&gt;=Assumptions!$B$16,Assumptions!$B$17,IF((J23)*AC23&gt;=Assumptions!$B$14,Assumptions!$B$15,0))))</f>
        <v>672322.808750002</v>
      </c>
      <c r="AE23" s="46" t="n">
        <f aca="false">INDEX(Assumptions!$B$32:$B$44,MATCH(AG23,Assumptions!$A$32:$A$44,0))*(1+Assumptions!$B$26)</f>
        <v>1680</v>
      </c>
      <c r="AF23" s="47" t="n">
        <f aca="false">(J23)*AE23-(((D23)+(J23)*Assumptions!$B$4+IF(H23="Yes",Assumptions!$B$6*(D23),(J23)*Assumptions!$B$5))*(1+Assumptions!$B$7*(Assumptions!$B$8*(L23)*Assumptions!$B$9+Assumptions!$B$10))+(D23)*Assumptions!$B$11*(L23)+(J23)*AE23*(Assumptions!$B$12+Assumptions!$B$13+IF((J23)*AE23&gt;=Assumptions!$B$16,Assumptions!$B$17,IF((J23)*AE23&gt;=Assumptions!$B$14,Assumptions!$B$15,0))))</f>
        <v>1427587.24875</v>
      </c>
      <c r="AG23" s="40" t="s">
        <v>117</v>
      </c>
      <c r="AH23" s="45" t="n">
        <f aca="false">IF(G23&gt;0,G23,ROUND(F23*Assumptions!$B$18,0))</f>
        <v>5965</v>
      </c>
      <c r="AI23" s="45" t="n">
        <f aca="false">IF(H23="Yes",AH23,MAX(AH23,MIN(Assumptions!$B$20,ROUND(E23*Assumptions!$B$19,0))))</f>
        <v>5965</v>
      </c>
      <c r="AJ23" s="47" t="n">
        <f aca="false">(AH23)*AC23-(((D23)+(AH23)*Assumptions!$B$4+IF(H23="Yes",Assumptions!$B$6*(D23),(AH23)*Assumptions!$B$5))*(1+Assumptions!$B$7*(Assumptions!$B$8*(Assumptions!$B$21)*Assumptions!$B$9+Assumptions!$B$10))+(D23)*Assumptions!$B$11*(Assumptions!$B$21)+(AH23)*AC23*(Assumptions!$B$12+Assumptions!$B$13+IF((AH23)*AC23&gt;=Assumptions!$B$16,Assumptions!$B$17,IF((AH23)*AC23&gt;=Assumptions!$B$14,Assumptions!$B$15,0))))</f>
        <v>672322.808750002</v>
      </c>
      <c r="AK23" s="47" t="n">
        <f aca="false">(AI23)*AC23-(((D23)+(AI23)*Assumptions!$B$4+IF(H23="Yes",Assumptions!$B$6*(D23),(AI23)*Assumptions!$B$5))*(1+Assumptions!$B$7*(Assumptions!$B$8*(IF(AI23&gt;AH23,Assumptions!$B$22,Assumptions!$B$21))*Assumptions!$B$9+Assumptions!$B$10))+(D23)*Assumptions!$B$11*(IF(AI23&gt;AH23,Assumptions!$B$22,Assumptions!$B$21))+(AI23)*AC23*(Assumptions!$B$12+Assumptions!$B$13+IF((AI23)*AC23&gt;=Assumptions!$B$16,Assumptions!$B$17,IF((AI23)*AC23&gt;=Assumptions!$B$14,Assumptions!$B$15,0))))</f>
        <v>672322.808750002</v>
      </c>
      <c r="AL23" s="47" t="n">
        <f aca="false">Assumptions!$B$7*(O23+P23+Q23)</f>
        <v>4529118.75</v>
      </c>
    </row>
    <row r="24" customFormat="false" ht="15" hidden="false" customHeight="false" outlineLevel="0" collapsed="false">
      <c r="A24" s="40" t="n">
        <v>22</v>
      </c>
      <c r="B24" s="40" t="s">
        <v>118</v>
      </c>
      <c r="C24" s="40" t="s">
        <v>71</v>
      </c>
      <c r="D24" s="41" t="n">
        <v>1995000</v>
      </c>
      <c r="E24" s="42" t="n">
        <v>6058</v>
      </c>
      <c r="F24" s="42" t="n">
        <v>3590</v>
      </c>
      <c r="G24" s="42" t="n">
        <v>3496</v>
      </c>
      <c r="H24" s="43" t="s">
        <v>76</v>
      </c>
      <c r="I24" s="44" t="s">
        <v>119</v>
      </c>
      <c r="J24" s="45" t="n">
        <f aca="false">IF(AK24&gt;AJ24,AI24,AH24)</f>
        <v>3496</v>
      </c>
      <c r="K24" s="40" t="str">
        <f aca="false">IF(AK24&gt;AJ24,"Zoning estimate",IF(H24="Yes","Approved plans",IF(G24&gt;0,"Listing claim","110% old house")))</f>
        <v>Approved plans</v>
      </c>
      <c r="L24" s="45" t="n">
        <f aca="false">IF(AK24&gt;AJ24,IF(AI24&gt;AH24,Assumptions!$B$22,Assumptions!$B$21),Assumptions!$B$21)</f>
        <v>2</v>
      </c>
      <c r="M24" s="46" t="n">
        <f aca="false">INDEX(Assumptions!$B$32:$B$44,MATCH(AG24,Assumptions!$A$32:$A$44,0))*(1+IF(UPPER(Assumptions!$B$27)="WORST",Assumptions!$B$24,IF(UPPER(Assumptions!$B$27)="BEST",Assumptions!$B$26,Assumptions!$B$25)))</f>
        <v>1540</v>
      </c>
      <c r="N24" s="47" t="n">
        <f aca="false">J24*M24</f>
        <v>5383840</v>
      </c>
      <c r="O24" s="47" t="n">
        <f aca="false">D24</f>
        <v>1995000</v>
      </c>
      <c r="P24" s="47" t="n">
        <f aca="false">J24*Assumptions!$B$4</f>
        <v>2447200</v>
      </c>
      <c r="Q24" s="47" t="n">
        <f aca="false">IF(H24="Yes",Assumptions!$B$6*(D24),(J24)*Assumptions!$B$5)</f>
        <v>99750</v>
      </c>
      <c r="R24" s="47" t="n">
        <f aca="false">AL24*(Assumptions!$B$8*L24*Assumptions!$B$9+Assumptions!$B$10)</f>
        <v>398556.1125</v>
      </c>
      <c r="S24" s="47" t="n">
        <f aca="false">O24*Assumptions!$B$11*L24</f>
        <v>47880</v>
      </c>
      <c r="T24" s="47" t="n">
        <f aca="false">N24*(Assumptions!$B$12+Assumptions!$B$13)</f>
        <v>299341.504</v>
      </c>
      <c r="U24" s="47" t="n">
        <f aca="false">N24*IF(N24&gt;=Assumptions!$B$16,Assumptions!$B$17,IF(N24&gt;=Assumptions!$B$14,Assumptions!$B$15,0))</f>
        <v>0</v>
      </c>
      <c r="V24" s="48" t="n">
        <f aca="false">SUM(O24:U24)</f>
        <v>5287727.6165</v>
      </c>
      <c r="W24" s="48" t="n">
        <f aca="false">N24-V24</f>
        <v>96112.3835000014</v>
      </c>
      <c r="X24" s="49" t="n">
        <f aca="false">IF(V24=0,0,W24/V24)</f>
        <v>0.0181765004687626</v>
      </c>
      <c r="Y24" s="47" t="n">
        <f aca="false">MAX(0,(N24/(1+Assumptions!$B$23)-(J24*(Assumptions!$B$4+IF(H24="Yes",0,Assumptions!$B$5)))*(1+(Assumptions!$B$7*(Assumptions!$B$8*L24*Assumptions!$B$9+Assumptions!$B$10)))-N24*(Assumptions!$B$12+Assumptions!$B$13+IF(N24&gt;=Assumptions!$B$16,Assumptions!$B$17,IF(N24&gt;=Assumptions!$B$14,Assumptions!$B$15,0))))/((1+IF(H24="Yes",Assumptions!$B$6,0))*(1+(Assumptions!$B$7*(Assumptions!$B$8*L24*Assumptions!$B$9+Assumptions!$B$10)))+Assumptions!$B$11*L24))</f>
        <v>1475226.28849514</v>
      </c>
      <c r="Z24" s="50" t="n">
        <f aca="false">IF(Y24&lt;=0,"no price works",D24/Y24)</f>
        <v>1.35233490316599</v>
      </c>
      <c r="AA24" s="46" t="n">
        <f aca="false">INDEX(Assumptions!$B$32:$B$44,MATCH(AG24,Assumptions!$A$32:$A$44,0))*(1+Assumptions!$B$24)</f>
        <v>1400</v>
      </c>
      <c r="AB24" s="47" t="n">
        <f aca="false">(J24)*AA24-(((D24)+(J24)*Assumptions!$B$4+IF(H24="Yes",Assumptions!$B$6*(D24),(J24)*Assumptions!$B$5))*(1+Assumptions!$B$7*(Assumptions!$B$8*(L24)*Assumptions!$B$9+Assumptions!$B$10))+(D24)*Assumptions!$B$11*(L24)+(J24)*AA24*(Assumptions!$B$12+Assumptions!$B$13+IF((J24)*AA24&gt;=Assumptions!$B$16,Assumptions!$B$17,IF((J24)*AA24&gt;=Assumptions!$B$14,Assumptions!$B$15,0))))</f>
        <v>-366114.7525</v>
      </c>
      <c r="AC24" s="46" t="n">
        <f aca="false">INDEX(Assumptions!$B$32:$B$44,MATCH(AG24,Assumptions!$A$32:$A$44,0))*(1+Assumptions!$B$25)</f>
        <v>1540</v>
      </c>
      <c r="AD24" s="47" t="n">
        <f aca="false">(J24)*AC24-(((D24)+(J24)*Assumptions!$B$4+IF(H24="Yes",Assumptions!$B$6*(D24),(J24)*Assumptions!$B$5))*(1+Assumptions!$B$7*(Assumptions!$B$8*(L24)*Assumptions!$B$9+Assumptions!$B$10))+(D24)*Assumptions!$B$11*(L24)+(J24)*AC24*(Assumptions!$B$12+Assumptions!$B$13+IF((J24)*AC24&gt;=Assumptions!$B$16,Assumptions!$B$17,IF((J24)*AC24&gt;=Assumptions!$B$14,Assumptions!$B$15,0))))</f>
        <v>96112.3835000014</v>
      </c>
      <c r="AE24" s="46" t="n">
        <f aca="false">INDEX(Assumptions!$B$32:$B$44,MATCH(AG24,Assumptions!$A$32:$A$44,0))*(1+Assumptions!$B$26)</f>
        <v>1680</v>
      </c>
      <c r="AF24" s="47" t="n">
        <f aca="false">(J24)*AE24-(((D24)+(J24)*Assumptions!$B$4+IF(H24="Yes",Assumptions!$B$6*(D24),(J24)*Assumptions!$B$5))*(1+Assumptions!$B$7*(Assumptions!$B$8*(L24)*Assumptions!$B$9+Assumptions!$B$10))+(D24)*Assumptions!$B$11*(L24)+(J24)*AE24*(Assumptions!$B$12+Assumptions!$B$13+IF((J24)*AE24&gt;=Assumptions!$B$16,Assumptions!$B$17,IF((J24)*AE24&gt;=Assumptions!$B$14,Assumptions!$B$15,0))))</f>
        <v>323408.3195</v>
      </c>
      <c r="AG24" s="40" t="s">
        <v>73</v>
      </c>
      <c r="AH24" s="45" t="n">
        <f aca="false">IF(G24&gt;0,G24,ROUND(F24*Assumptions!$B$18,0))</f>
        <v>3496</v>
      </c>
      <c r="AI24" s="45" t="n">
        <f aca="false">IF(H24="Yes",AH24,MAX(AH24,MIN(Assumptions!$B$20,ROUND(E24*Assumptions!$B$19,0))))</f>
        <v>3496</v>
      </c>
      <c r="AJ24" s="47" t="n">
        <f aca="false">(AH24)*AC24-(((D24)+(AH24)*Assumptions!$B$4+IF(H24="Yes",Assumptions!$B$6*(D24),(AH24)*Assumptions!$B$5))*(1+Assumptions!$B$7*(Assumptions!$B$8*(Assumptions!$B$21)*Assumptions!$B$9+Assumptions!$B$10))+(D24)*Assumptions!$B$11*(Assumptions!$B$21)+(AH24)*AC24*(Assumptions!$B$12+Assumptions!$B$13+IF((AH24)*AC24&gt;=Assumptions!$B$16,Assumptions!$B$17,IF((AH24)*AC24&gt;=Assumptions!$B$14,Assumptions!$B$15,0))))</f>
        <v>96112.3835000014</v>
      </c>
      <c r="AK24" s="47" t="n">
        <f aca="false">(AI24)*AC24-(((D24)+(AI24)*Assumptions!$B$4+IF(H24="Yes",Assumptions!$B$6*(D24),(AI24)*Assumptions!$B$5))*(1+Assumptions!$B$7*(Assumptions!$B$8*(IF(AI24&gt;AH24,Assumptions!$B$22,Assumptions!$B$21))*Assumptions!$B$9+Assumptions!$B$10))+(D24)*Assumptions!$B$11*(IF(AI24&gt;AH24,Assumptions!$B$22,Assumptions!$B$21))+(AI24)*AC24*(Assumptions!$B$12+Assumptions!$B$13+IF((AI24)*AC24&gt;=Assumptions!$B$16,Assumptions!$B$17,IF((AI24)*AC24&gt;=Assumptions!$B$14,Assumptions!$B$15,0))))</f>
        <v>96112.3835000014</v>
      </c>
      <c r="AL24" s="47" t="n">
        <f aca="false">Assumptions!$B$7*(O24+P24+Q24)</f>
        <v>2952267.5</v>
      </c>
    </row>
    <row r="25" customFormat="false" ht="15" hidden="false" customHeight="false" outlineLevel="0" collapsed="false">
      <c r="A25" s="40" t="n">
        <v>23</v>
      </c>
      <c r="B25" s="40" t="s">
        <v>120</v>
      </c>
      <c r="C25" s="40" t="s">
        <v>98</v>
      </c>
      <c r="D25" s="41" t="n">
        <v>848000</v>
      </c>
      <c r="E25" s="42" t="n">
        <v>4504</v>
      </c>
      <c r="F25" s="42" t="n">
        <v>2200</v>
      </c>
      <c r="G25" s="42"/>
      <c r="H25" s="43" t="s">
        <v>67</v>
      </c>
      <c r="I25" s="44" t="s">
        <v>72</v>
      </c>
      <c r="J25" s="45" t="n">
        <f aca="false">IF(AK25&gt;AJ25,AI25,AH25)</f>
        <v>2420</v>
      </c>
      <c r="K25" s="40" t="str">
        <f aca="false">IF(AK25&gt;AJ25,"Zoning estimate",IF(H25="Yes","Approved plans",IF(G25&gt;0,"Listing claim","110% old house")))</f>
        <v>110% old house</v>
      </c>
      <c r="L25" s="45" t="n">
        <f aca="false">IF(AK25&gt;AJ25,IF(AI25&gt;AH25,Assumptions!$B$22,Assumptions!$B$21),Assumptions!$B$21)</f>
        <v>2</v>
      </c>
      <c r="M25" s="46" t="n">
        <f aca="false">INDEX(Assumptions!$B$32:$B$44,MATCH(AG25,Assumptions!$A$32:$A$44,0))*(1+IF(UPPER(Assumptions!$B$27)="WORST",Assumptions!$B$24,IF(UPPER(Assumptions!$B$27)="BEST",Assumptions!$B$26,Assumptions!$B$25)))</f>
        <v>1375</v>
      </c>
      <c r="N25" s="47" t="n">
        <f aca="false">J25*M25</f>
        <v>3327500</v>
      </c>
      <c r="O25" s="47" t="n">
        <f aca="false">D25</f>
        <v>848000</v>
      </c>
      <c r="P25" s="47" t="n">
        <f aca="false">J25*Assumptions!$B$4</f>
        <v>1694000</v>
      </c>
      <c r="Q25" s="47" t="n">
        <f aca="false">IF(H25="Yes",Assumptions!$B$6*(D25),(J25)*Assumptions!$B$5)</f>
        <v>181500</v>
      </c>
      <c r="R25" s="47" t="n">
        <f aca="false">AL25*(Assumptions!$B$8*L25*Assumptions!$B$9+Assumptions!$B$10)</f>
        <v>238987.125</v>
      </c>
      <c r="S25" s="47" t="n">
        <f aca="false">O25*Assumptions!$B$11*L25</f>
        <v>20352</v>
      </c>
      <c r="T25" s="47" t="n">
        <f aca="false">N25*(Assumptions!$B$12+Assumptions!$B$13)</f>
        <v>185009</v>
      </c>
      <c r="U25" s="47" t="n">
        <f aca="false">N25*IF(N25&gt;=Assumptions!$B$16,Assumptions!$B$17,IF(N25&gt;=Assumptions!$B$14,Assumptions!$B$15,0))</f>
        <v>0</v>
      </c>
      <c r="V25" s="48" t="n">
        <f aca="false">SUM(O25:U25)</f>
        <v>3167848.125</v>
      </c>
      <c r="W25" s="48" t="n">
        <f aca="false">N25-V25</f>
        <v>159651.875</v>
      </c>
      <c r="X25" s="49" t="n">
        <f aca="false">IF(V25=0,0,W25/V25)</f>
        <v>0.0503975786402323</v>
      </c>
      <c r="Y25" s="47" t="n">
        <f aca="false">MAX(0,(N25/(1+Assumptions!$B$23)-(J25*(Assumptions!$B$4+IF(H25="Yes",0,Assumptions!$B$5)))*(1+(Assumptions!$B$7*(Assumptions!$B$8*L25*Assumptions!$B$9+Assumptions!$B$10)))-N25*(Assumptions!$B$12+Assumptions!$B$13+IF(N25&gt;=Assumptions!$B$16,Assumptions!$B$17,IF(N25&gt;=Assumptions!$B$14,Assumptions!$B$15,0))))/((1+IF(H25="Yes",Assumptions!$B$6,0))*(1+(Assumptions!$B$7*(Assumptions!$B$8*L25*Assumptions!$B$9+Assumptions!$B$10)))+Assumptions!$B$11*L25))</f>
        <v>601209.027092031</v>
      </c>
      <c r="Z25" s="50" t="n">
        <f aca="false">IF(Y25&lt;=0,"no price works",D25/Y25)</f>
        <v>1.4104911300179</v>
      </c>
      <c r="AA25" s="46" t="n">
        <f aca="false">INDEX(Assumptions!$B$32:$B$44,MATCH(AG25,Assumptions!$A$32:$A$44,0))*(1+Assumptions!$B$24)</f>
        <v>1250</v>
      </c>
      <c r="AB25" s="47" t="n">
        <f aca="false">(J25)*AA25-(((D25)+(J25)*Assumptions!$B$4+IF(H25="Yes",Assumptions!$B$6*(D25),(J25)*Assumptions!$B$5))*(1+Assumptions!$B$7*(Assumptions!$B$8*(L25)*Assumptions!$B$9+Assumptions!$B$10))+(D25)*Assumptions!$B$11*(L25)+(J25)*AA25*(Assumptions!$B$12+Assumptions!$B$13+IF((J25)*AA25&gt;=Assumptions!$B$16,Assumptions!$B$17,IF((J25)*AA25&gt;=Assumptions!$B$14,Assumptions!$B$15,0))))</f>
        <v>-126029.125</v>
      </c>
      <c r="AC25" s="46" t="n">
        <f aca="false">INDEX(Assumptions!$B$32:$B$44,MATCH(AG25,Assumptions!$A$32:$A$44,0))*(1+Assumptions!$B$25)</f>
        <v>1375</v>
      </c>
      <c r="AD25" s="47" t="n">
        <f aca="false">(J25)*AC25-(((D25)+(J25)*Assumptions!$B$4+IF(H25="Yes",Assumptions!$B$6*(D25),(J25)*Assumptions!$B$5))*(1+Assumptions!$B$7*(Assumptions!$B$8*(L25)*Assumptions!$B$9+Assumptions!$B$10))+(D25)*Assumptions!$B$11*(L25)+(J25)*AC25*(Assumptions!$B$12+Assumptions!$B$13+IF((J25)*AC25&gt;=Assumptions!$B$16,Assumptions!$B$17,IF((J25)*AC25&gt;=Assumptions!$B$14,Assumptions!$B$15,0))))</f>
        <v>159651.875</v>
      </c>
      <c r="AE25" s="46" t="n">
        <f aca="false">INDEX(Assumptions!$B$32:$B$44,MATCH(AG25,Assumptions!$A$32:$A$44,0))*(1+Assumptions!$B$26)</f>
        <v>1500</v>
      </c>
      <c r="AF25" s="47" t="n">
        <f aca="false">(J25)*AE25-(((D25)+(J25)*Assumptions!$B$4+IF(H25="Yes",Assumptions!$B$6*(D25),(J25)*Assumptions!$B$5))*(1+Assumptions!$B$7*(Assumptions!$B$8*(L25)*Assumptions!$B$9+Assumptions!$B$10))+(D25)*Assumptions!$B$11*(L25)+(J25)*AE25*(Assumptions!$B$12+Assumptions!$B$13+IF((J25)*AE25&gt;=Assumptions!$B$16,Assumptions!$B$17,IF((J25)*AE25&gt;=Assumptions!$B$14,Assumptions!$B$15,0))))</f>
        <v>445332.875</v>
      </c>
      <c r="AG25" s="40" t="s">
        <v>100</v>
      </c>
      <c r="AH25" s="45" t="n">
        <f aca="false">IF(G25&gt;0,G25,ROUND(F25*Assumptions!$B$18,0))</f>
        <v>2420</v>
      </c>
      <c r="AI25" s="45" t="n">
        <f aca="false">IF(H25="Yes",AH25,MAX(AH25,MIN(Assumptions!$B$20,ROUND(E25*Assumptions!$B$19,0))))</f>
        <v>2420</v>
      </c>
      <c r="AJ25" s="47" t="n">
        <f aca="false">(AH25)*AC25-(((D25)+(AH25)*Assumptions!$B$4+IF(H25="Yes",Assumptions!$B$6*(D25),(AH25)*Assumptions!$B$5))*(1+Assumptions!$B$7*(Assumptions!$B$8*(Assumptions!$B$21)*Assumptions!$B$9+Assumptions!$B$10))+(D25)*Assumptions!$B$11*(Assumptions!$B$21)+(AH25)*AC25*(Assumptions!$B$12+Assumptions!$B$13+IF((AH25)*AC25&gt;=Assumptions!$B$16,Assumptions!$B$17,IF((AH25)*AC25&gt;=Assumptions!$B$14,Assumptions!$B$15,0))))</f>
        <v>159651.875</v>
      </c>
      <c r="AK25" s="47" t="n">
        <f aca="false">(AI25)*AC25-(((D25)+(AI25)*Assumptions!$B$4+IF(H25="Yes",Assumptions!$B$6*(D25),(AI25)*Assumptions!$B$5))*(1+Assumptions!$B$7*(Assumptions!$B$8*(IF(AI25&gt;AH25,Assumptions!$B$22,Assumptions!$B$21))*Assumptions!$B$9+Assumptions!$B$10))+(D25)*Assumptions!$B$11*(IF(AI25&gt;AH25,Assumptions!$B$22,Assumptions!$B$21))+(AI25)*AC25*(Assumptions!$B$12+Assumptions!$B$13+IF((AI25)*AC25&gt;=Assumptions!$B$16,Assumptions!$B$17,IF((AI25)*AC25&gt;=Assumptions!$B$14,Assumptions!$B$15,0))))</f>
        <v>159651.875</v>
      </c>
      <c r="AL25" s="47" t="n">
        <f aca="false">Assumptions!$B$7*(O25+P25+Q25)</f>
        <v>1770275</v>
      </c>
    </row>
    <row r="26" customFormat="false" ht="15" hidden="false" customHeight="false" outlineLevel="0" collapsed="false">
      <c r="A26" s="40" t="n">
        <v>24</v>
      </c>
      <c r="B26" s="40" t="s">
        <v>121</v>
      </c>
      <c r="C26" s="40" t="s">
        <v>75</v>
      </c>
      <c r="D26" s="41" t="n">
        <v>3950000</v>
      </c>
      <c r="E26" s="42" t="n">
        <v>7199</v>
      </c>
      <c r="F26" s="42" t="n">
        <v>2988</v>
      </c>
      <c r="G26" s="42" t="n">
        <v>3960</v>
      </c>
      <c r="H26" s="43" t="s">
        <v>76</v>
      </c>
      <c r="I26" s="44" t="s">
        <v>122</v>
      </c>
      <c r="J26" s="45" t="n">
        <f aca="false">IF(AK26&gt;AJ26,AI26,AH26)</f>
        <v>3960</v>
      </c>
      <c r="K26" s="40" t="str">
        <f aca="false">IF(AK26&gt;AJ26,"Zoning estimate",IF(H26="Yes","Approved plans",IF(G26&gt;0,"Listing claim","110% old house")))</f>
        <v>Approved plans</v>
      </c>
      <c r="L26" s="45" t="n">
        <f aca="false">IF(AK26&gt;AJ26,IF(AI26&gt;AH26,Assumptions!$B$22,Assumptions!$B$21),Assumptions!$B$21)</f>
        <v>2</v>
      </c>
      <c r="M26" s="46" t="n">
        <f aca="false">INDEX(Assumptions!$B$32:$B$44,MATCH(AG26,Assumptions!$A$32:$A$44,0))*(1+IF(UPPER(Assumptions!$B$27)="WORST",Assumptions!$B$24,IF(UPPER(Assumptions!$B$27)="BEST",Assumptions!$B$26,Assumptions!$B$25)))</f>
        <v>2035</v>
      </c>
      <c r="N26" s="47" t="n">
        <f aca="false">J26*M26</f>
        <v>8058600</v>
      </c>
      <c r="O26" s="47" t="n">
        <f aca="false">D26</f>
        <v>3950000</v>
      </c>
      <c r="P26" s="47" t="n">
        <f aca="false">J26*Assumptions!$B$4</f>
        <v>2772000</v>
      </c>
      <c r="Q26" s="47" t="n">
        <f aca="false">IF(H26="Yes",Assumptions!$B$6*(D26),(J26)*Assumptions!$B$5)</f>
        <v>197500</v>
      </c>
      <c r="R26" s="47" t="n">
        <f aca="false">AL26*(Assumptions!$B$8*L26*Assumptions!$B$9+Assumptions!$B$10)</f>
        <v>607186.125</v>
      </c>
      <c r="S26" s="47" t="n">
        <f aca="false">O26*Assumptions!$B$11*L26</f>
        <v>94800</v>
      </c>
      <c r="T26" s="47" t="n">
        <f aca="false">N26*(Assumptions!$B$12+Assumptions!$B$13)</f>
        <v>448058.16</v>
      </c>
      <c r="U26" s="47" t="n">
        <f aca="false">N26*IF(N26&gt;=Assumptions!$B$16,Assumptions!$B$17,IF(N26&gt;=Assumptions!$B$14,Assumptions!$B$15,0))</f>
        <v>322344</v>
      </c>
      <c r="V26" s="48" t="n">
        <f aca="false">SUM(O26:U26)</f>
        <v>8391888.285</v>
      </c>
      <c r="W26" s="48" t="n">
        <f aca="false">N26-V26</f>
        <v>-333288.284999999</v>
      </c>
      <c r="X26" s="49" t="n">
        <f aca="false">IF(V26=0,0,W26/V26)</f>
        <v>-0.0397155292922252</v>
      </c>
      <c r="Y26" s="47" t="n">
        <f aca="false">MAX(0,(N26/(1+Assumptions!$B$23)-(J26*(Assumptions!$B$4+IF(H26="Yes",0,Assumptions!$B$5)))*(1+(Assumptions!$B$7*(Assumptions!$B$8*L26*Assumptions!$B$9+Assumptions!$B$10)))-N26*(Assumptions!$B$12+Assumptions!$B$13+IF(N26&gt;=Assumptions!$B$16,Assumptions!$B$17,IF(N26&gt;=Assumptions!$B$14,Assumptions!$B$15,0))))/((1+IF(H26="Yes",Assumptions!$B$6,0))*(1+(Assumptions!$B$7*(Assumptions!$B$8*L26*Assumptions!$B$9+Assumptions!$B$10)))+Assumptions!$B$11*L26))</f>
        <v>2762824.36751204</v>
      </c>
      <c r="Z26" s="50" t="n">
        <f aca="false">IF(Y26&lt;=0,"no price works",D26/Y26)</f>
        <v>1.42969638115543</v>
      </c>
      <c r="AA26" s="46" t="n">
        <f aca="false">INDEX(Assumptions!$B$32:$B$44,MATCH(AG26,Assumptions!$A$32:$A$44,0))*(1+Assumptions!$B$24)</f>
        <v>1850</v>
      </c>
      <c r="AB26" s="47" t="n">
        <f aca="false">(J26)*AA26-(((D26)+(J26)*Assumptions!$B$4+IF(H26="Yes",Assumptions!$B$6*(D26),(J26)*Assumptions!$B$5))*(1+Assumptions!$B$7*(Assumptions!$B$8*(L26)*Assumptions!$B$9+Assumptions!$B$10))+(D26)*Assumptions!$B$11*(L26)+(J26)*AA26*(Assumptions!$B$12+Assumptions!$B$13+IF((J26)*AA26&gt;=Assumptions!$B$16,Assumptions!$B$17,IF((J26)*AA26&gt;=Assumptions!$B$14,Assumptions!$B$15,0))))</f>
        <v>-995851.725</v>
      </c>
      <c r="AC26" s="46" t="n">
        <f aca="false">INDEX(Assumptions!$B$32:$B$44,MATCH(AG26,Assumptions!$A$32:$A$44,0))*(1+Assumptions!$B$25)</f>
        <v>2035</v>
      </c>
      <c r="AD26" s="47" t="n">
        <f aca="false">(J26)*AC26-(((D26)+(J26)*Assumptions!$B$4+IF(H26="Yes",Assumptions!$B$6*(D26),(J26)*Assumptions!$B$5))*(1+Assumptions!$B$7*(Assumptions!$B$8*(L26)*Assumptions!$B$9+Assumptions!$B$10))+(D26)*Assumptions!$B$11*(L26)+(J26)*AC26*(Assumptions!$B$12+Assumptions!$B$13+IF((J26)*AC26&gt;=Assumptions!$B$16,Assumptions!$B$17,IF((J26)*AC26&gt;=Assumptions!$B$14,Assumptions!$B$15,0))))</f>
        <v>-333288.284999999</v>
      </c>
      <c r="AE26" s="46" t="n">
        <f aca="false">INDEX(Assumptions!$B$32:$B$44,MATCH(AG26,Assumptions!$A$32:$A$44,0))*(1+Assumptions!$B$26)</f>
        <v>2220</v>
      </c>
      <c r="AF26" s="47" t="n">
        <f aca="false">(J26)*AE26-(((D26)+(J26)*Assumptions!$B$4+IF(H26="Yes",Assumptions!$B$6*(D26),(J26)*Assumptions!$B$5))*(1+Assumptions!$B$7*(Assumptions!$B$8*(L26)*Assumptions!$B$9+Assumptions!$B$10))+(D26)*Assumptions!$B$11*(L26)+(J26)*AE26*(Assumptions!$B$12+Assumptions!$B$13+IF((J26)*AE26&gt;=Assumptions!$B$16,Assumptions!$B$17,IF((J26)*AE26&gt;=Assumptions!$B$14,Assumptions!$B$15,0))))</f>
        <v>329275.154999999</v>
      </c>
      <c r="AG26" s="40" t="s">
        <v>78</v>
      </c>
      <c r="AH26" s="45" t="n">
        <f aca="false">IF(G26&gt;0,G26,ROUND(F26*Assumptions!$B$18,0))</f>
        <v>3960</v>
      </c>
      <c r="AI26" s="45" t="n">
        <f aca="false">IF(H26="Yes",AH26,MAX(AH26,MIN(Assumptions!$B$20,ROUND(E26*Assumptions!$B$19,0))))</f>
        <v>3960</v>
      </c>
      <c r="AJ26" s="47" t="n">
        <f aca="false">(AH26)*AC26-(((D26)+(AH26)*Assumptions!$B$4+IF(H26="Yes",Assumptions!$B$6*(D26),(AH26)*Assumptions!$B$5))*(1+Assumptions!$B$7*(Assumptions!$B$8*(Assumptions!$B$21)*Assumptions!$B$9+Assumptions!$B$10))+(D26)*Assumptions!$B$11*(Assumptions!$B$21)+(AH26)*AC26*(Assumptions!$B$12+Assumptions!$B$13+IF((AH26)*AC26&gt;=Assumptions!$B$16,Assumptions!$B$17,IF((AH26)*AC26&gt;=Assumptions!$B$14,Assumptions!$B$15,0))))</f>
        <v>-333288.284999999</v>
      </c>
      <c r="AK26" s="47" t="n">
        <f aca="false">(AI26)*AC26-(((D26)+(AI26)*Assumptions!$B$4+IF(H26="Yes",Assumptions!$B$6*(D26),(AI26)*Assumptions!$B$5))*(1+Assumptions!$B$7*(Assumptions!$B$8*(IF(AI26&gt;AH26,Assumptions!$B$22,Assumptions!$B$21))*Assumptions!$B$9+Assumptions!$B$10))+(D26)*Assumptions!$B$11*(IF(AI26&gt;AH26,Assumptions!$B$22,Assumptions!$B$21))+(AI26)*AC26*(Assumptions!$B$12+Assumptions!$B$13+IF((AI26)*AC26&gt;=Assumptions!$B$16,Assumptions!$B$17,IF((AI26)*AC26&gt;=Assumptions!$B$14,Assumptions!$B$15,0))))</f>
        <v>-333288.284999999</v>
      </c>
      <c r="AL26" s="47" t="n">
        <f aca="false">Assumptions!$B$7*(O26+P26+Q26)</f>
        <v>4497675</v>
      </c>
    </row>
    <row r="27" customFormat="false" ht="15" hidden="false" customHeight="false" outlineLevel="0" collapsed="false">
      <c r="A27" s="40" t="n">
        <v>25</v>
      </c>
      <c r="B27" s="40" t="s">
        <v>123</v>
      </c>
      <c r="C27" s="40" t="s">
        <v>124</v>
      </c>
      <c r="D27" s="41" t="n">
        <v>2595000</v>
      </c>
      <c r="E27" s="42" t="n">
        <v>7441</v>
      </c>
      <c r="F27" s="42" t="n">
        <v>5984</v>
      </c>
      <c r="G27" s="42" t="n">
        <v>6000</v>
      </c>
      <c r="H27" s="43" t="s">
        <v>76</v>
      </c>
      <c r="I27" s="44" t="s">
        <v>125</v>
      </c>
      <c r="J27" s="45" t="n">
        <f aca="false">IF(AK27&gt;AJ27,AI27,AH27)</f>
        <v>6000</v>
      </c>
      <c r="K27" s="40" t="str">
        <f aca="false">IF(AK27&gt;AJ27,"Zoning estimate",IF(H27="Yes","Approved plans",IF(G27&gt;0,"Listing claim","110% old house")))</f>
        <v>Approved plans</v>
      </c>
      <c r="L27" s="45" t="n">
        <f aca="false">IF(AK27&gt;AJ27,IF(AI27&gt;AH27,Assumptions!$B$22,Assumptions!$B$21),Assumptions!$B$21)</f>
        <v>2</v>
      </c>
      <c r="M27" s="46" t="n">
        <f aca="false">INDEX(Assumptions!$B$32:$B$44,MATCH(AG27,Assumptions!$A$32:$A$44,0))*(1+IF(UPPER(Assumptions!$B$27)="WORST",Assumptions!$B$24,IF(UPPER(Assumptions!$B$27)="BEST",Assumptions!$B$26,Assumptions!$B$25)))</f>
        <v>1430</v>
      </c>
      <c r="N27" s="47" t="n">
        <f aca="false">J27*M27</f>
        <v>8580000</v>
      </c>
      <c r="O27" s="47" t="n">
        <f aca="false">D27</f>
        <v>2595000</v>
      </c>
      <c r="P27" s="47" t="n">
        <f aca="false">J27*Assumptions!$B$4</f>
        <v>4200000</v>
      </c>
      <c r="Q27" s="47" t="n">
        <f aca="false">IF(H27="Yes",Assumptions!$B$6*(D27),(J27)*Assumptions!$B$5)</f>
        <v>129750</v>
      </c>
      <c r="R27" s="47" t="n">
        <f aca="false">AL27*(Assumptions!$B$8*L27*Assumptions!$B$9+Assumptions!$B$10)</f>
        <v>607646.8125</v>
      </c>
      <c r="S27" s="47" t="n">
        <f aca="false">O27*Assumptions!$B$11*L27</f>
        <v>62280</v>
      </c>
      <c r="T27" s="47" t="n">
        <f aca="false">N27*(Assumptions!$B$12+Assumptions!$B$13)</f>
        <v>477048</v>
      </c>
      <c r="U27" s="47" t="n">
        <f aca="false">N27*IF(N27&gt;=Assumptions!$B$16,Assumptions!$B$17,IF(N27&gt;=Assumptions!$B$14,Assumptions!$B$15,0))</f>
        <v>343200</v>
      </c>
      <c r="V27" s="48" t="n">
        <f aca="false">SUM(O27:U27)</f>
        <v>8414924.8125</v>
      </c>
      <c r="W27" s="48" t="n">
        <f aca="false">N27-V27</f>
        <v>165075.187500002</v>
      </c>
      <c r="X27" s="49" t="n">
        <f aca="false">IF(V27=0,0,W27/V27)</f>
        <v>0.0196169533511209</v>
      </c>
      <c r="Y27" s="47" t="n">
        <f aca="false">MAX(0,(N27/(1+Assumptions!$B$23)-(J27*(Assumptions!$B$4+IF(H27="Yes",0,Assumptions!$B$5)))*(1+(Assumptions!$B$7*(Assumptions!$B$8*L27*Assumptions!$B$9+Assumptions!$B$10)))-N27*(Assumptions!$B$12+Assumptions!$B$13+IF(N27&gt;=Assumptions!$B$16,Assumptions!$B$17,IF(N27&gt;=Assumptions!$B$14,Assumptions!$B$15,0))))/((1+IF(H27="Yes",Assumptions!$B$6,0))*(1+(Assumptions!$B$7*(Assumptions!$B$8*L27*Assumptions!$B$9+Assumptions!$B$10)))+Assumptions!$B$11*L27))</f>
        <v>1776867.2778445</v>
      </c>
      <c r="Z27" s="50" t="n">
        <f aca="false">IF(Y27&lt;=0,"no price works",D27/Y27)</f>
        <v>1.46043547109943</v>
      </c>
      <c r="AA27" s="46" t="n">
        <f aca="false">INDEX(Assumptions!$B$32:$B$44,MATCH(AG27,Assumptions!$A$32:$A$44,0))*(1+Assumptions!$B$24)</f>
        <v>1300</v>
      </c>
      <c r="AB27" s="47" t="n">
        <f aca="false">(J27)*AA27-(((D27)+(J27)*Assumptions!$B$4+IF(H27="Yes",Assumptions!$B$6*(D27),(J27)*Assumptions!$B$5))*(1+Assumptions!$B$7*(Assumptions!$B$8*(L27)*Assumptions!$B$9+Assumptions!$B$10))+(D27)*Assumptions!$B$11*(L27)+(J27)*AA27*(Assumptions!$B$12+Assumptions!$B$13+IF((J27)*AA27&gt;=Assumptions!$B$16,Assumptions!$B$17,IF((J27)*AA27&gt;=Assumptions!$B$14,Assumptions!$B$15,0))))</f>
        <v>-540356.8125</v>
      </c>
      <c r="AC27" s="46" t="n">
        <f aca="false">INDEX(Assumptions!$B$32:$B$44,MATCH(AG27,Assumptions!$A$32:$A$44,0))*(1+Assumptions!$B$25)</f>
        <v>1430</v>
      </c>
      <c r="AD27" s="47" t="n">
        <f aca="false">(J27)*AC27-(((D27)+(J27)*Assumptions!$B$4+IF(H27="Yes",Assumptions!$B$6*(D27),(J27)*Assumptions!$B$5))*(1+Assumptions!$B$7*(Assumptions!$B$8*(L27)*Assumptions!$B$9+Assumptions!$B$10))+(D27)*Assumptions!$B$11*(L27)+(J27)*AC27*(Assumptions!$B$12+Assumptions!$B$13+IF((J27)*AC27&gt;=Assumptions!$B$16,Assumptions!$B$17,IF((J27)*AC27&gt;=Assumptions!$B$14,Assumptions!$B$15,0))))</f>
        <v>165075.187500002</v>
      </c>
      <c r="AE27" s="46" t="n">
        <f aca="false">INDEX(Assumptions!$B$32:$B$44,MATCH(AG27,Assumptions!$A$32:$A$44,0))*(1+Assumptions!$B$26)</f>
        <v>1560</v>
      </c>
      <c r="AF27" s="47" t="n">
        <f aca="false">(J27)*AE27-(((D27)+(J27)*Assumptions!$B$4+IF(H27="Yes",Assumptions!$B$6*(D27),(J27)*Assumptions!$B$5))*(1+Assumptions!$B$7*(Assumptions!$B$8*(L27)*Assumptions!$B$9+Assumptions!$B$10))+(D27)*Assumptions!$B$11*(L27)+(J27)*AE27*(Assumptions!$B$12+Assumptions!$B$13+IF((J27)*AE27&gt;=Assumptions!$B$16,Assumptions!$B$17,IF((J27)*AE27&gt;=Assumptions!$B$14,Assumptions!$B$15,0))))</f>
        <v>870507.1875</v>
      </c>
      <c r="AG27" s="40" t="s">
        <v>126</v>
      </c>
      <c r="AH27" s="45" t="n">
        <f aca="false">IF(G27&gt;0,G27,ROUND(F27*Assumptions!$B$18,0))</f>
        <v>6000</v>
      </c>
      <c r="AI27" s="45" t="n">
        <f aca="false">IF(H27="Yes",AH27,MAX(AH27,MIN(Assumptions!$B$20,ROUND(E27*Assumptions!$B$19,0))))</f>
        <v>6000</v>
      </c>
      <c r="AJ27" s="47" t="n">
        <f aca="false">(AH27)*AC27-(((D27)+(AH27)*Assumptions!$B$4+IF(H27="Yes",Assumptions!$B$6*(D27),(AH27)*Assumptions!$B$5))*(1+Assumptions!$B$7*(Assumptions!$B$8*(Assumptions!$B$21)*Assumptions!$B$9+Assumptions!$B$10))+(D27)*Assumptions!$B$11*(Assumptions!$B$21)+(AH27)*AC27*(Assumptions!$B$12+Assumptions!$B$13+IF((AH27)*AC27&gt;=Assumptions!$B$16,Assumptions!$B$17,IF((AH27)*AC27&gt;=Assumptions!$B$14,Assumptions!$B$15,0))))</f>
        <v>165075.187500002</v>
      </c>
      <c r="AK27" s="47" t="n">
        <f aca="false">(AI27)*AC27-(((D27)+(AI27)*Assumptions!$B$4+IF(H27="Yes",Assumptions!$B$6*(D27),(AI27)*Assumptions!$B$5))*(1+Assumptions!$B$7*(Assumptions!$B$8*(IF(AI27&gt;AH27,Assumptions!$B$22,Assumptions!$B$21))*Assumptions!$B$9+Assumptions!$B$10))+(D27)*Assumptions!$B$11*(IF(AI27&gt;AH27,Assumptions!$B$22,Assumptions!$B$21))+(AI27)*AC27*(Assumptions!$B$12+Assumptions!$B$13+IF((AI27)*AC27&gt;=Assumptions!$B$16,Assumptions!$B$17,IF((AI27)*AC27&gt;=Assumptions!$B$14,Assumptions!$B$15,0))))</f>
        <v>165075.187500002</v>
      </c>
      <c r="AL27" s="47" t="n">
        <f aca="false">Assumptions!$B$7*(O27+P27+Q27)</f>
        <v>4501087.5</v>
      </c>
    </row>
    <row r="28" customFormat="false" ht="15" hidden="false" customHeight="false" outlineLevel="0" collapsed="false">
      <c r="A28" s="40" t="n">
        <v>26</v>
      </c>
      <c r="B28" s="40" t="s">
        <v>127</v>
      </c>
      <c r="C28" s="40" t="s">
        <v>71</v>
      </c>
      <c r="D28" s="41" t="n">
        <v>1500000</v>
      </c>
      <c r="E28" s="42" t="n">
        <v>9307</v>
      </c>
      <c r="F28" s="42" t="n">
        <v>1440</v>
      </c>
      <c r="G28" s="42"/>
      <c r="H28" s="43" t="s">
        <v>67</v>
      </c>
      <c r="I28" s="44"/>
      <c r="J28" s="45" t="n">
        <f aca="false">IF(AK28&gt;AJ28,AI28,AH28)</f>
        <v>3723</v>
      </c>
      <c r="K28" s="40" t="str">
        <f aca="false">IF(AK28&gt;AJ28,"Zoning estimate",IF(H28="Yes","Approved plans",IF(G28&gt;0,"Listing claim","110% old house")))</f>
        <v>Zoning estimate</v>
      </c>
      <c r="L28" s="45" t="n">
        <f aca="false">IF(AK28&gt;AJ28,IF(AI28&gt;AH28,Assumptions!$B$22,Assumptions!$B$21),Assumptions!$B$21)</f>
        <v>3</v>
      </c>
      <c r="M28" s="46" t="n">
        <f aca="false">INDEX(Assumptions!$B$32:$B$44,MATCH(AG28,Assumptions!$A$32:$A$44,0))*(1+IF(UPPER(Assumptions!$B$27)="WORST",Assumptions!$B$24,IF(UPPER(Assumptions!$B$27)="BEST",Assumptions!$B$26,Assumptions!$B$25)))</f>
        <v>1540</v>
      </c>
      <c r="N28" s="47" t="n">
        <f aca="false">J28*M28</f>
        <v>5733420</v>
      </c>
      <c r="O28" s="47" t="n">
        <f aca="false">D28</f>
        <v>1500000</v>
      </c>
      <c r="P28" s="47" t="n">
        <f aca="false">J28*Assumptions!$B$4</f>
        <v>2606100</v>
      </c>
      <c r="Q28" s="47" t="n">
        <f aca="false">IF(H28="Yes",Assumptions!$B$6*(D28),(J28)*Assumptions!$B$5)</f>
        <v>279225</v>
      </c>
      <c r="R28" s="47" t="n">
        <f aca="false">AL28*(Assumptions!$B$8*L28*Assumptions!$B$9+Assumptions!$B$10)</f>
        <v>555839.94375</v>
      </c>
      <c r="S28" s="47" t="n">
        <f aca="false">O28*Assumptions!$B$11*L28</f>
        <v>54000</v>
      </c>
      <c r="T28" s="47" t="n">
        <f aca="false">N28*(Assumptions!$B$12+Assumptions!$B$13)</f>
        <v>318778.152</v>
      </c>
      <c r="U28" s="47" t="n">
        <f aca="false">N28*IF(N28&gt;=Assumptions!$B$16,Assumptions!$B$17,IF(N28&gt;=Assumptions!$B$14,Assumptions!$B$15,0))</f>
        <v>229336.8</v>
      </c>
      <c r="V28" s="48" t="n">
        <f aca="false">SUM(O28:U28)</f>
        <v>5543279.89575</v>
      </c>
      <c r="W28" s="48" t="n">
        <f aca="false">N28-V28</f>
        <v>190140.104250001</v>
      </c>
      <c r="X28" s="49" t="n">
        <f aca="false">IF(V28=0,0,W28/V28)</f>
        <v>0.0343010109223927</v>
      </c>
      <c r="Y28" s="47" t="n">
        <f aca="false">MAX(0,(N28/(1+Assumptions!$B$23)-(J28*(Assumptions!$B$4+IF(H28="Yes",0,Assumptions!$B$5)))*(1+(Assumptions!$B$7*(Assumptions!$B$8*L28*Assumptions!$B$9+Assumptions!$B$10)))-N28*(Assumptions!$B$12+Assumptions!$B$13+IF(N28&gt;=Assumptions!$B$16,Assumptions!$B$17,IF(N28&gt;=Assumptions!$B$14,Assumptions!$B$15,0))))/((1+IF(H28="Yes",Assumptions!$B$6,0))*(1+(Assumptions!$B$7*(Assumptions!$B$8*L28*Assumptions!$B$9+Assumptions!$B$10)))+Assumptions!$B$11*L28))</f>
        <v>1020363.54585737</v>
      </c>
      <c r="Z28" s="50" t="n">
        <f aca="false">IF(Y28&lt;=0,"no price works",D28/Y28)</f>
        <v>1.47006427864846</v>
      </c>
      <c r="AA28" s="46" t="n">
        <f aca="false">INDEX(Assumptions!$B$32:$B$44,MATCH(AG28,Assumptions!$A$32:$A$44,0))*(1+Assumptions!$B$24)</f>
        <v>1400</v>
      </c>
      <c r="AB28" s="47" t="n">
        <f aca="false">(J28)*AA28-(((D28)+(J28)*Assumptions!$B$4+IF(H28="Yes",Assumptions!$B$6*(D28),(J28)*Assumptions!$B$5))*(1+Assumptions!$B$7*(Assumptions!$B$8*(L28)*Assumptions!$B$9+Assumptions!$B$10))+(D28)*Assumptions!$B$11*(L28)+(J28)*AA28*(Assumptions!$B$12+Assumptions!$B$13+IF((J28)*AA28&gt;=Assumptions!$B$16,Assumptions!$B$17,IF((J28)*AA28&gt;=Assumptions!$B$14,Assumptions!$B$15,0))))</f>
        <v>-72763.2637499999</v>
      </c>
      <c r="AC28" s="46" t="n">
        <f aca="false">INDEX(Assumptions!$B$32:$B$44,MATCH(AG28,Assumptions!$A$32:$A$44,0))*(1+Assumptions!$B$25)</f>
        <v>1540</v>
      </c>
      <c r="AD28" s="47" t="n">
        <f aca="false">(J28)*AC28-(((D28)+(J28)*Assumptions!$B$4+IF(H28="Yes",Assumptions!$B$6*(D28),(J28)*Assumptions!$B$5))*(1+Assumptions!$B$7*(Assumptions!$B$8*(L28)*Assumptions!$B$9+Assumptions!$B$10))+(D28)*Assumptions!$B$11*(L28)+(J28)*AC28*(Assumptions!$B$12+Assumptions!$B$13+IF((J28)*AC28&gt;=Assumptions!$B$16,Assumptions!$B$17,IF((J28)*AC28&gt;=Assumptions!$B$14,Assumptions!$B$15,0))))</f>
        <v>190140.104250001</v>
      </c>
      <c r="AE28" s="46" t="n">
        <f aca="false">INDEX(Assumptions!$B$32:$B$44,MATCH(AG28,Assumptions!$A$32:$A$44,0))*(1+Assumptions!$B$26)</f>
        <v>1680</v>
      </c>
      <c r="AF28" s="47" t="n">
        <f aca="false">(J28)*AE28-(((D28)+(J28)*Assumptions!$B$4+IF(H28="Yes",Assumptions!$B$6*(D28),(J28)*Assumptions!$B$5))*(1+Assumptions!$B$7*(Assumptions!$B$8*(L28)*Assumptions!$B$9+Assumptions!$B$10))+(D28)*Assumptions!$B$11*(L28)+(J28)*AE28*(Assumptions!$B$12+Assumptions!$B$13+IF((J28)*AE28&gt;=Assumptions!$B$16,Assumptions!$B$17,IF((J28)*AE28&gt;=Assumptions!$B$14,Assumptions!$B$15,0))))</f>
        <v>661531.472250001</v>
      </c>
      <c r="AG28" s="40" t="s">
        <v>73</v>
      </c>
      <c r="AH28" s="45" t="n">
        <f aca="false">IF(G28&gt;0,G28,ROUND(F28*Assumptions!$B$18,0))</f>
        <v>1584</v>
      </c>
      <c r="AI28" s="45" t="n">
        <f aca="false">IF(H28="Yes",AH28,MAX(AH28,MIN(Assumptions!$B$20,ROUND(E28*Assumptions!$B$19,0))))</f>
        <v>3723</v>
      </c>
      <c r="AJ28" s="47" t="n">
        <f aca="false">(AH28)*AC28-(((D28)+(AH28)*Assumptions!$B$4+IF(H28="Yes",Assumptions!$B$6*(D28),(AH28)*Assumptions!$B$5))*(1+Assumptions!$B$7*(Assumptions!$B$8*(Assumptions!$B$21)*Assumptions!$B$9+Assumptions!$B$10))+(D28)*Assumptions!$B$11*(Assumptions!$B$21)+(AH28)*AC28*(Assumptions!$B$12+Assumptions!$B$13+IF((AH28)*AC28&gt;=Assumptions!$B$16,Assumptions!$B$17,IF((AH28)*AC28&gt;=Assumptions!$B$14,Assumptions!$B$15,0))))</f>
        <v>-699215.316</v>
      </c>
      <c r="AK28" s="47" t="n">
        <f aca="false">(AI28)*AC28-(((D28)+(AI28)*Assumptions!$B$4+IF(H28="Yes",Assumptions!$B$6*(D28),(AI28)*Assumptions!$B$5))*(1+Assumptions!$B$7*(Assumptions!$B$8*(IF(AI28&gt;AH28,Assumptions!$B$22,Assumptions!$B$21))*Assumptions!$B$9+Assumptions!$B$10))+(D28)*Assumptions!$B$11*(IF(AI28&gt;AH28,Assumptions!$B$22,Assumptions!$B$21))+(AI28)*AC28*(Assumptions!$B$12+Assumptions!$B$13+IF((AI28)*AC28&gt;=Assumptions!$B$16,Assumptions!$B$17,IF((AI28)*AC28&gt;=Assumptions!$B$14,Assumptions!$B$15,0))))</f>
        <v>190140.104250001</v>
      </c>
      <c r="AL28" s="47" t="n">
        <f aca="false">Assumptions!$B$7*(O28+P28+Q28)</f>
        <v>2850461.25</v>
      </c>
    </row>
    <row r="29" customFormat="false" ht="15" hidden="false" customHeight="false" outlineLevel="0" collapsed="false">
      <c r="A29" s="40" t="n">
        <v>27</v>
      </c>
      <c r="B29" s="40" t="s">
        <v>128</v>
      </c>
      <c r="C29" s="40" t="s">
        <v>98</v>
      </c>
      <c r="D29" s="41" t="n">
        <v>1195000</v>
      </c>
      <c r="E29" s="42" t="n">
        <v>9021</v>
      </c>
      <c r="F29" s="42" t="n">
        <v>1857</v>
      </c>
      <c r="G29" s="42"/>
      <c r="H29" s="43" t="s">
        <v>67</v>
      </c>
      <c r="I29" s="44"/>
      <c r="J29" s="45" t="n">
        <f aca="false">IF(AK29&gt;AJ29,AI29,AH29)</f>
        <v>3608</v>
      </c>
      <c r="K29" s="40" t="str">
        <f aca="false">IF(AK29&gt;AJ29,"Zoning estimate",IF(H29="Yes","Approved plans",IF(G29&gt;0,"Listing claim","110% old house")))</f>
        <v>Zoning estimate</v>
      </c>
      <c r="L29" s="45" t="n">
        <f aca="false">IF(AK29&gt;AJ29,IF(AI29&gt;AH29,Assumptions!$B$22,Assumptions!$B$21),Assumptions!$B$21)</f>
        <v>3</v>
      </c>
      <c r="M29" s="46" t="n">
        <f aca="false">INDEX(Assumptions!$B$32:$B$44,MATCH(AG29,Assumptions!$A$32:$A$44,0))*(1+IF(UPPER(Assumptions!$B$27)="WORST",Assumptions!$B$24,IF(UPPER(Assumptions!$B$27)="BEST",Assumptions!$B$26,Assumptions!$B$25)))</f>
        <v>1375</v>
      </c>
      <c r="N29" s="47" t="n">
        <f aca="false">J29*M29</f>
        <v>4961000</v>
      </c>
      <c r="O29" s="47" t="n">
        <f aca="false">D29</f>
        <v>1195000</v>
      </c>
      <c r="P29" s="47" t="n">
        <f aca="false">J29*Assumptions!$B$4</f>
        <v>2525600</v>
      </c>
      <c r="Q29" s="47" t="n">
        <f aca="false">IF(H29="Yes",Assumptions!$B$6*(D29),(J29)*Assumptions!$B$5)</f>
        <v>270600</v>
      </c>
      <c r="R29" s="47" t="n">
        <f aca="false">AL29*(Assumptions!$B$8*L29*Assumptions!$B$9+Assumptions!$B$10)</f>
        <v>505884.6</v>
      </c>
      <c r="S29" s="47" t="n">
        <f aca="false">O29*Assumptions!$B$11*L29</f>
        <v>43020</v>
      </c>
      <c r="T29" s="47" t="n">
        <f aca="false">N29*(Assumptions!$B$12+Assumptions!$B$13)</f>
        <v>275831.6</v>
      </c>
      <c r="U29" s="47" t="n">
        <f aca="false">N29*IF(N29&gt;=Assumptions!$B$16,Assumptions!$B$17,IF(N29&gt;=Assumptions!$B$14,Assumptions!$B$15,0))</f>
        <v>0</v>
      </c>
      <c r="V29" s="48" t="n">
        <f aca="false">SUM(O29:U29)</f>
        <v>4815936.2</v>
      </c>
      <c r="W29" s="48" t="n">
        <f aca="false">N29-V29</f>
        <v>145063.800000001</v>
      </c>
      <c r="X29" s="49" t="n">
        <f aca="false">IF(V29=0,0,W29/V29)</f>
        <v>0.0301216199666434</v>
      </c>
      <c r="Y29" s="47" t="n">
        <f aca="false">MAX(0,(N29/(1+Assumptions!$B$23)-(J29*(Assumptions!$B$4+IF(H29="Yes",0,Assumptions!$B$5)))*(1+(Assumptions!$B$7*(Assumptions!$B$8*L29*Assumptions!$B$9+Assumptions!$B$10)))-N29*(Assumptions!$B$12+Assumptions!$B$13+IF(N29&gt;=Assumptions!$B$16,Assumptions!$B$17,IF(N29&gt;=Assumptions!$B$14,Assumptions!$B$15,0))))/((1+IF(H29="Yes",Assumptions!$B$6,0))*(1+(Assumptions!$B$7*(Assumptions!$B$8*L29*Assumptions!$B$9+Assumptions!$B$10)))+Assumptions!$B$11*L29))</f>
        <v>763244.973965393</v>
      </c>
      <c r="Z29" s="50" t="n">
        <f aca="false">IF(Y29&lt;=0,"no price works",D29/Y29)</f>
        <v>1.56568341851169</v>
      </c>
      <c r="AA29" s="46" t="n">
        <f aca="false">INDEX(Assumptions!$B$32:$B$44,MATCH(AG29,Assumptions!$A$32:$A$44,0))*(1+Assumptions!$B$24)</f>
        <v>1250</v>
      </c>
      <c r="AB29" s="47" t="n">
        <f aca="false">(J29)*AA29-(((D29)+(J29)*Assumptions!$B$4+IF(H29="Yes",Assumptions!$B$6*(D29),(J29)*Assumptions!$B$5))*(1+Assumptions!$B$7*(Assumptions!$B$8*(L29)*Assumptions!$B$9+Assumptions!$B$10))+(D29)*Assumptions!$B$11*(L29)+(J29)*AA29*(Assumptions!$B$12+Assumptions!$B$13+IF((J29)*AA29&gt;=Assumptions!$B$16,Assumptions!$B$17,IF((J29)*AA29&gt;=Assumptions!$B$14,Assumptions!$B$15,0))))</f>
        <v>-280860.6</v>
      </c>
      <c r="AC29" s="46" t="n">
        <f aca="false">INDEX(Assumptions!$B$32:$B$44,MATCH(AG29,Assumptions!$A$32:$A$44,0))*(1+Assumptions!$B$25)</f>
        <v>1375</v>
      </c>
      <c r="AD29" s="47" t="n">
        <f aca="false">(J29)*AC29-(((D29)+(J29)*Assumptions!$B$4+IF(H29="Yes",Assumptions!$B$6*(D29),(J29)*Assumptions!$B$5))*(1+Assumptions!$B$7*(Assumptions!$B$8*(L29)*Assumptions!$B$9+Assumptions!$B$10))+(D29)*Assumptions!$B$11*(L29)+(J29)*AC29*(Assumptions!$B$12+Assumptions!$B$13+IF((J29)*AC29&gt;=Assumptions!$B$16,Assumptions!$B$17,IF((J29)*AC29&gt;=Assumptions!$B$14,Assumptions!$B$15,0))))</f>
        <v>145063.800000001</v>
      </c>
      <c r="AE29" s="46" t="n">
        <f aca="false">INDEX(Assumptions!$B$32:$B$44,MATCH(AG29,Assumptions!$A$32:$A$44,0))*(1+Assumptions!$B$26)</f>
        <v>1500</v>
      </c>
      <c r="AF29" s="47" t="n">
        <f aca="false">(J29)*AE29-(((D29)+(J29)*Assumptions!$B$4+IF(H29="Yes",Assumptions!$B$6*(D29),(J29)*Assumptions!$B$5))*(1+Assumptions!$B$7*(Assumptions!$B$8*(L29)*Assumptions!$B$9+Assumptions!$B$10))+(D29)*Assumptions!$B$11*(L29)+(J29)*AE29*(Assumptions!$B$12+Assumptions!$B$13+IF((J29)*AE29&gt;=Assumptions!$B$16,Assumptions!$B$17,IF((J29)*AE29&gt;=Assumptions!$B$14,Assumptions!$B$15,0))))</f>
        <v>354508.2</v>
      </c>
      <c r="AG29" s="40" t="s">
        <v>100</v>
      </c>
      <c r="AH29" s="45" t="n">
        <f aca="false">IF(G29&gt;0,G29,ROUND(F29*Assumptions!$B$18,0))</f>
        <v>2043</v>
      </c>
      <c r="AI29" s="45" t="n">
        <f aca="false">IF(H29="Yes",AH29,MAX(AH29,MIN(Assumptions!$B$20,ROUND(E29*Assumptions!$B$19,0))))</f>
        <v>3608</v>
      </c>
      <c r="AJ29" s="47" t="n">
        <f aca="false">(AH29)*AC29-(((D29)+(AH29)*Assumptions!$B$4+IF(H29="Yes",Assumptions!$B$6*(D29),(AH29)*Assumptions!$B$5))*(1+Assumptions!$B$7*(Assumptions!$B$8*(Assumptions!$B$21)*Assumptions!$B$9+Assumptions!$B$10))+(D29)*Assumptions!$B$11*(Assumptions!$B$21)+(AH29)*AC29*(Assumptions!$B$12+Assumptions!$B$13+IF((AH29)*AC29&gt;=Assumptions!$B$16,Assumptions!$B$17,IF((AH29)*AC29&gt;=Assumptions!$B$14,Assumptions!$B$15,0))))</f>
        <v>-397865.36875</v>
      </c>
      <c r="AK29" s="47" t="n">
        <f aca="false">(AI29)*AC29-(((D29)+(AI29)*Assumptions!$B$4+IF(H29="Yes",Assumptions!$B$6*(D29),(AI29)*Assumptions!$B$5))*(1+Assumptions!$B$7*(Assumptions!$B$8*(IF(AI29&gt;AH29,Assumptions!$B$22,Assumptions!$B$21))*Assumptions!$B$9+Assumptions!$B$10))+(D29)*Assumptions!$B$11*(IF(AI29&gt;AH29,Assumptions!$B$22,Assumptions!$B$21))+(AI29)*AC29*(Assumptions!$B$12+Assumptions!$B$13+IF((AI29)*AC29&gt;=Assumptions!$B$16,Assumptions!$B$17,IF((AI29)*AC29&gt;=Assumptions!$B$14,Assumptions!$B$15,0))))</f>
        <v>145063.800000001</v>
      </c>
      <c r="AL29" s="47" t="n">
        <f aca="false">Assumptions!$B$7*(O29+P29+Q29)</f>
        <v>2594280</v>
      </c>
    </row>
    <row r="30" customFormat="false" ht="35.05" hidden="false" customHeight="false" outlineLevel="0" collapsed="false">
      <c r="A30" s="40" t="n">
        <v>28</v>
      </c>
      <c r="B30" s="40" t="s">
        <v>129</v>
      </c>
      <c r="C30" s="40" t="s">
        <v>130</v>
      </c>
      <c r="D30" s="41" t="n">
        <v>2295000</v>
      </c>
      <c r="E30" s="42" t="n">
        <v>42118</v>
      </c>
      <c r="F30" s="42" t="n">
        <v>6668</v>
      </c>
      <c r="G30" s="42"/>
      <c r="H30" s="43" t="s">
        <v>67</v>
      </c>
      <c r="I30" s="44" t="s">
        <v>131</v>
      </c>
      <c r="J30" s="45" t="n">
        <f aca="false">IF(AK30&gt;AJ30,AI30,AH30)</f>
        <v>7335</v>
      </c>
      <c r="K30" s="40" t="str">
        <f aca="false">IF(AK30&gt;AJ30,"Zoning estimate",IF(H30="Yes","Approved plans",IF(G30&gt;0,"Listing claim","110% old house")))</f>
        <v>110% old house</v>
      </c>
      <c r="L30" s="45" t="n">
        <f aca="false">IF(AK30&gt;AJ30,IF(AI30&gt;AH30,Assumptions!$B$22,Assumptions!$B$21),Assumptions!$B$21)</f>
        <v>2</v>
      </c>
      <c r="M30" s="46" t="n">
        <f aca="false">INDEX(Assumptions!$B$32:$B$44,MATCH(AG30,Assumptions!$A$32:$A$44,0))*(1+IF(UPPER(Assumptions!$B$27)="WORST",Assumptions!$B$24,IF(UPPER(Assumptions!$B$27)="BEST",Assumptions!$B$26,Assumptions!$B$25)))</f>
        <v>1375</v>
      </c>
      <c r="N30" s="47" t="n">
        <f aca="false">J30*M30</f>
        <v>10085625</v>
      </c>
      <c r="O30" s="47" t="n">
        <f aca="false">D30</f>
        <v>2295000</v>
      </c>
      <c r="P30" s="47" t="n">
        <f aca="false">J30*Assumptions!$B$4</f>
        <v>5134500</v>
      </c>
      <c r="Q30" s="47" t="n">
        <f aca="false">IF(H30="Yes",Assumptions!$B$6*(D30),(J30)*Assumptions!$B$5)</f>
        <v>550125</v>
      </c>
      <c r="R30" s="47" t="n">
        <f aca="false">AL30*(Assumptions!$B$8*L30*Assumptions!$B$9+Assumptions!$B$10)</f>
        <v>700212.09375</v>
      </c>
      <c r="S30" s="47" t="n">
        <f aca="false">O30*Assumptions!$B$11*L30</f>
        <v>55080</v>
      </c>
      <c r="T30" s="47" t="n">
        <f aca="false">N30*(Assumptions!$B$12+Assumptions!$B$13)</f>
        <v>560760.75</v>
      </c>
      <c r="U30" s="47" t="n">
        <f aca="false">N30*IF(N30&gt;=Assumptions!$B$16,Assumptions!$B$17,IF(N30&gt;=Assumptions!$B$14,Assumptions!$B$15,0))</f>
        <v>403425</v>
      </c>
      <c r="V30" s="48" t="n">
        <f aca="false">SUM(O30:U30)</f>
        <v>9699102.84375</v>
      </c>
      <c r="W30" s="48" t="n">
        <f aca="false">N30-V30</f>
        <v>386522.15625</v>
      </c>
      <c r="X30" s="49" t="n">
        <f aca="false">IF(V30=0,0,W30/V30)</f>
        <v>0.0398513308371682</v>
      </c>
      <c r="Y30" s="47" t="n">
        <f aca="false">MAX(0,(N30/(1+Assumptions!$B$23)-(J30*(Assumptions!$B$4+IF(H30="Yes",0,Assumptions!$B$5)))*(1+(Assumptions!$B$7*(Assumptions!$B$8*L30*Assumptions!$B$9+Assumptions!$B$10)))-N30*(Assumptions!$B$12+Assumptions!$B$13+IF(N30&gt;=Assumptions!$B$16,Assumptions!$B$17,IF(N30&gt;=Assumptions!$B$14,Assumptions!$B$15,0))))/((1+IF(H30="Yes",Assumptions!$B$6,0))*(1+(Assumptions!$B$7*(Assumptions!$B$8*L30*Assumptions!$B$9+Assumptions!$B$10)))+Assumptions!$B$11*L30))</f>
        <v>1459385.74490863</v>
      </c>
      <c r="Z30" s="50" t="n">
        <f aca="false">IF(Y30&lt;=0,"no price works",D30/Y30)</f>
        <v>1.57257942802756</v>
      </c>
      <c r="AA30" s="46" t="n">
        <f aca="false">INDEX(Assumptions!$B$32:$B$44,MATCH(AG30,Assumptions!$A$32:$A$44,0))*(1+Assumptions!$B$24)</f>
        <v>1250</v>
      </c>
      <c r="AB30" s="47" t="n">
        <f aca="false">(J30)*AA30-(((D30)+(J30)*Assumptions!$B$4+IF(H30="Yes",Assumptions!$B$6*(D30),(J30)*Assumptions!$B$5))*(1+Assumptions!$B$7*(Assumptions!$B$8*(L30)*Assumptions!$B$9+Assumptions!$B$10))+(D30)*Assumptions!$B$11*(L30)+(J30)*AA30*(Assumptions!$B$12+Assumptions!$B$13+IF((J30)*AA30&gt;=Assumptions!$B$16,Assumptions!$B$17,IF((J30)*AA30&gt;=Assumptions!$B$14,Assumptions!$B$15,0))))</f>
        <v>-442699.59375</v>
      </c>
      <c r="AC30" s="46" t="n">
        <f aca="false">INDEX(Assumptions!$B$32:$B$44,MATCH(AG30,Assumptions!$A$32:$A$44,0))*(1+Assumptions!$B$25)</f>
        <v>1375</v>
      </c>
      <c r="AD30" s="47" t="n">
        <f aca="false">(J30)*AC30-(((D30)+(J30)*Assumptions!$B$4+IF(H30="Yes",Assumptions!$B$6*(D30),(J30)*Assumptions!$B$5))*(1+Assumptions!$B$7*(Assumptions!$B$8*(L30)*Assumptions!$B$9+Assumptions!$B$10))+(D30)*Assumptions!$B$11*(L30)+(J30)*AC30*(Assumptions!$B$12+Assumptions!$B$13+IF((J30)*AC30&gt;=Assumptions!$B$16,Assumptions!$B$17,IF((J30)*AC30&gt;=Assumptions!$B$14,Assumptions!$B$15,0))))</f>
        <v>386522.15625</v>
      </c>
      <c r="AE30" s="46" t="n">
        <f aca="false">INDEX(Assumptions!$B$32:$B$44,MATCH(AG30,Assumptions!$A$32:$A$44,0))*(1+Assumptions!$B$26)</f>
        <v>1500</v>
      </c>
      <c r="AF30" s="47" t="n">
        <f aca="false">(J30)*AE30-(((D30)+(J30)*Assumptions!$B$4+IF(H30="Yes",Assumptions!$B$6*(D30),(J30)*Assumptions!$B$5))*(1+Assumptions!$B$7*(Assumptions!$B$8*(L30)*Assumptions!$B$9+Assumptions!$B$10))+(D30)*Assumptions!$B$11*(L30)+(J30)*AE30*(Assumptions!$B$12+Assumptions!$B$13+IF((J30)*AE30&gt;=Assumptions!$B$16,Assumptions!$B$17,IF((J30)*AE30&gt;=Assumptions!$B$14,Assumptions!$B$15,0))))</f>
        <v>1050706.40625</v>
      </c>
      <c r="AG30" s="40" t="s">
        <v>132</v>
      </c>
      <c r="AH30" s="45" t="n">
        <f aca="false">IF(G30&gt;0,G30,ROUND(F30*Assumptions!$B$18,0))</f>
        <v>7335</v>
      </c>
      <c r="AI30" s="45" t="n">
        <f aca="false">IF(H30="Yes",AH30,MAX(AH30,MIN(Assumptions!$B$20,ROUND(E30*Assumptions!$B$19,0))))</f>
        <v>8000</v>
      </c>
      <c r="AJ30" s="47" t="n">
        <f aca="false">(AH30)*AC30-(((D30)+(AH30)*Assumptions!$B$4+IF(H30="Yes",Assumptions!$B$6*(D30),(AH30)*Assumptions!$B$5))*(1+Assumptions!$B$7*(Assumptions!$B$8*(Assumptions!$B$21)*Assumptions!$B$9+Assumptions!$B$10))+(D30)*Assumptions!$B$11*(Assumptions!$B$21)+(AH30)*AC30*(Assumptions!$B$12+Assumptions!$B$13+IF((AH30)*AC30&gt;=Assumptions!$B$16,Assumptions!$B$17,IF((AH30)*AC30&gt;=Assumptions!$B$14,Assumptions!$B$15,0))))</f>
        <v>386522.15625</v>
      </c>
      <c r="AK30" s="47" t="n">
        <f aca="false">(AI30)*AC30-(((D30)+(AI30)*Assumptions!$B$4+IF(H30="Yes",Assumptions!$B$6*(D30),(AI30)*Assumptions!$B$5))*(1+Assumptions!$B$7*(Assumptions!$B$8*(IF(AI30&gt;AH30,Assumptions!$B$22,Assumptions!$B$21))*Assumptions!$B$9+Assumptions!$B$10))+(D30)*Assumptions!$B$11*(IF(AI30&gt;AH30,Assumptions!$B$22,Assumptions!$B$21))+(AI30)*AC30*(Assumptions!$B$12+Assumptions!$B$13+IF((AI30)*AC30&gt;=Assumptions!$B$16,Assumptions!$B$17,IF((AI30)*AC30&gt;=Assumptions!$B$14,Assumptions!$B$15,0))))</f>
        <v>129038.75</v>
      </c>
      <c r="AL30" s="47" t="n">
        <f aca="false">Assumptions!$B$7*(O30+P30+Q30)</f>
        <v>5186756.25</v>
      </c>
    </row>
    <row r="31" customFormat="false" ht="15" hidden="false" customHeight="false" outlineLevel="0" collapsed="false">
      <c r="A31" s="40" t="n">
        <v>29</v>
      </c>
      <c r="B31" s="40" t="s">
        <v>133</v>
      </c>
      <c r="C31" s="40" t="s">
        <v>71</v>
      </c>
      <c r="D31" s="41" t="n">
        <v>1499999</v>
      </c>
      <c r="E31" s="42" t="n">
        <v>7097</v>
      </c>
      <c r="F31" s="42" t="n">
        <v>1674</v>
      </c>
      <c r="G31" s="42"/>
      <c r="H31" s="43" t="s">
        <v>67</v>
      </c>
      <c r="I31" s="44"/>
      <c r="J31" s="45" t="n">
        <f aca="false">IF(AK31&gt;AJ31,AI31,AH31)</f>
        <v>2839</v>
      </c>
      <c r="K31" s="40" t="str">
        <f aca="false">IF(AK31&gt;AJ31,"Zoning estimate",IF(H31="Yes","Approved plans",IF(G31&gt;0,"Listing claim","110% old house")))</f>
        <v>Zoning estimate</v>
      </c>
      <c r="L31" s="45" t="n">
        <f aca="false">IF(AK31&gt;AJ31,IF(AI31&gt;AH31,Assumptions!$B$22,Assumptions!$B$21),Assumptions!$B$21)</f>
        <v>3</v>
      </c>
      <c r="M31" s="46" t="n">
        <f aca="false">INDEX(Assumptions!$B$32:$B$44,MATCH(AG31,Assumptions!$A$32:$A$44,0))*(1+IF(UPPER(Assumptions!$B$27)="WORST",Assumptions!$B$24,IF(UPPER(Assumptions!$B$27)="BEST",Assumptions!$B$26,Assumptions!$B$25)))</f>
        <v>1540</v>
      </c>
      <c r="N31" s="47" t="n">
        <f aca="false">J31*M31</f>
        <v>4372060</v>
      </c>
      <c r="O31" s="47" t="n">
        <f aca="false">D31</f>
        <v>1499999</v>
      </c>
      <c r="P31" s="47" t="n">
        <f aca="false">J31*Assumptions!$B$4</f>
        <v>1987300</v>
      </c>
      <c r="Q31" s="47" t="n">
        <f aca="false">IF(H31="Yes",Assumptions!$B$6*(D31),(J31)*Assumptions!$B$5)</f>
        <v>212925</v>
      </c>
      <c r="R31" s="47" t="n">
        <f aca="false">AL31*(Assumptions!$B$8*L31*Assumptions!$B$9+Assumptions!$B$10)</f>
        <v>469003.392</v>
      </c>
      <c r="S31" s="47" t="n">
        <f aca="false">O31*Assumptions!$B$11*L31</f>
        <v>53999.964</v>
      </c>
      <c r="T31" s="47" t="n">
        <f aca="false">N31*(Assumptions!$B$12+Assumptions!$B$13)</f>
        <v>243086.536</v>
      </c>
      <c r="U31" s="47" t="n">
        <f aca="false">N31*IF(N31&gt;=Assumptions!$B$16,Assumptions!$B$17,IF(N31&gt;=Assumptions!$B$14,Assumptions!$B$15,0))</f>
        <v>0</v>
      </c>
      <c r="V31" s="48" t="n">
        <f aca="false">SUM(O31:U31)</f>
        <v>4466313.892</v>
      </c>
      <c r="W31" s="48" t="n">
        <f aca="false">N31-V31</f>
        <v>-94253.8919999991</v>
      </c>
      <c r="X31" s="49" t="n">
        <f aca="false">IF(V31=0,0,W31/V31)</f>
        <v>-0.021103284336738</v>
      </c>
      <c r="Y31" s="47" t="n">
        <f aca="false">MAX(0,(N31/(1+Assumptions!$B$23)-(J31*(Assumptions!$B$4+IF(H31="Yes",0,Assumptions!$B$5)))*(1+(Assumptions!$B$7*(Assumptions!$B$8*L31*Assumptions!$B$9+Assumptions!$B$10)))-N31*(Assumptions!$B$12+Assumptions!$B$13+IF(N31&gt;=Assumptions!$B$16,Assumptions!$B$17,IF(N31&gt;=Assumptions!$B$14,Assumptions!$B$15,0))))/((1+IF(H31="Yes",Assumptions!$B$6,0))*(1+(Assumptions!$B$7*(Assumptions!$B$8*L31*Assumptions!$B$9+Assumptions!$B$10)))+Assumptions!$B$11*L31))</f>
        <v>928489.571789144</v>
      </c>
      <c r="Z31" s="50" t="n">
        <f aca="false">IF(Y31&lt;=0,"no price works",D31/Y31)</f>
        <v>1.6155259526605</v>
      </c>
      <c r="AA31" s="46" t="n">
        <f aca="false">INDEX(Assumptions!$B$32:$B$44,MATCH(AG31,Assumptions!$A$32:$A$44,0))*(1+Assumptions!$B$24)</f>
        <v>1400</v>
      </c>
      <c r="AB31" s="47" t="n">
        <f aca="false">(J31)*AA31-(((D31)+(J31)*Assumptions!$B$4+IF(H31="Yes",Assumptions!$B$6*(D31),(J31)*Assumptions!$B$5))*(1+Assumptions!$B$7*(Assumptions!$B$8*(L31)*Assumptions!$B$9+Assumptions!$B$10))+(D31)*Assumptions!$B$11*(L31)+(J31)*AA31*(Assumptions!$B$12+Assumptions!$B$13+IF((J31)*AA31&gt;=Assumptions!$B$16,Assumptions!$B$17,IF((J31)*AA31&gt;=Assumptions!$B$14,Assumptions!$B$15,0))))</f>
        <v>-469615.115999999</v>
      </c>
      <c r="AC31" s="46" t="n">
        <f aca="false">INDEX(Assumptions!$B$32:$B$44,MATCH(AG31,Assumptions!$A$32:$A$44,0))*(1+Assumptions!$B$25)</f>
        <v>1540</v>
      </c>
      <c r="AD31" s="47" t="n">
        <f aca="false">(J31)*AC31-(((D31)+(J31)*Assumptions!$B$4+IF(H31="Yes",Assumptions!$B$6*(D31),(J31)*Assumptions!$B$5))*(1+Assumptions!$B$7*(Assumptions!$B$8*(L31)*Assumptions!$B$9+Assumptions!$B$10))+(D31)*Assumptions!$B$11*(L31)+(J31)*AC31*(Assumptions!$B$12+Assumptions!$B$13+IF((J31)*AC31&gt;=Assumptions!$B$16,Assumptions!$B$17,IF((J31)*AC31&gt;=Assumptions!$B$14,Assumptions!$B$15,0))))</f>
        <v>-94253.8919999991</v>
      </c>
      <c r="AE31" s="46" t="n">
        <f aca="false">INDEX(Assumptions!$B$32:$B$44,MATCH(AG31,Assumptions!$A$32:$A$44,0))*(1+Assumptions!$B$26)</f>
        <v>1680</v>
      </c>
      <c r="AF31" s="47" t="n">
        <f aca="false">(J31)*AE31-(((D31)+(J31)*Assumptions!$B$4+IF(H31="Yes",Assumptions!$B$6*(D31),(J31)*Assumptions!$B$5))*(1+Assumptions!$B$7*(Assumptions!$B$8*(L31)*Assumptions!$B$9+Assumptions!$B$10))+(D31)*Assumptions!$B$11*(L31)+(J31)*AE31*(Assumptions!$B$12+Assumptions!$B$13+IF((J31)*AE31&gt;=Assumptions!$B$16,Assumptions!$B$17,IF((J31)*AE31&gt;=Assumptions!$B$14,Assumptions!$B$15,0))))</f>
        <v>281107.332</v>
      </c>
      <c r="AG31" s="40" t="s">
        <v>73</v>
      </c>
      <c r="AH31" s="45" t="n">
        <f aca="false">IF(G31&gt;0,G31,ROUND(F31*Assumptions!$B$18,0))</f>
        <v>1841</v>
      </c>
      <c r="AI31" s="45" t="n">
        <f aca="false">IF(H31="Yes",AH31,MAX(AH31,MIN(Assumptions!$B$20,ROUND(E31*Assumptions!$B$19,0))))</f>
        <v>2839</v>
      </c>
      <c r="AJ31" s="47" t="n">
        <f aca="false">(AH31)*AC31-(((D31)+(AH31)*Assumptions!$B$4+IF(H31="Yes",Assumptions!$B$6*(D31),(AH31)*Assumptions!$B$5))*(1+Assumptions!$B$7*(Assumptions!$B$8*(Assumptions!$B$21)*Assumptions!$B$9+Assumptions!$B$10))+(D31)*Assumptions!$B$11*(Assumptions!$B$21)+(AH31)*AC31*(Assumptions!$B$12+Assumptions!$B$13+IF((AH31)*AC31&gt;=Assumptions!$B$16,Assumptions!$B$17,IF((AH31)*AC31&gt;=Assumptions!$B$14,Assumptions!$B$15,0))))</f>
        <v>-542092.1785</v>
      </c>
      <c r="AK31" s="47" t="n">
        <f aca="false">(AI31)*AC31-(((D31)+(AI31)*Assumptions!$B$4+IF(H31="Yes",Assumptions!$B$6*(D31),(AI31)*Assumptions!$B$5))*(1+Assumptions!$B$7*(Assumptions!$B$8*(IF(AI31&gt;AH31,Assumptions!$B$22,Assumptions!$B$21))*Assumptions!$B$9+Assumptions!$B$10))+(D31)*Assumptions!$B$11*(IF(AI31&gt;AH31,Assumptions!$B$22,Assumptions!$B$21))+(AI31)*AC31*(Assumptions!$B$12+Assumptions!$B$13+IF((AI31)*AC31&gt;=Assumptions!$B$16,Assumptions!$B$17,IF((AI31)*AC31&gt;=Assumptions!$B$14,Assumptions!$B$15,0))))</f>
        <v>-94253.8919999991</v>
      </c>
      <c r="AL31" s="47" t="n">
        <f aca="false">Assumptions!$B$7*(O31+P31+Q31)</f>
        <v>2405145.6</v>
      </c>
    </row>
    <row r="32" customFormat="false" ht="15" hidden="false" customHeight="false" outlineLevel="0" collapsed="false">
      <c r="A32" s="40" t="n">
        <v>30</v>
      </c>
      <c r="B32" s="40" t="s">
        <v>134</v>
      </c>
      <c r="C32" s="40" t="s">
        <v>71</v>
      </c>
      <c r="D32" s="41" t="n">
        <v>1250000</v>
      </c>
      <c r="E32" s="42" t="n">
        <v>5900</v>
      </c>
      <c r="F32" s="42" t="n">
        <v>1279</v>
      </c>
      <c r="G32" s="42"/>
      <c r="H32" s="43" t="s">
        <v>67</v>
      </c>
      <c r="I32" s="44"/>
      <c r="J32" s="45" t="n">
        <f aca="false">IF(AK32&gt;AJ32,AI32,AH32)</f>
        <v>2360</v>
      </c>
      <c r="K32" s="40" t="str">
        <f aca="false">IF(AK32&gt;AJ32,"Zoning estimate",IF(H32="Yes","Approved plans",IF(G32&gt;0,"Listing claim","110% old house")))</f>
        <v>Zoning estimate</v>
      </c>
      <c r="L32" s="45" t="n">
        <f aca="false">IF(AK32&gt;AJ32,IF(AI32&gt;AH32,Assumptions!$B$22,Assumptions!$B$21),Assumptions!$B$21)</f>
        <v>3</v>
      </c>
      <c r="M32" s="46" t="n">
        <f aca="false">INDEX(Assumptions!$B$32:$B$44,MATCH(AG32,Assumptions!$A$32:$A$44,0))*(1+IF(UPPER(Assumptions!$B$27)="WORST",Assumptions!$B$24,IF(UPPER(Assumptions!$B$27)="BEST",Assumptions!$B$26,Assumptions!$B$25)))</f>
        <v>1540</v>
      </c>
      <c r="N32" s="47" t="n">
        <f aca="false">J32*M32</f>
        <v>3634400</v>
      </c>
      <c r="O32" s="47" t="n">
        <f aca="false">D32</f>
        <v>1250000</v>
      </c>
      <c r="P32" s="47" t="n">
        <f aca="false">J32*Assumptions!$B$4</f>
        <v>1652000</v>
      </c>
      <c r="Q32" s="47" t="n">
        <f aca="false">IF(H32="Yes",Assumptions!$B$6*(D32),(J32)*Assumptions!$B$5)</f>
        <v>177000</v>
      </c>
      <c r="R32" s="47" t="n">
        <f aca="false">AL32*(Assumptions!$B$8*L32*Assumptions!$B$9+Assumptions!$B$10)</f>
        <v>390263.25</v>
      </c>
      <c r="S32" s="47" t="n">
        <f aca="false">O32*Assumptions!$B$11*L32</f>
        <v>45000</v>
      </c>
      <c r="T32" s="47" t="n">
        <f aca="false">N32*(Assumptions!$B$12+Assumptions!$B$13)</f>
        <v>202072.64</v>
      </c>
      <c r="U32" s="47" t="n">
        <f aca="false">N32*IF(N32&gt;=Assumptions!$B$16,Assumptions!$B$17,IF(N32&gt;=Assumptions!$B$14,Assumptions!$B$15,0))</f>
        <v>0</v>
      </c>
      <c r="V32" s="48" t="n">
        <f aca="false">SUM(O32:U32)</f>
        <v>3716335.89</v>
      </c>
      <c r="W32" s="48" t="n">
        <f aca="false">N32-V32</f>
        <v>-81935.8899999997</v>
      </c>
      <c r="X32" s="49" t="n">
        <f aca="false">IF(V32=0,0,W32/V32)</f>
        <v>-0.0220474931290454</v>
      </c>
      <c r="Y32" s="47" t="n">
        <f aca="false">MAX(0,(N32/(1+Assumptions!$B$23)-(J32*(Assumptions!$B$4+IF(H32="Yes",0,Assumptions!$B$5)))*(1+(Assumptions!$B$7*(Assumptions!$B$8*L32*Assumptions!$B$9+Assumptions!$B$10)))-N32*(Assumptions!$B$12+Assumptions!$B$13+IF(N32&gt;=Assumptions!$B$16,Assumptions!$B$17,IF(N32&gt;=Assumptions!$B$14,Assumptions!$B$15,0))))/((1+IF(H32="Yes",Assumptions!$B$6,0))*(1+(Assumptions!$B$7*(Assumptions!$B$8*L32*Assumptions!$B$9+Assumptions!$B$10)))+Assumptions!$B$11*L32))</f>
        <v>771833.529208306</v>
      </c>
      <c r="Z32" s="50" t="n">
        <f aca="false">IF(Y32&lt;=0,"no price works",D32/Y32)</f>
        <v>1.61952021089595</v>
      </c>
      <c r="AA32" s="46" t="n">
        <f aca="false">INDEX(Assumptions!$B$32:$B$44,MATCH(AG32,Assumptions!$A$32:$A$44,0))*(1+Assumptions!$B$24)</f>
        <v>1400</v>
      </c>
      <c r="AB32" s="47" t="n">
        <f aca="false">(J32)*AA32-(((D32)+(J32)*Assumptions!$B$4+IF(H32="Yes",Assumptions!$B$6*(D32),(J32)*Assumptions!$B$5))*(1+Assumptions!$B$7*(Assumptions!$B$8*(L32)*Assumptions!$B$9+Assumptions!$B$10))+(D32)*Assumptions!$B$11*(L32)+(J32)*AA32*(Assumptions!$B$12+Assumptions!$B$13+IF((J32)*AA32&gt;=Assumptions!$B$16,Assumptions!$B$17,IF((J32)*AA32&gt;=Assumptions!$B$14,Assumptions!$B$15,0))))</f>
        <v>-393965.649999999</v>
      </c>
      <c r="AC32" s="46" t="n">
        <f aca="false">INDEX(Assumptions!$B$32:$B$44,MATCH(AG32,Assumptions!$A$32:$A$44,0))*(1+Assumptions!$B$25)</f>
        <v>1540</v>
      </c>
      <c r="AD32" s="47" t="n">
        <f aca="false">(J32)*AC32-(((D32)+(J32)*Assumptions!$B$4+IF(H32="Yes",Assumptions!$B$6*(D32),(J32)*Assumptions!$B$5))*(1+Assumptions!$B$7*(Assumptions!$B$8*(L32)*Assumptions!$B$9+Assumptions!$B$10))+(D32)*Assumptions!$B$11*(L32)+(J32)*AC32*(Assumptions!$B$12+Assumptions!$B$13+IF((J32)*AC32&gt;=Assumptions!$B$16,Assumptions!$B$17,IF((J32)*AC32&gt;=Assumptions!$B$14,Assumptions!$B$15,0))))</f>
        <v>-81935.8899999992</v>
      </c>
      <c r="AE32" s="46" t="n">
        <f aca="false">INDEX(Assumptions!$B$32:$B$44,MATCH(AG32,Assumptions!$A$32:$A$44,0))*(1+Assumptions!$B$26)</f>
        <v>1680</v>
      </c>
      <c r="AF32" s="47" t="n">
        <f aca="false">(J32)*AE32-(((D32)+(J32)*Assumptions!$B$4+IF(H32="Yes",Assumptions!$B$6*(D32),(J32)*Assumptions!$B$5))*(1+Assumptions!$B$7*(Assumptions!$B$8*(L32)*Assumptions!$B$9+Assumptions!$B$10))+(D32)*Assumptions!$B$11*(L32)+(J32)*AE32*(Assumptions!$B$12+Assumptions!$B$13+IF((J32)*AE32&gt;=Assumptions!$B$16,Assumptions!$B$17,IF((J32)*AE32&gt;=Assumptions!$B$14,Assumptions!$B$15,0))))</f>
        <v>230093.870000001</v>
      </c>
      <c r="AG32" s="40" t="s">
        <v>73</v>
      </c>
      <c r="AH32" s="45" t="n">
        <f aca="false">IF(G32&gt;0,G32,ROUND(F32*Assumptions!$B$18,0))</f>
        <v>1407</v>
      </c>
      <c r="AI32" s="45" t="n">
        <f aca="false">IF(H32="Yes",AH32,MAX(AH32,MIN(Assumptions!$B$20,ROUND(E32*Assumptions!$B$19,0))))</f>
        <v>2360</v>
      </c>
      <c r="AJ32" s="47" t="n">
        <f aca="false">(AH32)*AC32-(((D32)+(AH32)*Assumptions!$B$4+IF(H32="Yes",Assumptions!$B$6*(D32),(AH32)*Assumptions!$B$5))*(1+Assumptions!$B$7*(Assumptions!$B$8*(Assumptions!$B$21)*Assumptions!$B$9+Assumptions!$B$10))+(D32)*Assumptions!$B$11*(Assumptions!$B$21)+(AH32)*AC32*(Assumptions!$B$12+Assumptions!$B$13+IF((AH32)*AC32&gt;=Assumptions!$B$16,Assumptions!$B$17,IF((AH32)*AC32&gt;=Assumptions!$B$14,Assumptions!$B$15,0))))</f>
        <v>-529490.26175</v>
      </c>
      <c r="AK32" s="47" t="n">
        <f aca="false">(AI32)*AC32-(((D32)+(AI32)*Assumptions!$B$4+IF(H32="Yes",Assumptions!$B$6*(D32),(AI32)*Assumptions!$B$5))*(1+Assumptions!$B$7*(Assumptions!$B$8*(IF(AI32&gt;AH32,Assumptions!$B$22,Assumptions!$B$21))*Assumptions!$B$9+Assumptions!$B$10))+(D32)*Assumptions!$B$11*(IF(AI32&gt;AH32,Assumptions!$B$22,Assumptions!$B$21))+(AI32)*AC32*(Assumptions!$B$12+Assumptions!$B$13+IF((AI32)*AC32&gt;=Assumptions!$B$16,Assumptions!$B$17,IF((AI32)*AC32&gt;=Assumptions!$B$14,Assumptions!$B$15,0))))</f>
        <v>-81935.8899999992</v>
      </c>
      <c r="AL32" s="47" t="n">
        <f aca="false">Assumptions!$B$7*(O32+P32+Q32)</f>
        <v>2001350</v>
      </c>
    </row>
    <row r="33" customFormat="false" ht="15" hidden="false" customHeight="false" outlineLevel="0" collapsed="false">
      <c r="A33" s="40" t="n">
        <v>31</v>
      </c>
      <c r="B33" s="40" t="s">
        <v>135</v>
      </c>
      <c r="C33" s="40" t="s">
        <v>115</v>
      </c>
      <c r="D33" s="41" t="n">
        <v>3500000</v>
      </c>
      <c r="E33" s="42" t="n">
        <v>8304</v>
      </c>
      <c r="F33" s="42" t="n">
        <v>6622</v>
      </c>
      <c r="G33" s="42"/>
      <c r="H33" s="43" t="s">
        <v>67</v>
      </c>
      <c r="I33" s="44" t="s">
        <v>136</v>
      </c>
      <c r="J33" s="45" t="n">
        <f aca="false">IF(AK33&gt;AJ33,AI33,AH33)</f>
        <v>7284</v>
      </c>
      <c r="K33" s="40" t="str">
        <f aca="false">IF(AK33&gt;AJ33,"Zoning estimate",IF(H33="Yes","Approved plans",IF(G33&gt;0,"Listing claim","110% old house")))</f>
        <v>110% old house</v>
      </c>
      <c r="L33" s="45" t="n">
        <f aca="false">IF(AK33&gt;AJ33,IF(AI33&gt;AH33,Assumptions!$B$22,Assumptions!$B$21),Assumptions!$B$21)</f>
        <v>2</v>
      </c>
      <c r="M33" s="46" t="n">
        <f aca="false">INDEX(Assumptions!$B$32:$B$44,MATCH(AG33,Assumptions!$A$32:$A$44,0))*(1+IF(UPPER(Assumptions!$B$27)="WORST",Assumptions!$B$24,IF(UPPER(Assumptions!$B$27)="BEST",Assumptions!$B$26,Assumptions!$B$25)))</f>
        <v>1540</v>
      </c>
      <c r="N33" s="47" t="n">
        <f aca="false">J33*M33</f>
        <v>11217360</v>
      </c>
      <c r="O33" s="47" t="n">
        <f aca="false">D33</f>
        <v>3500000</v>
      </c>
      <c r="P33" s="47" t="n">
        <f aca="false">J33*Assumptions!$B$4</f>
        <v>5098800</v>
      </c>
      <c r="Q33" s="47" t="n">
        <f aca="false">IF(H33="Yes",Assumptions!$B$6*(D33),(J33)*Assumptions!$B$5)</f>
        <v>546300</v>
      </c>
      <c r="R33" s="47" t="n">
        <f aca="false">AL33*(Assumptions!$B$8*L33*Assumptions!$B$9+Assumptions!$B$10)</f>
        <v>802482.525</v>
      </c>
      <c r="S33" s="47" t="n">
        <f aca="false">O33*Assumptions!$B$11*L33</f>
        <v>84000</v>
      </c>
      <c r="T33" s="47" t="n">
        <f aca="false">N33*(Assumptions!$B$12+Assumptions!$B$13)</f>
        <v>623685.216</v>
      </c>
      <c r="U33" s="47" t="n">
        <f aca="false">N33*IF(N33&gt;=Assumptions!$B$16,Assumptions!$B$17,IF(N33&gt;=Assumptions!$B$14,Assumptions!$B$15,0))</f>
        <v>616954.8</v>
      </c>
      <c r="V33" s="48" t="n">
        <f aca="false">SUM(O33:U33)</f>
        <v>11272222.541</v>
      </c>
      <c r="W33" s="48" t="n">
        <f aca="false">N33-V33</f>
        <v>-54862.5409999993</v>
      </c>
      <c r="X33" s="49" t="n">
        <f aca="false">IF(V33=0,0,W33/V33)</f>
        <v>-0.00486705623495721</v>
      </c>
      <c r="Y33" s="47" t="n">
        <f aca="false">MAX(0,(N33/(1+Assumptions!$B$23)-(J33*(Assumptions!$B$4+IF(H33="Yes",0,Assumptions!$B$5)))*(1+(Assumptions!$B$7*(Assumptions!$B$8*L33*Assumptions!$B$9+Assumptions!$B$10)))-N33*(Assumptions!$B$12+Assumptions!$B$13+IF(N33&gt;=Assumptions!$B$16,Assumptions!$B$17,IF(N33&gt;=Assumptions!$B$14,Assumptions!$B$15,0))))/((1+IF(H33="Yes",Assumptions!$B$6,0))*(1+(Assumptions!$B$7*(Assumptions!$B$8*L33*Assumptions!$B$9+Assumptions!$B$10)))+Assumptions!$B$11*L33))</f>
        <v>2134588.3030866</v>
      </c>
      <c r="Z33" s="50" t="n">
        <f aca="false">IF(Y33&lt;=0,"no price works",D33/Y33)</f>
        <v>1.63966044175312</v>
      </c>
      <c r="AA33" s="46" t="n">
        <f aca="false">INDEX(Assumptions!$B$32:$B$44,MATCH(AG33,Assumptions!$A$32:$A$44,0))*(1+Assumptions!$B$24)</f>
        <v>1400</v>
      </c>
      <c r="AB33" s="47" t="n">
        <f aca="false">(J33)*AA33-(((D33)+(J33)*Assumptions!$B$4+IF(H33="Yes",Assumptions!$B$6*(D33),(J33)*Assumptions!$B$5))*(1+Assumptions!$B$7*(Assumptions!$B$8*(L33)*Assumptions!$B$9+Assumptions!$B$10))+(D33)*Assumptions!$B$11*(L33)+(J33)*AA33*(Assumptions!$B$12+Assumptions!$B$13+IF((J33)*AA33&gt;=Assumptions!$B$16,Assumptions!$B$17,IF((J33)*AA33&gt;=Assumptions!$B$14,Assumptions!$B$15,0))))</f>
        <v>-808873.085000001</v>
      </c>
      <c r="AC33" s="46" t="n">
        <f aca="false">INDEX(Assumptions!$B$32:$B$44,MATCH(AG33,Assumptions!$A$32:$A$44,0))*(1+Assumptions!$B$25)</f>
        <v>1540</v>
      </c>
      <c r="AD33" s="47" t="n">
        <f aca="false">(J33)*AC33-(((D33)+(J33)*Assumptions!$B$4+IF(H33="Yes",Assumptions!$B$6*(D33),(J33)*Assumptions!$B$5))*(1+Assumptions!$B$7*(Assumptions!$B$8*(L33)*Assumptions!$B$9+Assumptions!$B$10))+(D33)*Assumptions!$B$11*(L33)+(J33)*AC33*(Assumptions!$B$12+Assumptions!$B$13+IF((J33)*AC33&gt;=Assumptions!$B$16,Assumptions!$B$17,IF((J33)*AC33&gt;=Assumptions!$B$14,Assumptions!$B$15,0))))</f>
        <v>-54862.5409999993</v>
      </c>
      <c r="AE33" s="46" t="n">
        <f aca="false">INDEX(Assumptions!$B$32:$B$44,MATCH(AG33,Assumptions!$A$32:$A$44,0))*(1+Assumptions!$B$26)</f>
        <v>1680</v>
      </c>
      <c r="AF33" s="47" t="n">
        <f aca="false">(J33)*AE33-(((D33)+(J33)*Assumptions!$B$4+IF(H33="Yes",Assumptions!$B$6*(D33),(J33)*Assumptions!$B$5))*(1+Assumptions!$B$7*(Assumptions!$B$8*(L33)*Assumptions!$B$9+Assumptions!$B$10))+(D33)*Assumptions!$B$11*(L33)+(J33)*AE33*(Assumptions!$B$12+Assumptions!$B$13+IF((J33)*AE33&gt;=Assumptions!$B$16,Assumptions!$B$17,IF((J33)*AE33&gt;=Assumptions!$B$14,Assumptions!$B$15,0))))</f>
        <v>852112.002999999</v>
      </c>
      <c r="AG33" s="40" t="s">
        <v>117</v>
      </c>
      <c r="AH33" s="45" t="n">
        <f aca="false">IF(G33&gt;0,G33,ROUND(F33*Assumptions!$B$18,0))</f>
        <v>7284</v>
      </c>
      <c r="AI33" s="45" t="n">
        <f aca="false">IF(H33="Yes",AH33,MAX(AH33,MIN(Assumptions!$B$20,ROUND(E33*Assumptions!$B$19,0))))</f>
        <v>7284</v>
      </c>
      <c r="AJ33" s="47" t="n">
        <f aca="false">(AH33)*AC33-(((D33)+(AH33)*Assumptions!$B$4+IF(H33="Yes",Assumptions!$B$6*(D33),(AH33)*Assumptions!$B$5))*(1+Assumptions!$B$7*(Assumptions!$B$8*(Assumptions!$B$21)*Assumptions!$B$9+Assumptions!$B$10))+(D33)*Assumptions!$B$11*(Assumptions!$B$21)+(AH33)*AC33*(Assumptions!$B$12+Assumptions!$B$13+IF((AH33)*AC33&gt;=Assumptions!$B$16,Assumptions!$B$17,IF((AH33)*AC33&gt;=Assumptions!$B$14,Assumptions!$B$15,0))))</f>
        <v>-54862.5409999993</v>
      </c>
      <c r="AK33" s="47" t="n">
        <f aca="false">(AI33)*AC33-(((D33)+(AI33)*Assumptions!$B$4+IF(H33="Yes",Assumptions!$B$6*(D33),(AI33)*Assumptions!$B$5))*(1+Assumptions!$B$7*(Assumptions!$B$8*(IF(AI33&gt;AH33,Assumptions!$B$22,Assumptions!$B$21))*Assumptions!$B$9+Assumptions!$B$10))+(D33)*Assumptions!$B$11*(IF(AI33&gt;AH33,Assumptions!$B$22,Assumptions!$B$21))+(AI33)*AC33*(Assumptions!$B$12+Assumptions!$B$13+IF((AI33)*AC33&gt;=Assumptions!$B$16,Assumptions!$B$17,IF((AI33)*AC33&gt;=Assumptions!$B$14,Assumptions!$B$15,0))))</f>
        <v>-54862.5409999993</v>
      </c>
      <c r="AL33" s="47" t="n">
        <f aca="false">Assumptions!$B$7*(O33+P33+Q33)</f>
        <v>5944315</v>
      </c>
    </row>
    <row r="34" customFormat="false" ht="15" hidden="false" customHeight="false" outlineLevel="0" collapsed="false">
      <c r="A34" s="40" t="n">
        <v>32</v>
      </c>
      <c r="B34" s="40" t="s">
        <v>137</v>
      </c>
      <c r="C34" s="40" t="s">
        <v>71</v>
      </c>
      <c r="D34" s="41" t="n">
        <v>2499000</v>
      </c>
      <c r="E34" s="42" t="n">
        <v>13803</v>
      </c>
      <c r="F34" s="42" t="n">
        <v>3049</v>
      </c>
      <c r="G34" s="42"/>
      <c r="H34" s="43" t="s">
        <v>67</v>
      </c>
      <c r="I34" s="44" t="s">
        <v>138</v>
      </c>
      <c r="J34" s="45" t="n">
        <f aca="false">IF(AK34&gt;AJ34,AI34,AH34)</f>
        <v>5521</v>
      </c>
      <c r="K34" s="40" t="str">
        <f aca="false">IF(AK34&gt;AJ34,"Zoning estimate",IF(H34="Yes","Approved plans",IF(G34&gt;0,"Listing claim","110% old house")))</f>
        <v>Zoning estimate</v>
      </c>
      <c r="L34" s="45" t="n">
        <f aca="false">IF(AK34&gt;AJ34,IF(AI34&gt;AH34,Assumptions!$B$22,Assumptions!$B$21),Assumptions!$B$21)</f>
        <v>3</v>
      </c>
      <c r="M34" s="46" t="n">
        <f aca="false">INDEX(Assumptions!$B$32:$B$44,MATCH(AG34,Assumptions!$A$32:$A$44,0))*(1+IF(UPPER(Assumptions!$B$27)="WORST",Assumptions!$B$24,IF(UPPER(Assumptions!$B$27)="BEST",Assumptions!$B$26,Assumptions!$B$25)))</f>
        <v>1540</v>
      </c>
      <c r="N34" s="47" t="n">
        <f aca="false">J34*M34</f>
        <v>8502340</v>
      </c>
      <c r="O34" s="47" t="n">
        <f aca="false">D34</f>
        <v>2499000</v>
      </c>
      <c r="P34" s="47" t="n">
        <f aca="false">J34*Assumptions!$B$4</f>
        <v>3864700</v>
      </c>
      <c r="Q34" s="47" t="n">
        <f aca="false">IF(H34="Yes",Assumptions!$B$6*(D34),(J34)*Assumptions!$B$5)</f>
        <v>414075</v>
      </c>
      <c r="R34" s="47" t="n">
        <f aca="false">AL34*(Assumptions!$B$8*L34*Assumptions!$B$9+Assumptions!$B$10)</f>
        <v>859082.98125</v>
      </c>
      <c r="S34" s="47" t="n">
        <f aca="false">O34*Assumptions!$B$11*L34</f>
        <v>89964</v>
      </c>
      <c r="T34" s="47" t="n">
        <f aca="false">N34*(Assumptions!$B$12+Assumptions!$B$13)</f>
        <v>472730.104</v>
      </c>
      <c r="U34" s="47" t="n">
        <f aca="false">N34*IF(N34&gt;=Assumptions!$B$16,Assumptions!$B$17,IF(N34&gt;=Assumptions!$B$14,Assumptions!$B$15,0))</f>
        <v>340093.6</v>
      </c>
      <c r="V34" s="48" t="n">
        <f aca="false">SUM(O34:U34)</f>
        <v>8539645.68525</v>
      </c>
      <c r="W34" s="48" t="n">
        <f aca="false">N34-V34</f>
        <v>-37305.6852499992</v>
      </c>
      <c r="X34" s="49" t="n">
        <f aca="false">IF(V34=0,0,W34/V34)</f>
        <v>-0.00436852846417679</v>
      </c>
      <c r="Y34" s="47" t="n">
        <f aca="false">MAX(0,(N34/(1+Assumptions!$B$23)-(J34*(Assumptions!$B$4+IF(H34="Yes",0,Assumptions!$B$5)))*(1+(Assumptions!$B$7*(Assumptions!$B$8*L34*Assumptions!$B$9+Assumptions!$B$10)))-N34*(Assumptions!$B$12+Assumptions!$B$13+IF(N34&gt;=Assumptions!$B$16,Assumptions!$B$17,IF(N34&gt;=Assumptions!$B$14,Assumptions!$B$15,0))))/((1+IF(H34="Yes",Assumptions!$B$6,0))*(1+(Assumptions!$B$7*(Assumptions!$B$8*L34*Assumptions!$B$9+Assumptions!$B$10)))+Assumptions!$B$11*L34))</f>
        <v>1513141.85782394</v>
      </c>
      <c r="Z34" s="50" t="n">
        <f aca="false">IF(Y34&lt;=0,"no price works",D34/Y34)</f>
        <v>1.6515305469071</v>
      </c>
      <c r="AA34" s="46" t="n">
        <f aca="false">INDEX(Assumptions!$B$32:$B$44,MATCH(AG34,Assumptions!$A$32:$A$44,0))*(1+Assumptions!$B$24)</f>
        <v>1400</v>
      </c>
      <c r="AB34" s="47" t="n">
        <f aca="false">(J34)*AA34-(((D34)+(J34)*Assumptions!$B$4+IF(H34="Yes",Assumptions!$B$6*(D34),(J34)*Assumptions!$B$5))*(1+Assumptions!$B$7*(Assumptions!$B$8*(L34)*Assumptions!$B$9+Assumptions!$B$10))+(D34)*Assumptions!$B$11*(L34)+(J34)*AA34*(Assumptions!$B$12+Assumptions!$B$13+IF((J34)*AA34&gt;=Assumptions!$B$16,Assumptions!$B$17,IF((J34)*AA34&gt;=Assumptions!$B$14,Assumptions!$B$15,0))))</f>
        <v>-736352.62125</v>
      </c>
      <c r="AC34" s="46" t="n">
        <f aca="false">INDEX(Assumptions!$B$32:$B$44,MATCH(AG34,Assumptions!$A$32:$A$44,0))*(1+Assumptions!$B$25)</f>
        <v>1540</v>
      </c>
      <c r="AD34" s="47" t="n">
        <f aca="false">(J34)*AC34-(((D34)+(J34)*Assumptions!$B$4+IF(H34="Yes",Assumptions!$B$6*(D34),(J34)*Assumptions!$B$5))*(1+Assumptions!$B$7*(Assumptions!$B$8*(L34)*Assumptions!$B$9+Assumptions!$B$10))+(D34)*Assumptions!$B$11*(L34)+(J34)*AC34*(Assumptions!$B$12+Assumptions!$B$13+IF((J34)*AC34&gt;=Assumptions!$B$16,Assumptions!$B$17,IF((J34)*AC34&gt;=Assumptions!$B$14,Assumptions!$B$15,0))))</f>
        <v>-37305.6852499973</v>
      </c>
      <c r="AE34" s="46" t="n">
        <f aca="false">INDEX(Assumptions!$B$32:$B$44,MATCH(AG34,Assumptions!$A$32:$A$44,0))*(1+Assumptions!$B$26)</f>
        <v>1680</v>
      </c>
      <c r="AF34" s="47" t="n">
        <f aca="false">(J34)*AE34-(((D34)+(J34)*Assumptions!$B$4+IF(H34="Yes",Assumptions!$B$6*(D34),(J34)*Assumptions!$B$5))*(1+Assumptions!$B$7*(Assumptions!$B$8*(L34)*Assumptions!$B$9+Assumptions!$B$10))+(D34)*Assumptions!$B$11*(L34)+(J34)*AE34*(Assumptions!$B$12+Assumptions!$B$13+IF((J34)*AE34&gt;=Assumptions!$B$16,Assumptions!$B$17,IF((J34)*AE34&gt;=Assumptions!$B$14,Assumptions!$B$15,0))))</f>
        <v>661741.250750002</v>
      </c>
      <c r="AG34" s="40" t="s">
        <v>73</v>
      </c>
      <c r="AH34" s="45" t="n">
        <f aca="false">IF(G34&gt;0,G34,ROUND(F34*Assumptions!$B$18,0))</f>
        <v>3354</v>
      </c>
      <c r="AI34" s="45" t="n">
        <f aca="false">IF(H34="Yes",AH34,MAX(AH34,MIN(Assumptions!$B$20,ROUND(E34*Assumptions!$B$19,0))))</f>
        <v>5521</v>
      </c>
      <c r="AJ34" s="47" t="n">
        <f aca="false">(AH34)*AC34-(((D34)+(AH34)*Assumptions!$B$4+IF(H34="Yes",Assumptions!$B$6*(D34),(AH34)*Assumptions!$B$5))*(1+Assumptions!$B$7*(Assumptions!$B$8*(Assumptions!$B$21)*Assumptions!$B$9+Assumptions!$B$10))+(D34)*Assumptions!$B$11*(Assumptions!$B$21)+(AH34)*AC34*(Assumptions!$B$12+Assumptions!$B$13+IF((AH34)*AC34&gt;=Assumptions!$B$16,Assumptions!$B$17,IF((AH34)*AC34&gt;=Assumptions!$B$14,Assumptions!$B$15,0))))</f>
        <v>-727729.108499999</v>
      </c>
      <c r="AK34" s="47" t="n">
        <f aca="false">(AI34)*AC34-(((D34)+(AI34)*Assumptions!$B$4+IF(H34="Yes",Assumptions!$B$6*(D34),(AI34)*Assumptions!$B$5))*(1+Assumptions!$B$7*(Assumptions!$B$8*(IF(AI34&gt;AH34,Assumptions!$B$22,Assumptions!$B$21))*Assumptions!$B$9+Assumptions!$B$10))+(D34)*Assumptions!$B$11*(IF(AI34&gt;AH34,Assumptions!$B$22,Assumptions!$B$21))+(AI34)*AC34*(Assumptions!$B$12+Assumptions!$B$13+IF((AI34)*AC34&gt;=Assumptions!$B$16,Assumptions!$B$17,IF((AI34)*AC34&gt;=Assumptions!$B$14,Assumptions!$B$15,0))))</f>
        <v>-37305.6852499973</v>
      </c>
      <c r="AL34" s="47" t="n">
        <f aca="false">Assumptions!$B$7*(O34+P34+Q34)</f>
        <v>4405553.75</v>
      </c>
    </row>
    <row r="35" customFormat="false" ht="15" hidden="false" customHeight="false" outlineLevel="0" collapsed="false">
      <c r="A35" s="40" t="n">
        <v>33</v>
      </c>
      <c r="B35" s="40" t="s">
        <v>139</v>
      </c>
      <c r="C35" s="40" t="s">
        <v>98</v>
      </c>
      <c r="D35" s="41" t="n">
        <v>1999999</v>
      </c>
      <c r="E35" s="42" t="n">
        <v>23596</v>
      </c>
      <c r="F35" s="42" t="n">
        <v>1864</v>
      </c>
      <c r="G35" s="42"/>
      <c r="H35" s="43" t="s">
        <v>67</v>
      </c>
      <c r="I35" s="44"/>
      <c r="J35" s="45" t="n">
        <f aca="false">IF(AK35&gt;AJ35,AI35,AH35)</f>
        <v>8000</v>
      </c>
      <c r="K35" s="40" t="str">
        <f aca="false">IF(AK35&gt;AJ35,"Zoning estimate",IF(H35="Yes","Approved plans",IF(G35&gt;0,"Listing claim","110% old house")))</f>
        <v>Zoning estimate</v>
      </c>
      <c r="L35" s="45" t="n">
        <f aca="false">IF(AK35&gt;AJ35,IF(AI35&gt;AH35,Assumptions!$B$22,Assumptions!$B$21),Assumptions!$B$21)</f>
        <v>3</v>
      </c>
      <c r="M35" s="46" t="n">
        <f aca="false">INDEX(Assumptions!$B$32:$B$44,MATCH(AG35,Assumptions!$A$32:$A$44,0))*(1+IF(UPPER(Assumptions!$B$27)="WORST",Assumptions!$B$24,IF(UPPER(Assumptions!$B$27)="BEST",Assumptions!$B$26,Assumptions!$B$25)))</f>
        <v>1375</v>
      </c>
      <c r="N35" s="47" t="n">
        <f aca="false">J35*M35</f>
        <v>11000000</v>
      </c>
      <c r="O35" s="47" t="n">
        <f aca="false">D35</f>
        <v>1999999</v>
      </c>
      <c r="P35" s="47" t="n">
        <f aca="false">J35*Assumptions!$B$4</f>
        <v>5600000</v>
      </c>
      <c r="Q35" s="47" t="n">
        <f aca="false">IF(H35="Yes",Assumptions!$B$6*(D35),(J35)*Assumptions!$B$5)</f>
        <v>600000</v>
      </c>
      <c r="R35" s="47" t="n">
        <f aca="false">AL35*(Assumptions!$B$8*L35*Assumptions!$B$9+Assumptions!$B$10)</f>
        <v>1039349.87325</v>
      </c>
      <c r="S35" s="47" t="n">
        <f aca="false">O35*Assumptions!$B$11*L35</f>
        <v>71999.964</v>
      </c>
      <c r="T35" s="47" t="n">
        <f aca="false">N35*(Assumptions!$B$12+Assumptions!$B$13)</f>
        <v>611600</v>
      </c>
      <c r="U35" s="47" t="n">
        <f aca="false">N35*IF(N35&gt;=Assumptions!$B$16,Assumptions!$B$17,IF(N35&gt;=Assumptions!$B$14,Assumptions!$B$15,0))</f>
        <v>605000</v>
      </c>
      <c r="V35" s="48" t="n">
        <f aca="false">SUM(O35:U35)</f>
        <v>10527948.83725</v>
      </c>
      <c r="W35" s="48" t="n">
        <f aca="false">N35-V35</f>
        <v>472051.16275</v>
      </c>
      <c r="X35" s="49" t="n">
        <f aca="false">IF(V35=0,0,W35/V35)</f>
        <v>0.0448379043294538</v>
      </c>
      <c r="Y35" s="47" t="n">
        <f aca="false">MAX(0,(N35/(1+Assumptions!$B$23)-(J35*(Assumptions!$B$4+IF(H35="Yes",0,Assumptions!$B$5)))*(1+(Assumptions!$B$7*(Assumptions!$B$8*L35*Assumptions!$B$9+Assumptions!$B$10)))-N35*(Assumptions!$B$12+Assumptions!$B$13+IF(N35&gt;=Assumptions!$B$16,Assumptions!$B$17,IF(N35&gt;=Assumptions!$B$14,Assumptions!$B$15,0))))/((1+IF(H35="Yes",Assumptions!$B$6,0))*(1+(Assumptions!$B$7*(Assumptions!$B$8*L35*Assumptions!$B$9+Assumptions!$B$10)))+Assumptions!$B$11*L35))</f>
        <v>1172020.97725594</v>
      </c>
      <c r="Z35" s="50" t="n">
        <f aca="false">IF(Y35&lt;=0,"no price works",D35/Y35)</f>
        <v>1.70645324513099</v>
      </c>
      <c r="AA35" s="46" t="n">
        <f aca="false">INDEX(Assumptions!$B$32:$B$44,MATCH(AG35,Assumptions!$A$32:$A$44,0))*(1+Assumptions!$B$24)</f>
        <v>1250</v>
      </c>
      <c r="AB35" s="47" t="n">
        <f aca="false">(J35)*AA35-(((D35)+(J35)*Assumptions!$B$4+IF(H35="Yes",Assumptions!$B$6*(D35),(J35)*Assumptions!$B$5))*(1+Assumptions!$B$7*(Assumptions!$B$8*(L35)*Assumptions!$B$9+Assumptions!$B$10))+(D35)*Assumptions!$B$11*(L35)+(J35)*AA35*(Assumptions!$B$12+Assumptions!$B$13+IF((J35)*AA35&gt;=Assumptions!$B$16,Assumptions!$B$17,IF((J35)*AA35&gt;=Assumptions!$B$14,Assumptions!$B$15,0))))</f>
        <v>-267348.83725</v>
      </c>
      <c r="AC35" s="46" t="n">
        <f aca="false">INDEX(Assumptions!$B$32:$B$44,MATCH(AG35,Assumptions!$A$32:$A$44,0))*(1+Assumptions!$B$25)</f>
        <v>1375</v>
      </c>
      <c r="AD35" s="47" t="n">
        <f aca="false">(J35)*AC35-(((D35)+(J35)*Assumptions!$B$4+IF(H35="Yes",Assumptions!$B$6*(D35),(J35)*Assumptions!$B$5))*(1+Assumptions!$B$7*(Assumptions!$B$8*(L35)*Assumptions!$B$9+Assumptions!$B$10))+(D35)*Assumptions!$B$11*(L35)+(J35)*AC35*(Assumptions!$B$12+Assumptions!$B$13+IF((J35)*AC35&gt;=Assumptions!$B$16,Assumptions!$B$17,IF((J35)*AC35&gt;=Assumptions!$B$14,Assumptions!$B$15,0))))</f>
        <v>472051.16275</v>
      </c>
      <c r="AE35" s="46" t="n">
        <f aca="false">INDEX(Assumptions!$B$32:$B$44,MATCH(AG35,Assumptions!$A$32:$A$44,0))*(1+Assumptions!$B$26)</f>
        <v>1500</v>
      </c>
      <c r="AF35" s="47" t="n">
        <f aca="false">(J35)*AE35-(((D35)+(J35)*Assumptions!$B$4+IF(H35="Yes",Assumptions!$B$6*(D35),(J35)*Assumptions!$B$5))*(1+Assumptions!$B$7*(Assumptions!$B$8*(L35)*Assumptions!$B$9+Assumptions!$B$10))+(D35)*Assumptions!$B$11*(L35)+(J35)*AE35*(Assumptions!$B$12+Assumptions!$B$13+IF((J35)*AE35&gt;=Assumptions!$B$16,Assumptions!$B$17,IF((J35)*AE35&gt;=Assumptions!$B$14,Assumptions!$B$15,0))))</f>
        <v>1361451.16275</v>
      </c>
      <c r="AG35" s="40" t="s">
        <v>100</v>
      </c>
      <c r="AH35" s="45" t="n">
        <f aca="false">IF(G35&gt;0,G35,ROUND(F35*Assumptions!$B$18,0))</f>
        <v>2050</v>
      </c>
      <c r="AI35" s="45" t="n">
        <f aca="false">IF(H35="Yes",AH35,MAX(AH35,MIN(Assumptions!$B$20,ROUND(E35*Assumptions!$B$19,0))))</f>
        <v>8000</v>
      </c>
      <c r="AJ35" s="47" t="n">
        <f aca="false">(AH35)*AC35-(((D35)+(AH35)*Assumptions!$B$4+IF(H35="Yes",Assumptions!$B$6*(D35),(AH35)*Assumptions!$B$5))*(1+Assumptions!$B$7*(Assumptions!$B$8*(Assumptions!$B$21)*Assumptions!$B$9+Assumptions!$B$10))+(D35)*Assumptions!$B$11*(Assumptions!$B$21)+(AH35)*AC35*(Assumptions!$B$12+Assumptions!$B$13+IF((AH35)*AC35&gt;=Assumptions!$B$16,Assumptions!$B$17,IF((AH35)*AC35&gt;=Assumptions!$B$14,Assumptions!$B$15,0))))</f>
        <v>-1289634.20075</v>
      </c>
      <c r="AK35" s="47" t="n">
        <f aca="false">(AI35)*AC35-(((D35)+(AI35)*Assumptions!$B$4+IF(H35="Yes",Assumptions!$B$6*(D35),(AI35)*Assumptions!$B$5))*(1+Assumptions!$B$7*(Assumptions!$B$8*(IF(AI35&gt;AH35,Assumptions!$B$22,Assumptions!$B$21))*Assumptions!$B$9+Assumptions!$B$10))+(D35)*Assumptions!$B$11*(IF(AI35&gt;AH35,Assumptions!$B$22,Assumptions!$B$21))+(AI35)*AC35*(Assumptions!$B$12+Assumptions!$B$13+IF((AI35)*AC35&gt;=Assumptions!$B$16,Assumptions!$B$17,IF((AI35)*AC35&gt;=Assumptions!$B$14,Assumptions!$B$15,0))))</f>
        <v>472051.16275</v>
      </c>
      <c r="AL35" s="47" t="n">
        <f aca="false">Assumptions!$B$7*(O35+P35+Q35)</f>
        <v>5329999.35</v>
      </c>
    </row>
    <row r="36" customFormat="false" ht="15" hidden="false" customHeight="false" outlineLevel="0" collapsed="false">
      <c r="A36" s="40" t="n">
        <v>34</v>
      </c>
      <c r="B36" s="40" t="s">
        <v>140</v>
      </c>
      <c r="C36" s="40" t="s">
        <v>75</v>
      </c>
      <c r="D36" s="41" t="n">
        <v>5500000</v>
      </c>
      <c r="E36" s="42" t="n">
        <v>13930</v>
      </c>
      <c r="F36" s="42" t="n">
        <v>3319</v>
      </c>
      <c r="G36" s="42"/>
      <c r="H36" s="43" t="s">
        <v>67</v>
      </c>
      <c r="I36" s="44" t="s">
        <v>141</v>
      </c>
      <c r="J36" s="45" t="n">
        <f aca="false">IF(AK36&gt;AJ36,AI36,AH36)</f>
        <v>5572</v>
      </c>
      <c r="K36" s="40" t="str">
        <f aca="false">IF(AK36&gt;AJ36,"Zoning estimate",IF(H36="Yes","Approved plans",IF(G36&gt;0,"Listing claim","110% old house")))</f>
        <v>Zoning estimate</v>
      </c>
      <c r="L36" s="45" t="n">
        <f aca="false">IF(AK36&gt;AJ36,IF(AI36&gt;AH36,Assumptions!$B$22,Assumptions!$B$21),Assumptions!$B$21)</f>
        <v>3</v>
      </c>
      <c r="M36" s="46" t="n">
        <f aca="false">INDEX(Assumptions!$B$32:$B$44,MATCH(AG36,Assumptions!$A$32:$A$44,0))*(1+IF(UPPER(Assumptions!$B$27)="WORST",Assumptions!$B$24,IF(UPPER(Assumptions!$B$27)="BEST",Assumptions!$B$26,Assumptions!$B$25)))</f>
        <v>2035</v>
      </c>
      <c r="N36" s="47" t="n">
        <f aca="false">J36*M36</f>
        <v>11339020</v>
      </c>
      <c r="O36" s="47" t="n">
        <f aca="false">D36</f>
        <v>5500000</v>
      </c>
      <c r="P36" s="47" t="n">
        <f aca="false">J36*Assumptions!$B$4</f>
        <v>3900400</v>
      </c>
      <c r="Q36" s="47" t="n">
        <f aca="false">IF(H36="Yes",Assumptions!$B$6*(D36),(J36)*Assumptions!$B$5)</f>
        <v>417900</v>
      </c>
      <c r="R36" s="47" t="n">
        <f aca="false">AL36*(Assumptions!$B$8*L36*Assumptions!$B$9+Assumptions!$B$10)</f>
        <v>1244469.525</v>
      </c>
      <c r="S36" s="47" t="n">
        <f aca="false">O36*Assumptions!$B$11*L36</f>
        <v>198000</v>
      </c>
      <c r="T36" s="47" t="n">
        <f aca="false">N36*(Assumptions!$B$12+Assumptions!$B$13)</f>
        <v>630449.512</v>
      </c>
      <c r="U36" s="47" t="n">
        <f aca="false">N36*IF(N36&gt;=Assumptions!$B$16,Assumptions!$B$17,IF(N36&gt;=Assumptions!$B$14,Assumptions!$B$15,0))</f>
        <v>623646.1</v>
      </c>
      <c r="V36" s="48" t="n">
        <f aca="false">SUM(O36:U36)</f>
        <v>12514865.137</v>
      </c>
      <c r="W36" s="48" t="n">
        <f aca="false">N36-V36</f>
        <v>-1175845.137</v>
      </c>
      <c r="X36" s="49" t="n">
        <f aca="false">IF(V36=0,0,W36/V36)</f>
        <v>-0.0939558776006008</v>
      </c>
      <c r="Y36" s="47" t="n">
        <f aca="false">MAX(0,(N36/(1+Assumptions!$B$23)-(J36*(Assumptions!$B$4+IF(H36="Yes",0,Assumptions!$B$5)))*(1+(Assumptions!$B$7*(Assumptions!$B$8*L36*Assumptions!$B$9+Assumptions!$B$10)))-N36*(Assumptions!$B$12+Assumptions!$B$13+IF(N36&gt;=Assumptions!$B$16,Assumptions!$B$17,IF(N36&gt;=Assumptions!$B$14,Assumptions!$B$15,0))))/((1+IF(H36="Yes",Assumptions!$B$6,0))*(1+(Assumptions!$B$7*(Assumptions!$B$8*L36*Assumptions!$B$9+Assumptions!$B$10)))+Assumptions!$B$11*L36))</f>
        <v>3216751.02498762</v>
      </c>
      <c r="Z36" s="50" t="n">
        <f aca="false">IF(Y36&lt;=0,"no price works",D36/Y36)</f>
        <v>1.70979971943</v>
      </c>
      <c r="AA36" s="46" t="n">
        <f aca="false">INDEX(Assumptions!$B$32:$B$44,MATCH(AG36,Assumptions!$A$32:$A$44,0))*(1+Assumptions!$B$24)</f>
        <v>1850</v>
      </c>
      <c r="AB36" s="47" t="n">
        <f aca="false">(J36)*AA36-(((D36)+(J36)*Assumptions!$B$4+IF(H36="Yes",Assumptions!$B$6*(D36),(J36)*Assumptions!$B$5))*(1+Assumptions!$B$7*(Assumptions!$B$8*(L36)*Assumptions!$B$9+Assumptions!$B$10))+(D36)*Assumptions!$B$11*(L36)+(J36)*AA36*(Assumptions!$B$12+Assumptions!$B$13+IF((J36)*AA36&gt;=Assumptions!$B$16,Assumptions!$B$17,IF((J36)*AA36&gt;=Assumptions!$B$14,Assumptions!$B$15,0))))</f>
        <v>-1938033.445</v>
      </c>
      <c r="AC36" s="46" t="n">
        <f aca="false">INDEX(Assumptions!$B$32:$B$44,MATCH(AG36,Assumptions!$A$32:$A$44,0))*(1+Assumptions!$B$25)</f>
        <v>2035</v>
      </c>
      <c r="AD36" s="47" t="n">
        <f aca="false">(J36)*AC36-(((D36)+(J36)*Assumptions!$B$4+IF(H36="Yes",Assumptions!$B$6*(D36),(J36)*Assumptions!$B$5))*(1+Assumptions!$B$7*(Assumptions!$B$8*(L36)*Assumptions!$B$9+Assumptions!$B$10))+(D36)*Assumptions!$B$11*(L36)+(J36)*AC36*(Assumptions!$B$12+Assumptions!$B$13+IF((J36)*AC36&gt;=Assumptions!$B$16,Assumptions!$B$17,IF((J36)*AC36&gt;=Assumptions!$B$14,Assumptions!$B$15,0))))</f>
        <v>-1175845.137</v>
      </c>
      <c r="AE36" s="46" t="n">
        <f aca="false">INDEX(Assumptions!$B$32:$B$44,MATCH(AG36,Assumptions!$A$32:$A$44,0))*(1+Assumptions!$B$26)</f>
        <v>2220</v>
      </c>
      <c r="AF36" s="47" t="n">
        <f aca="false">(J36)*AE36-(((D36)+(J36)*Assumptions!$B$4+IF(H36="Yes",Assumptions!$B$6*(D36),(J36)*Assumptions!$B$5))*(1+Assumptions!$B$7*(Assumptions!$B$8*(L36)*Assumptions!$B$9+Assumptions!$B$10))+(D36)*Assumptions!$B$11*(L36)+(J36)*AE36*(Assumptions!$B$12+Assumptions!$B$13+IF((J36)*AE36&gt;=Assumptions!$B$16,Assumptions!$B$17,IF((J36)*AE36&gt;=Assumptions!$B$14,Assumptions!$B$15,0))))</f>
        <v>-259033.828999998</v>
      </c>
      <c r="AG36" s="40" t="s">
        <v>78</v>
      </c>
      <c r="AH36" s="45" t="n">
        <f aca="false">IF(G36&gt;0,G36,ROUND(F36*Assumptions!$B$18,0))</f>
        <v>3651</v>
      </c>
      <c r="AI36" s="45" t="n">
        <f aca="false">IF(H36="Yes",AH36,MAX(AH36,MIN(Assumptions!$B$20,ROUND(E36*Assumptions!$B$19,0))))</f>
        <v>5572</v>
      </c>
      <c r="AJ36" s="47" t="n">
        <f aca="false">(AH36)*AC36-(((D36)+(AH36)*Assumptions!$B$4+IF(H36="Yes",Assumptions!$B$6*(D36),(AH36)*Assumptions!$B$5))*(1+Assumptions!$B$7*(Assumptions!$B$8*(Assumptions!$B$21)*Assumptions!$B$9+Assumptions!$B$10))+(D36)*Assumptions!$B$11*(Assumptions!$B$21)+(AH36)*AC36*(Assumptions!$B$12+Assumptions!$B$13+IF((AH36)*AC36&gt;=Assumptions!$B$16,Assumptions!$B$17,IF((AH36)*AC36&gt;=Assumptions!$B$14,Assumptions!$B$15,0))))</f>
        <v>-2472943.26475</v>
      </c>
      <c r="AK36" s="47" t="n">
        <f aca="false">(AI36)*AC36-(((D36)+(AI36)*Assumptions!$B$4+IF(H36="Yes",Assumptions!$B$6*(D36),(AI36)*Assumptions!$B$5))*(1+Assumptions!$B$7*(Assumptions!$B$8*(IF(AI36&gt;AH36,Assumptions!$B$22,Assumptions!$B$21))*Assumptions!$B$9+Assumptions!$B$10))+(D36)*Assumptions!$B$11*(IF(AI36&gt;AH36,Assumptions!$B$22,Assumptions!$B$21))+(AI36)*AC36*(Assumptions!$B$12+Assumptions!$B$13+IF((AI36)*AC36&gt;=Assumptions!$B$16,Assumptions!$B$17,IF((AI36)*AC36&gt;=Assumptions!$B$14,Assumptions!$B$15,0))))</f>
        <v>-1175845.137</v>
      </c>
      <c r="AL36" s="47" t="n">
        <f aca="false">Assumptions!$B$7*(O36+P36+Q36)</f>
        <v>6381895</v>
      </c>
    </row>
    <row r="37" customFormat="false" ht="23.85" hidden="false" customHeight="false" outlineLevel="0" collapsed="false">
      <c r="A37" s="40" t="n">
        <v>35</v>
      </c>
      <c r="B37" s="40" t="s">
        <v>142</v>
      </c>
      <c r="C37" s="40" t="s">
        <v>98</v>
      </c>
      <c r="D37" s="41" t="n">
        <v>1795000</v>
      </c>
      <c r="E37" s="42" t="n">
        <v>15894</v>
      </c>
      <c r="F37" s="42" t="n">
        <v>2918</v>
      </c>
      <c r="G37" s="42"/>
      <c r="H37" s="43" t="s">
        <v>67</v>
      </c>
      <c r="I37" s="44" t="s">
        <v>143</v>
      </c>
      <c r="J37" s="45" t="n">
        <f aca="false">IF(AK37&gt;AJ37,AI37,AH37)</f>
        <v>6358</v>
      </c>
      <c r="K37" s="40" t="str">
        <f aca="false">IF(AK37&gt;AJ37,"Zoning estimate",IF(H37="Yes","Approved plans",IF(G37&gt;0,"Listing claim","110% old house")))</f>
        <v>Zoning estimate</v>
      </c>
      <c r="L37" s="45" t="n">
        <f aca="false">IF(AK37&gt;AJ37,IF(AI37&gt;AH37,Assumptions!$B$22,Assumptions!$B$21),Assumptions!$B$21)</f>
        <v>3</v>
      </c>
      <c r="M37" s="46" t="n">
        <f aca="false">INDEX(Assumptions!$B$32:$B$44,MATCH(AG37,Assumptions!$A$32:$A$44,0))*(1+IF(UPPER(Assumptions!$B$27)="WORST",Assumptions!$B$24,IF(UPPER(Assumptions!$B$27)="BEST",Assumptions!$B$26,Assumptions!$B$25)))</f>
        <v>1375</v>
      </c>
      <c r="N37" s="47" t="n">
        <f aca="false">J37*M37</f>
        <v>8742250</v>
      </c>
      <c r="O37" s="47" t="n">
        <f aca="false">D37</f>
        <v>1795000</v>
      </c>
      <c r="P37" s="47" t="n">
        <f aca="false">J37*Assumptions!$B$4</f>
        <v>4450600</v>
      </c>
      <c r="Q37" s="47" t="n">
        <f aca="false">IF(H37="Yes",Assumptions!$B$6*(D37),(J37)*Assumptions!$B$5)</f>
        <v>476850</v>
      </c>
      <c r="R37" s="47" t="n">
        <f aca="false">AL37*(Assumptions!$B$8*L37*Assumptions!$B$9+Assumptions!$B$10)</f>
        <v>852070.5375</v>
      </c>
      <c r="S37" s="47" t="n">
        <f aca="false">O37*Assumptions!$B$11*L37</f>
        <v>64620</v>
      </c>
      <c r="T37" s="47" t="n">
        <f aca="false">N37*(Assumptions!$B$12+Assumptions!$B$13)</f>
        <v>486069.1</v>
      </c>
      <c r="U37" s="47" t="n">
        <f aca="false">N37*IF(N37&gt;=Assumptions!$B$16,Assumptions!$B$17,IF(N37&gt;=Assumptions!$B$14,Assumptions!$B$15,0))</f>
        <v>349690</v>
      </c>
      <c r="V37" s="48" t="n">
        <f aca="false">SUM(O37:U37)</f>
        <v>8474899.6375</v>
      </c>
      <c r="W37" s="48" t="n">
        <f aca="false">N37-V37</f>
        <v>267350.362500001</v>
      </c>
      <c r="X37" s="49" t="n">
        <f aca="false">IF(V37=0,0,W37/V37)</f>
        <v>0.031546139061874</v>
      </c>
      <c r="Y37" s="47" t="n">
        <f aca="false">MAX(0,(N37/(1+Assumptions!$B$23)-(J37*(Assumptions!$B$4+IF(H37="Yes",0,Assumptions!$B$5)))*(1+(Assumptions!$B$7*(Assumptions!$B$8*L37*Assumptions!$B$9+Assumptions!$B$10)))-N37*(Assumptions!$B$12+Assumptions!$B$13+IF(N37&gt;=Assumptions!$B$16,Assumptions!$B$17,IF(N37&gt;=Assumptions!$B$14,Assumptions!$B$15,0))))/((1+IF(H37="Yes",Assumptions!$B$6,0))*(1+(Assumptions!$B$7*(Assumptions!$B$8*L37*Assumptions!$B$9+Assumptions!$B$10)))+Assumptions!$B$11*L37))</f>
        <v>1044242.64393819</v>
      </c>
      <c r="Z37" s="50" t="n">
        <f aca="false">IF(Y37&lt;=0,"no price works",D37/Y37)</f>
        <v>1.71894914502864</v>
      </c>
      <c r="AA37" s="46" t="n">
        <f aca="false">INDEX(Assumptions!$B$32:$B$44,MATCH(AG37,Assumptions!$A$32:$A$44,0))*(1+Assumptions!$B$24)</f>
        <v>1250</v>
      </c>
      <c r="AB37" s="47" t="n">
        <f aca="false">(J37)*AA37-(((D37)+(J37)*Assumptions!$B$4+IF(H37="Yes",Assumptions!$B$6*(D37),(J37)*Assumptions!$B$5))*(1+Assumptions!$B$7*(Assumptions!$B$8*(L37)*Assumptions!$B$9+Assumptions!$B$10))+(D37)*Assumptions!$B$11*(L37)+(J37)*AA37*(Assumptions!$B$12+Assumptions!$B$13+IF((J37)*AA37&gt;=Assumptions!$B$16,Assumptions!$B$17,IF((J37)*AA37&gt;=Assumptions!$B$14,Assumptions!$B$15,0))))</f>
        <v>-451421.5375</v>
      </c>
      <c r="AC37" s="46" t="n">
        <f aca="false">INDEX(Assumptions!$B$32:$B$44,MATCH(AG37,Assumptions!$A$32:$A$44,0))*(1+Assumptions!$B$25)</f>
        <v>1375</v>
      </c>
      <c r="AD37" s="47" t="n">
        <f aca="false">(J37)*AC37-(((D37)+(J37)*Assumptions!$B$4+IF(H37="Yes",Assumptions!$B$6*(D37),(J37)*Assumptions!$B$5))*(1+Assumptions!$B$7*(Assumptions!$B$8*(L37)*Assumptions!$B$9+Assumptions!$B$10))+(D37)*Assumptions!$B$11*(L37)+(J37)*AC37*(Assumptions!$B$12+Assumptions!$B$13+IF((J37)*AC37&gt;=Assumptions!$B$16,Assumptions!$B$17,IF((J37)*AC37&gt;=Assumptions!$B$14,Assumptions!$B$15,0))))</f>
        <v>267350.362500001</v>
      </c>
      <c r="AE37" s="46" t="n">
        <f aca="false">INDEX(Assumptions!$B$32:$B$44,MATCH(AG37,Assumptions!$A$32:$A$44,0))*(1+Assumptions!$B$26)</f>
        <v>1500</v>
      </c>
      <c r="AF37" s="47" t="n">
        <f aca="false">(J37)*AE37-(((D37)+(J37)*Assumptions!$B$4+IF(H37="Yes",Assumptions!$B$6*(D37),(J37)*Assumptions!$B$5))*(1+Assumptions!$B$7*(Assumptions!$B$8*(L37)*Assumptions!$B$9+Assumptions!$B$10))+(D37)*Assumptions!$B$11*(L37)+(J37)*AE37*(Assumptions!$B$12+Assumptions!$B$13+IF((J37)*AE37&gt;=Assumptions!$B$16,Assumptions!$B$17,IF((J37)*AE37&gt;=Assumptions!$B$14,Assumptions!$B$15,0))))</f>
        <v>986122.262500001</v>
      </c>
      <c r="AG37" s="40" t="s">
        <v>100</v>
      </c>
      <c r="AH37" s="45" t="n">
        <f aca="false">IF(G37&gt;0,G37,ROUND(F37*Assumptions!$B$18,0))</f>
        <v>3210</v>
      </c>
      <c r="AI37" s="45" t="n">
        <f aca="false">IF(H37="Yes",AH37,MAX(AH37,MIN(Assumptions!$B$20,ROUND(E37*Assumptions!$B$19,0))))</f>
        <v>6358</v>
      </c>
      <c r="AJ37" s="47" t="n">
        <f aca="false">(AH37)*AC37-(((D37)+(AH37)*Assumptions!$B$4+IF(H37="Yes",Assumptions!$B$6*(D37),(AH37)*Assumptions!$B$5))*(1+Assumptions!$B$7*(Assumptions!$B$8*(Assumptions!$B$21)*Assumptions!$B$9+Assumptions!$B$10))+(D37)*Assumptions!$B$11*(Assumptions!$B$21)+(AH37)*AC37*(Assumptions!$B$12+Assumptions!$B$13+IF((AH37)*AC37&gt;=Assumptions!$B$16,Assumptions!$B$17,IF((AH37)*AC37&gt;=Assumptions!$B$14,Assumptions!$B$15,0))))</f>
        <v>-533295.8125</v>
      </c>
      <c r="AK37" s="47" t="n">
        <f aca="false">(AI37)*AC37-(((D37)+(AI37)*Assumptions!$B$4+IF(H37="Yes",Assumptions!$B$6*(D37),(AI37)*Assumptions!$B$5))*(1+Assumptions!$B$7*(Assumptions!$B$8*(IF(AI37&gt;AH37,Assumptions!$B$22,Assumptions!$B$21))*Assumptions!$B$9+Assumptions!$B$10))+(D37)*Assumptions!$B$11*(IF(AI37&gt;AH37,Assumptions!$B$22,Assumptions!$B$21))+(AI37)*AC37*(Assumptions!$B$12+Assumptions!$B$13+IF((AI37)*AC37&gt;=Assumptions!$B$16,Assumptions!$B$17,IF((AI37)*AC37&gt;=Assumptions!$B$14,Assumptions!$B$15,0))))</f>
        <v>267350.362500001</v>
      </c>
      <c r="AL37" s="47" t="n">
        <f aca="false">Assumptions!$B$7*(O37+P37+Q37)</f>
        <v>4369592.5</v>
      </c>
    </row>
    <row r="38" customFormat="false" ht="15" hidden="false" customHeight="false" outlineLevel="0" collapsed="false">
      <c r="A38" s="40" t="n">
        <v>36</v>
      </c>
      <c r="B38" s="40" t="s">
        <v>144</v>
      </c>
      <c r="C38" s="40" t="s">
        <v>107</v>
      </c>
      <c r="D38" s="41" t="n">
        <v>1550000</v>
      </c>
      <c r="E38" s="42" t="n">
        <v>10733</v>
      </c>
      <c r="F38" s="42" t="n">
        <v>1842</v>
      </c>
      <c r="G38" s="42" t="n">
        <v>2935</v>
      </c>
      <c r="H38" s="43" t="s">
        <v>76</v>
      </c>
      <c r="I38" s="44" t="s">
        <v>145</v>
      </c>
      <c r="J38" s="45" t="n">
        <f aca="false">IF(AK38&gt;AJ38,AI38,AH38)</f>
        <v>2935</v>
      </c>
      <c r="K38" s="40" t="str">
        <f aca="false">IF(AK38&gt;AJ38,"Zoning estimate",IF(H38="Yes","Approved plans",IF(G38&gt;0,"Listing claim","110% old house")))</f>
        <v>Approved plans</v>
      </c>
      <c r="L38" s="45" t="n">
        <f aca="false">IF(AK38&gt;AJ38,IF(AI38&gt;AH38,Assumptions!$B$22,Assumptions!$B$21),Assumptions!$B$21)</f>
        <v>2</v>
      </c>
      <c r="M38" s="46" t="n">
        <f aca="false">INDEX(Assumptions!$B$32:$B$44,MATCH(AG38,Assumptions!$A$32:$A$44,0))*(1+IF(UPPER(Assumptions!$B$27)="WORST",Assumptions!$B$24,IF(UPPER(Assumptions!$B$27)="BEST",Assumptions!$B$26,Assumptions!$B$25)))</f>
        <v>1375</v>
      </c>
      <c r="N38" s="47" t="n">
        <f aca="false">J38*M38</f>
        <v>4035625</v>
      </c>
      <c r="O38" s="47" t="n">
        <f aca="false">D38</f>
        <v>1550000</v>
      </c>
      <c r="P38" s="47" t="n">
        <f aca="false">J38*Assumptions!$B$4</f>
        <v>2054500</v>
      </c>
      <c r="Q38" s="47" t="n">
        <f aca="false">IF(H38="Yes",Assumptions!$B$6*(D38),(J38)*Assumptions!$B$5)</f>
        <v>77500</v>
      </c>
      <c r="R38" s="47" t="n">
        <f aca="false">AL38*(Assumptions!$B$8*L38*Assumptions!$B$9+Assumptions!$B$10)</f>
        <v>323095.5</v>
      </c>
      <c r="S38" s="47" t="n">
        <f aca="false">O38*Assumptions!$B$11*L38</f>
        <v>37200</v>
      </c>
      <c r="T38" s="47" t="n">
        <f aca="false">N38*(Assumptions!$B$12+Assumptions!$B$13)</f>
        <v>224380.75</v>
      </c>
      <c r="U38" s="47" t="n">
        <f aca="false">N38*IF(N38&gt;=Assumptions!$B$16,Assumptions!$B$17,IF(N38&gt;=Assumptions!$B$14,Assumptions!$B$15,0))</f>
        <v>0</v>
      </c>
      <c r="V38" s="48" t="n">
        <f aca="false">SUM(O38:U38)</f>
        <v>4266676.25</v>
      </c>
      <c r="W38" s="48" t="n">
        <f aca="false">N38-V38</f>
        <v>-231051.25</v>
      </c>
      <c r="X38" s="49" t="n">
        <f aca="false">IF(V38=0,0,W38/V38)</f>
        <v>-0.0541525150871243</v>
      </c>
      <c r="Y38" s="47" t="n">
        <f aca="false">MAX(0,(N38/(1+Assumptions!$B$23)-(J38*(Assumptions!$B$4+IF(H38="Yes",0,Assumptions!$B$5)))*(1+(Assumptions!$B$7*(Assumptions!$B$8*L38*Assumptions!$B$9+Assumptions!$B$10)))-N38*(Assumptions!$B$12+Assumptions!$B$13+IF(N38&gt;=Assumptions!$B$16,Assumptions!$B$17,IF(N38&gt;=Assumptions!$B$14,Assumptions!$B$15,0))))/((1+IF(H38="Yes",Assumptions!$B$6,0))*(1+(Assumptions!$B$7*(Assumptions!$B$8*L38*Assumptions!$B$9+Assumptions!$B$10)))+Assumptions!$B$11*L38))</f>
        <v>900473.576602058</v>
      </c>
      <c r="Z38" s="50" t="n">
        <f aca="false">IF(Y38&lt;=0,"no price works",D38/Y38)</f>
        <v>1.72131647199347</v>
      </c>
      <c r="AA38" s="46" t="n">
        <f aca="false">INDEX(Assumptions!$B$32:$B$44,MATCH(AG38,Assumptions!$A$32:$A$44,0))*(1+Assumptions!$B$24)</f>
        <v>1250</v>
      </c>
      <c r="AB38" s="47" t="n">
        <f aca="false">(J38)*AA38-(((D38)+(J38)*Assumptions!$B$4+IF(H38="Yes",Assumptions!$B$6*(D38),(J38)*Assumptions!$B$5))*(1+Assumptions!$B$7*(Assumptions!$B$8*(L38)*Assumptions!$B$9+Assumptions!$B$10))+(D38)*Assumptions!$B$11*(L38)+(J38)*AA38*(Assumptions!$B$12+Assumptions!$B$13+IF((J38)*AA38&gt;=Assumptions!$B$16,Assumptions!$B$17,IF((J38)*AA38&gt;=Assumptions!$B$14,Assumptions!$B$15,0))))</f>
        <v>-577528</v>
      </c>
      <c r="AC38" s="46" t="n">
        <f aca="false">INDEX(Assumptions!$B$32:$B$44,MATCH(AG38,Assumptions!$A$32:$A$44,0))*(1+Assumptions!$B$25)</f>
        <v>1375</v>
      </c>
      <c r="AD38" s="47" t="n">
        <f aca="false">(J38)*AC38-(((D38)+(J38)*Assumptions!$B$4+IF(H38="Yes",Assumptions!$B$6*(D38),(J38)*Assumptions!$B$5))*(1+Assumptions!$B$7*(Assumptions!$B$8*(L38)*Assumptions!$B$9+Assumptions!$B$10))+(D38)*Assumptions!$B$11*(L38)+(J38)*AC38*(Assumptions!$B$12+Assumptions!$B$13+IF((J38)*AC38&gt;=Assumptions!$B$16,Assumptions!$B$17,IF((J38)*AC38&gt;=Assumptions!$B$14,Assumptions!$B$15,0))))</f>
        <v>-231051.25</v>
      </c>
      <c r="AE38" s="46" t="n">
        <f aca="false">INDEX(Assumptions!$B$32:$B$44,MATCH(AG38,Assumptions!$A$32:$A$44,0))*(1+Assumptions!$B$26)</f>
        <v>1500</v>
      </c>
      <c r="AF38" s="47" t="n">
        <f aca="false">(J38)*AE38-(((D38)+(J38)*Assumptions!$B$4+IF(H38="Yes",Assumptions!$B$6*(D38),(J38)*Assumptions!$B$5))*(1+Assumptions!$B$7*(Assumptions!$B$8*(L38)*Assumptions!$B$9+Assumptions!$B$10))+(D38)*Assumptions!$B$11*(L38)+(J38)*AE38*(Assumptions!$B$12+Assumptions!$B$13+IF((J38)*AE38&gt;=Assumptions!$B$16,Assumptions!$B$17,IF((J38)*AE38&gt;=Assumptions!$B$14,Assumptions!$B$15,0))))</f>
        <v>115425.5</v>
      </c>
      <c r="AG38" s="40" t="s">
        <v>109</v>
      </c>
      <c r="AH38" s="45" t="n">
        <f aca="false">IF(G38&gt;0,G38,ROUND(F38*Assumptions!$B$18,0))</f>
        <v>2935</v>
      </c>
      <c r="AI38" s="45" t="n">
        <f aca="false">IF(H38="Yes",AH38,MAX(AH38,MIN(Assumptions!$B$20,ROUND(E38*Assumptions!$B$19,0))))</f>
        <v>2935</v>
      </c>
      <c r="AJ38" s="47" t="n">
        <f aca="false">(AH38)*AC38-(((D38)+(AH38)*Assumptions!$B$4+IF(H38="Yes",Assumptions!$B$6*(D38),(AH38)*Assumptions!$B$5))*(1+Assumptions!$B$7*(Assumptions!$B$8*(Assumptions!$B$21)*Assumptions!$B$9+Assumptions!$B$10))+(D38)*Assumptions!$B$11*(Assumptions!$B$21)+(AH38)*AC38*(Assumptions!$B$12+Assumptions!$B$13+IF((AH38)*AC38&gt;=Assumptions!$B$16,Assumptions!$B$17,IF((AH38)*AC38&gt;=Assumptions!$B$14,Assumptions!$B$15,0))))</f>
        <v>-231051.25</v>
      </c>
      <c r="AK38" s="47" t="n">
        <f aca="false">(AI38)*AC38-(((D38)+(AI38)*Assumptions!$B$4+IF(H38="Yes",Assumptions!$B$6*(D38),(AI38)*Assumptions!$B$5))*(1+Assumptions!$B$7*(Assumptions!$B$8*(IF(AI38&gt;AH38,Assumptions!$B$22,Assumptions!$B$21))*Assumptions!$B$9+Assumptions!$B$10))+(D38)*Assumptions!$B$11*(IF(AI38&gt;AH38,Assumptions!$B$22,Assumptions!$B$21))+(AI38)*AC38*(Assumptions!$B$12+Assumptions!$B$13+IF((AI38)*AC38&gt;=Assumptions!$B$16,Assumptions!$B$17,IF((AI38)*AC38&gt;=Assumptions!$B$14,Assumptions!$B$15,0))))</f>
        <v>-231051.25</v>
      </c>
      <c r="AL38" s="47" t="n">
        <f aca="false">Assumptions!$B$7*(O38+P38+Q38)</f>
        <v>2393300</v>
      </c>
    </row>
    <row r="39" customFormat="false" ht="23.85" hidden="false" customHeight="false" outlineLevel="0" collapsed="false">
      <c r="A39" s="40" t="n">
        <v>37</v>
      </c>
      <c r="B39" s="40" t="s">
        <v>146</v>
      </c>
      <c r="C39" s="40" t="s">
        <v>124</v>
      </c>
      <c r="D39" s="41" t="n">
        <v>3195000</v>
      </c>
      <c r="E39" s="42" t="n">
        <v>7695</v>
      </c>
      <c r="F39" s="42" t="n">
        <v>3897</v>
      </c>
      <c r="G39" s="42" t="n">
        <v>6226</v>
      </c>
      <c r="H39" s="43" t="s">
        <v>76</v>
      </c>
      <c r="I39" s="44" t="s">
        <v>147</v>
      </c>
      <c r="J39" s="45" t="n">
        <f aca="false">IF(AK39&gt;AJ39,AI39,AH39)</f>
        <v>6226</v>
      </c>
      <c r="K39" s="40" t="str">
        <f aca="false">IF(AK39&gt;AJ39,"Zoning estimate",IF(H39="Yes","Approved plans",IF(G39&gt;0,"Listing claim","110% old house")))</f>
        <v>Approved plans</v>
      </c>
      <c r="L39" s="45" t="n">
        <f aca="false">IF(AK39&gt;AJ39,IF(AI39&gt;AH39,Assumptions!$B$22,Assumptions!$B$21),Assumptions!$B$21)</f>
        <v>2</v>
      </c>
      <c r="M39" s="46" t="n">
        <f aca="false">INDEX(Assumptions!$B$32:$B$44,MATCH(AG39,Assumptions!$A$32:$A$44,0))*(1+IF(UPPER(Assumptions!$B$27)="WORST",Assumptions!$B$24,IF(UPPER(Assumptions!$B$27)="BEST",Assumptions!$B$26,Assumptions!$B$25)))</f>
        <v>1430</v>
      </c>
      <c r="N39" s="47" t="n">
        <f aca="false">J39*M39</f>
        <v>8903180</v>
      </c>
      <c r="O39" s="47" t="n">
        <f aca="false">D39</f>
        <v>3195000</v>
      </c>
      <c r="P39" s="47" t="n">
        <f aca="false">J39*Assumptions!$B$4</f>
        <v>4358200</v>
      </c>
      <c r="Q39" s="47" t="n">
        <f aca="false">IF(H39="Yes",Assumptions!$B$6*(D39),(J39)*Assumptions!$B$5)</f>
        <v>159750</v>
      </c>
      <c r="R39" s="47" t="n">
        <f aca="false">AL39*(Assumptions!$B$8*L39*Assumptions!$B$9+Assumptions!$B$10)</f>
        <v>676811.3625</v>
      </c>
      <c r="S39" s="47" t="n">
        <f aca="false">O39*Assumptions!$B$11*L39</f>
        <v>76680</v>
      </c>
      <c r="T39" s="47" t="n">
        <f aca="false">N39*(Assumptions!$B$12+Assumptions!$B$13)</f>
        <v>495016.808</v>
      </c>
      <c r="U39" s="47" t="n">
        <f aca="false">N39*IF(N39&gt;=Assumptions!$B$16,Assumptions!$B$17,IF(N39&gt;=Assumptions!$B$14,Assumptions!$B$15,0))</f>
        <v>356127.2</v>
      </c>
      <c r="V39" s="48" t="n">
        <f aca="false">SUM(O39:U39)</f>
        <v>9317585.3705</v>
      </c>
      <c r="W39" s="48" t="n">
        <f aca="false">N39-V39</f>
        <v>-414405.370499998</v>
      </c>
      <c r="X39" s="49" t="n">
        <f aca="false">IF(V39=0,0,W39/V39)</f>
        <v>-0.0444756183090127</v>
      </c>
      <c r="Y39" s="47" t="n">
        <f aca="false">MAX(0,(N39/(1+Assumptions!$B$23)-(J39*(Assumptions!$B$4+IF(H39="Yes",0,Assumptions!$B$5)))*(1+(Assumptions!$B$7*(Assumptions!$B$8*L39*Assumptions!$B$9+Assumptions!$B$10)))-N39*(Assumptions!$B$12+Assumptions!$B$13+IF(N39&gt;=Assumptions!$B$16,Assumptions!$B$17,IF(N39&gt;=Assumptions!$B$14,Assumptions!$B$15,0))))/((1+IF(H39="Yes",Assumptions!$B$6,0))*(1+(Assumptions!$B$7*(Assumptions!$B$8*L39*Assumptions!$B$9+Assumptions!$B$10)))+Assumptions!$B$11*L39))</f>
        <v>1843795.94530998</v>
      </c>
      <c r="Z39" s="50" t="n">
        <f aca="false">IF(Y39&lt;=0,"no price works",D39/Y39)</f>
        <v>1.73283817448837</v>
      </c>
      <c r="AA39" s="46" t="n">
        <f aca="false">INDEX(Assumptions!$B$32:$B$44,MATCH(AG39,Assumptions!$A$32:$A$44,0))*(1+Assumptions!$B$24)</f>
        <v>1300</v>
      </c>
      <c r="AB39" s="47" t="n">
        <f aca="false">(J39)*AA39-(((D39)+(J39)*Assumptions!$B$4+IF(H39="Yes",Assumptions!$B$6*(D39),(J39)*Assumptions!$B$5))*(1+Assumptions!$B$7*(Assumptions!$B$8*(L39)*Assumptions!$B$9+Assumptions!$B$10))+(D39)*Assumptions!$B$11*(L39)+(J39)*AA39*(Assumptions!$B$12+Assumptions!$B$13+IF((J39)*AA39&gt;=Assumptions!$B$16,Assumptions!$B$17,IF((J39)*AA39&gt;=Assumptions!$B$14,Assumptions!$B$15,0))))</f>
        <v>-1146408.6425</v>
      </c>
      <c r="AC39" s="46" t="n">
        <f aca="false">INDEX(Assumptions!$B$32:$B$44,MATCH(AG39,Assumptions!$A$32:$A$44,0))*(1+Assumptions!$B$25)</f>
        <v>1430</v>
      </c>
      <c r="AD39" s="47" t="n">
        <f aca="false">(J39)*AC39-(((D39)+(J39)*Assumptions!$B$4+IF(H39="Yes",Assumptions!$B$6*(D39),(J39)*Assumptions!$B$5))*(1+Assumptions!$B$7*(Assumptions!$B$8*(L39)*Assumptions!$B$9+Assumptions!$B$10))+(D39)*Assumptions!$B$11*(L39)+(J39)*AC39*(Assumptions!$B$12+Assumptions!$B$13+IF((J39)*AC39&gt;=Assumptions!$B$16,Assumptions!$B$17,IF((J39)*AC39&gt;=Assumptions!$B$14,Assumptions!$B$15,0))))</f>
        <v>-414405.370499998</v>
      </c>
      <c r="AE39" s="46" t="n">
        <f aca="false">INDEX(Assumptions!$B$32:$B$44,MATCH(AG39,Assumptions!$A$32:$A$44,0))*(1+Assumptions!$B$26)</f>
        <v>1560</v>
      </c>
      <c r="AF39" s="47" t="n">
        <f aca="false">(J39)*AE39-(((D39)+(J39)*Assumptions!$B$4+IF(H39="Yes",Assumptions!$B$6*(D39),(J39)*Assumptions!$B$5))*(1+Assumptions!$B$7*(Assumptions!$B$8*(L39)*Assumptions!$B$9+Assumptions!$B$10))+(D39)*Assumptions!$B$11*(L39)+(J39)*AE39*(Assumptions!$B$12+Assumptions!$B$13+IF((J39)*AE39&gt;=Assumptions!$B$16,Assumptions!$B$17,IF((J39)*AE39&gt;=Assumptions!$B$14,Assumptions!$B$15,0))))</f>
        <v>317597.9015</v>
      </c>
      <c r="AG39" s="40" t="s">
        <v>126</v>
      </c>
      <c r="AH39" s="45" t="n">
        <f aca="false">IF(G39&gt;0,G39,ROUND(F39*Assumptions!$B$18,0))</f>
        <v>6226</v>
      </c>
      <c r="AI39" s="45" t="n">
        <f aca="false">IF(H39="Yes",AH39,MAX(AH39,MIN(Assumptions!$B$20,ROUND(E39*Assumptions!$B$19,0))))</f>
        <v>6226</v>
      </c>
      <c r="AJ39" s="47" t="n">
        <f aca="false">(AH39)*AC39-(((D39)+(AH39)*Assumptions!$B$4+IF(H39="Yes",Assumptions!$B$6*(D39),(AH39)*Assumptions!$B$5))*(1+Assumptions!$B$7*(Assumptions!$B$8*(Assumptions!$B$21)*Assumptions!$B$9+Assumptions!$B$10))+(D39)*Assumptions!$B$11*(Assumptions!$B$21)+(AH39)*AC39*(Assumptions!$B$12+Assumptions!$B$13+IF((AH39)*AC39&gt;=Assumptions!$B$16,Assumptions!$B$17,IF((AH39)*AC39&gt;=Assumptions!$B$14,Assumptions!$B$15,0))))</f>
        <v>-414405.370499998</v>
      </c>
      <c r="AK39" s="47" t="n">
        <f aca="false">(AI39)*AC39-(((D39)+(AI39)*Assumptions!$B$4+IF(H39="Yes",Assumptions!$B$6*(D39),(AI39)*Assumptions!$B$5))*(1+Assumptions!$B$7*(Assumptions!$B$8*(IF(AI39&gt;AH39,Assumptions!$B$22,Assumptions!$B$21))*Assumptions!$B$9+Assumptions!$B$10))+(D39)*Assumptions!$B$11*(IF(AI39&gt;AH39,Assumptions!$B$22,Assumptions!$B$21))+(AI39)*AC39*(Assumptions!$B$12+Assumptions!$B$13+IF((AI39)*AC39&gt;=Assumptions!$B$16,Assumptions!$B$17,IF((AI39)*AC39&gt;=Assumptions!$B$14,Assumptions!$B$15,0))))</f>
        <v>-414405.370499998</v>
      </c>
      <c r="AL39" s="47" t="n">
        <f aca="false">Assumptions!$B$7*(O39+P39+Q39)</f>
        <v>5013417.5</v>
      </c>
    </row>
    <row r="40" customFormat="false" ht="15" hidden="false" customHeight="false" outlineLevel="0" collapsed="false">
      <c r="A40" s="40" t="n">
        <v>38</v>
      </c>
      <c r="B40" s="40" t="s">
        <v>148</v>
      </c>
      <c r="C40" s="40" t="s">
        <v>71</v>
      </c>
      <c r="D40" s="41" t="n">
        <v>2195000</v>
      </c>
      <c r="E40" s="42" t="n">
        <v>11523</v>
      </c>
      <c r="F40" s="42" t="n">
        <v>3619</v>
      </c>
      <c r="G40" s="42"/>
      <c r="H40" s="43" t="s">
        <v>67</v>
      </c>
      <c r="I40" s="44" t="s">
        <v>149</v>
      </c>
      <c r="J40" s="45" t="n">
        <f aca="false">IF(AK40&gt;AJ40,AI40,AH40)</f>
        <v>4609</v>
      </c>
      <c r="K40" s="40" t="str">
        <f aca="false">IF(AK40&gt;AJ40,"Zoning estimate",IF(H40="Yes","Approved plans",IF(G40&gt;0,"Listing claim","110% old house")))</f>
        <v>Zoning estimate</v>
      </c>
      <c r="L40" s="45" t="n">
        <f aca="false">IF(AK40&gt;AJ40,IF(AI40&gt;AH40,Assumptions!$B$22,Assumptions!$B$21),Assumptions!$B$21)</f>
        <v>3</v>
      </c>
      <c r="M40" s="46" t="n">
        <f aca="false">INDEX(Assumptions!$B$32:$B$44,MATCH(AG40,Assumptions!$A$32:$A$44,0))*(1+IF(UPPER(Assumptions!$B$27)="WORST",Assumptions!$B$24,IF(UPPER(Assumptions!$B$27)="BEST",Assumptions!$B$26,Assumptions!$B$25)))</f>
        <v>1540</v>
      </c>
      <c r="N40" s="47" t="n">
        <f aca="false">J40*M40</f>
        <v>7097860</v>
      </c>
      <c r="O40" s="47" t="n">
        <f aca="false">D40</f>
        <v>2195000</v>
      </c>
      <c r="P40" s="47" t="n">
        <f aca="false">J40*Assumptions!$B$4</f>
        <v>3226300</v>
      </c>
      <c r="Q40" s="47" t="n">
        <f aca="false">IF(H40="Yes",Assumptions!$B$6*(D40),(J40)*Assumptions!$B$5)</f>
        <v>345675</v>
      </c>
      <c r="R40" s="47" t="n">
        <f aca="false">AL40*(Assumptions!$B$8*L40*Assumptions!$B$9+Assumptions!$B$10)</f>
        <v>730964.08125</v>
      </c>
      <c r="S40" s="47" t="n">
        <f aca="false">O40*Assumptions!$B$11*L40</f>
        <v>79020</v>
      </c>
      <c r="T40" s="47" t="n">
        <f aca="false">N40*(Assumptions!$B$12+Assumptions!$B$13)</f>
        <v>394641.016</v>
      </c>
      <c r="U40" s="47" t="n">
        <f aca="false">N40*IF(N40&gt;=Assumptions!$B$16,Assumptions!$B$17,IF(N40&gt;=Assumptions!$B$14,Assumptions!$B$15,0))</f>
        <v>283914.4</v>
      </c>
      <c r="V40" s="48" t="n">
        <f aca="false">SUM(O40:U40)</f>
        <v>7255514.49725</v>
      </c>
      <c r="W40" s="48" t="n">
        <f aca="false">N40-V40</f>
        <v>-157654.497249999</v>
      </c>
      <c r="X40" s="49" t="n">
        <f aca="false">IF(V40=0,0,W40/V40)</f>
        <v>-0.0217289204383443</v>
      </c>
      <c r="Y40" s="47" t="n">
        <f aca="false">MAX(0,(N40/(1+Assumptions!$B$23)-(J40*(Assumptions!$B$4+IF(H40="Yes",0,Assumptions!$B$5)))*(1+(Assumptions!$B$7*(Assumptions!$B$8*L40*Assumptions!$B$9+Assumptions!$B$10)))-N40*(Assumptions!$B$12+Assumptions!$B$13+IF(N40&gt;=Assumptions!$B$16,Assumptions!$B$17,IF(N40&gt;=Assumptions!$B$14,Assumptions!$B$15,0))))/((1+IF(H40="Yes",Assumptions!$B$6,0))*(1+(Assumptions!$B$7*(Assumptions!$B$8*L40*Assumptions!$B$9+Assumptions!$B$10)))+Assumptions!$B$11*L40))</f>
        <v>1263189.78857282</v>
      </c>
      <c r="Z40" s="50" t="n">
        <f aca="false">IF(Y40&lt;=0,"no price works",D40/Y40)</f>
        <v>1.73766445854503</v>
      </c>
      <c r="AA40" s="46" t="n">
        <f aca="false">INDEX(Assumptions!$B$32:$B$44,MATCH(AG40,Assumptions!$A$32:$A$44,0))*(1+Assumptions!$B$24)</f>
        <v>1400</v>
      </c>
      <c r="AB40" s="47" t="n">
        <f aca="false">(J40)*AA40-(((D40)+(J40)*Assumptions!$B$4+IF(H40="Yes",Assumptions!$B$6*(D40),(J40)*Assumptions!$B$5))*(1+Assumptions!$B$7*(Assumptions!$B$8*(L40)*Assumptions!$B$9+Assumptions!$B$10))+(D40)*Assumptions!$B$11*(L40)+(J40)*AA40*(Assumptions!$B$12+Assumptions!$B$13+IF((J40)*AA40&gt;=Assumptions!$B$16,Assumptions!$B$17,IF((J40)*AA40&gt;=Assumptions!$B$14,Assumptions!$B$15,0))))</f>
        <v>-741227.641249999</v>
      </c>
      <c r="AC40" s="46" t="n">
        <f aca="false">INDEX(Assumptions!$B$32:$B$44,MATCH(AG40,Assumptions!$A$32:$A$44,0))*(1+Assumptions!$B$25)</f>
        <v>1540</v>
      </c>
      <c r="AD40" s="47" t="n">
        <f aca="false">(J40)*AC40-(((D40)+(J40)*Assumptions!$B$4+IF(H40="Yes",Assumptions!$B$6*(D40),(J40)*Assumptions!$B$5))*(1+Assumptions!$B$7*(Assumptions!$B$8*(L40)*Assumptions!$B$9+Assumptions!$B$10))+(D40)*Assumptions!$B$11*(L40)+(J40)*AC40*(Assumptions!$B$12+Assumptions!$B$13+IF((J40)*AC40&gt;=Assumptions!$B$16,Assumptions!$B$17,IF((J40)*AC40&gt;=Assumptions!$B$14,Assumptions!$B$15,0))))</f>
        <v>-157654.497249999</v>
      </c>
      <c r="AE40" s="46" t="n">
        <f aca="false">INDEX(Assumptions!$B$32:$B$44,MATCH(AG40,Assumptions!$A$32:$A$44,0))*(1+Assumptions!$B$26)</f>
        <v>1680</v>
      </c>
      <c r="AF40" s="47" t="n">
        <f aca="false">(J40)*AE40-(((D40)+(J40)*Assumptions!$B$4+IF(H40="Yes",Assumptions!$B$6*(D40),(J40)*Assumptions!$B$5))*(1+Assumptions!$B$7*(Assumptions!$B$8*(L40)*Assumptions!$B$9+Assumptions!$B$10))+(D40)*Assumptions!$B$11*(L40)+(J40)*AE40*(Assumptions!$B$12+Assumptions!$B$13+IF((J40)*AE40&gt;=Assumptions!$B$16,Assumptions!$B$17,IF((J40)*AE40&gt;=Assumptions!$B$14,Assumptions!$B$15,0))))</f>
        <v>425918.64675</v>
      </c>
      <c r="AG40" s="40" t="s">
        <v>73</v>
      </c>
      <c r="AH40" s="45" t="n">
        <f aca="false">IF(G40&gt;0,G40,ROUND(F40*Assumptions!$B$18,0))</f>
        <v>3981</v>
      </c>
      <c r="AI40" s="45" t="n">
        <f aca="false">IF(H40="Yes",AH40,MAX(AH40,MIN(Assumptions!$B$20,ROUND(E40*Assumptions!$B$19,0))))</f>
        <v>4609</v>
      </c>
      <c r="AJ40" s="47" t="n">
        <f aca="false">(AH40)*AC40-(((D40)+(AH40)*Assumptions!$B$4+IF(H40="Yes",Assumptions!$B$6*(D40),(AH40)*Assumptions!$B$5))*(1+Assumptions!$B$7*(Assumptions!$B$8*(Assumptions!$B$21)*Assumptions!$B$9+Assumptions!$B$10))+(D40)*Assumptions!$B$11*(Assumptions!$B$21)+(AH40)*AC40*(Assumptions!$B$12+Assumptions!$B$13+IF((AH40)*AC40&gt;=Assumptions!$B$16,Assumptions!$B$17,IF((AH40)*AC40&gt;=Assumptions!$B$14,Assumptions!$B$15,0))))</f>
        <v>-251657.875249999</v>
      </c>
      <c r="AK40" s="47" t="n">
        <f aca="false">(AI40)*AC40-(((D40)+(AI40)*Assumptions!$B$4+IF(H40="Yes",Assumptions!$B$6*(D40),(AI40)*Assumptions!$B$5))*(1+Assumptions!$B$7*(Assumptions!$B$8*(IF(AI40&gt;AH40,Assumptions!$B$22,Assumptions!$B$21))*Assumptions!$B$9+Assumptions!$B$10))+(D40)*Assumptions!$B$11*(IF(AI40&gt;AH40,Assumptions!$B$22,Assumptions!$B$21))+(AI40)*AC40*(Assumptions!$B$12+Assumptions!$B$13+IF((AI40)*AC40&gt;=Assumptions!$B$16,Assumptions!$B$17,IF((AI40)*AC40&gt;=Assumptions!$B$14,Assumptions!$B$15,0))))</f>
        <v>-157654.497249999</v>
      </c>
      <c r="AL40" s="47" t="n">
        <f aca="false">Assumptions!$B$7*(O40+P40+Q40)</f>
        <v>3748533.75</v>
      </c>
    </row>
    <row r="41" customFormat="false" ht="15" hidden="false" customHeight="false" outlineLevel="0" collapsed="false">
      <c r="A41" s="40" t="n">
        <v>39</v>
      </c>
      <c r="B41" s="40" t="s">
        <v>150</v>
      </c>
      <c r="C41" s="40" t="s">
        <v>71</v>
      </c>
      <c r="D41" s="41" t="n">
        <v>1599000</v>
      </c>
      <c r="E41" s="42" t="n">
        <v>7028</v>
      </c>
      <c r="F41" s="42" t="n">
        <v>1936</v>
      </c>
      <c r="G41" s="42"/>
      <c r="H41" s="43" t="s">
        <v>67</v>
      </c>
      <c r="I41" s="44" t="s">
        <v>151</v>
      </c>
      <c r="J41" s="45" t="n">
        <f aca="false">IF(AK41&gt;AJ41,AI41,AH41)</f>
        <v>2811</v>
      </c>
      <c r="K41" s="40" t="str">
        <f aca="false">IF(AK41&gt;AJ41,"Zoning estimate",IF(H41="Yes","Approved plans",IF(G41&gt;0,"Listing claim","110% old house")))</f>
        <v>Zoning estimate</v>
      </c>
      <c r="L41" s="45" t="n">
        <f aca="false">IF(AK41&gt;AJ41,IF(AI41&gt;AH41,Assumptions!$B$22,Assumptions!$B$21),Assumptions!$B$21)</f>
        <v>3</v>
      </c>
      <c r="M41" s="46" t="n">
        <f aca="false">INDEX(Assumptions!$B$32:$B$44,MATCH(AG41,Assumptions!$A$32:$A$44,0))*(1+IF(UPPER(Assumptions!$B$27)="WORST",Assumptions!$B$24,IF(UPPER(Assumptions!$B$27)="BEST",Assumptions!$B$26,Assumptions!$B$25)))</f>
        <v>1540</v>
      </c>
      <c r="N41" s="47" t="n">
        <f aca="false">J41*M41</f>
        <v>4328940</v>
      </c>
      <c r="O41" s="47" t="n">
        <f aca="false">D41</f>
        <v>1599000</v>
      </c>
      <c r="P41" s="47" t="n">
        <f aca="false">J41*Assumptions!$B$4</f>
        <v>1967700</v>
      </c>
      <c r="Q41" s="47" t="n">
        <f aca="false">IF(H41="Yes",Assumptions!$B$6*(D41),(J41)*Assumptions!$B$5)</f>
        <v>210825</v>
      </c>
      <c r="R41" s="47" t="n">
        <f aca="false">AL41*(Assumptions!$B$8*L41*Assumptions!$B$9+Assumptions!$B$10)</f>
        <v>478801.29375</v>
      </c>
      <c r="S41" s="47" t="n">
        <f aca="false">O41*Assumptions!$B$11*L41</f>
        <v>57564</v>
      </c>
      <c r="T41" s="47" t="n">
        <f aca="false">N41*(Assumptions!$B$12+Assumptions!$B$13)</f>
        <v>240689.064</v>
      </c>
      <c r="U41" s="47" t="n">
        <f aca="false">N41*IF(N41&gt;=Assumptions!$B$16,Assumptions!$B$17,IF(N41&gt;=Assumptions!$B$14,Assumptions!$B$15,0))</f>
        <v>0</v>
      </c>
      <c r="V41" s="48" t="n">
        <f aca="false">SUM(O41:U41)</f>
        <v>4554579.35775</v>
      </c>
      <c r="W41" s="48" t="n">
        <f aca="false">N41-V41</f>
        <v>-225639.35775</v>
      </c>
      <c r="X41" s="49" t="n">
        <f aca="false">IF(V41=0,0,W41/V41)</f>
        <v>-0.0495412067781968</v>
      </c>
      <c r="Y41" s="47" t="n">
        <f aca="false">MAX(0,(N41/(1+Assumptions!$B$23)-(J41*(Assumptions!$B$4+IF(H41="Yes",0,Assumptions!$B$5)))*(1+(Assumptions!$B$7*(Assumptions!$B$8*L41*Assumptions!$B$9+Assumptions!$B$10)))-N41*(Assumptions!$B$12+Assumptions!$B$13+IF(N41&gt;=Assumptions!$B$16,Assumptions!$B$17,IF(N41&gt;=Assumptions!$B$14,Assumptions!$B$15,0))))/((1+IF(H41="Yes",Assumptions!$B$6,0))*(1+(Assumptions!$B$7*(Assumptions!$B$8*L41*Assumptions!$B$9+Assumptions!$B$10)))+Assumptions!$B$11*L41))</f>
        <v>919332.224832436</v>
      </c>
      <c r="Z41" s="50" t="n">
        <f aca="false">IF(Y41&lt;=0,"no price works",D41/Y41)</f>
        <v>1.73930594056077</v>
      </c>
      <c r="AA41" s="46" t="n">
        <f aca="false">INDEX(Assumptions!$B$32:$B$44,MATCH(AG41,Assumptions!$A$32:$A$44,0))*(1+Assumptions!$B$24)</f>
        <v>1400</v>
      </c>
      <c r="AB41" s="47" t="n">
        <f aca="false">(J41)*AA41-(((D41)+(J41)*Assumptions!$B$4+IF(H41="Yes",Assumptions!$B$6*(D41),(J41)*Assumptions!$B$5))*(1+Assumptions!$B$7*(Assumptions!$B$8*(L41)*Assumptions!$B$9+Assumptions!$B$10))+(D41)*Assumptions!$B$11*(L41)+(J41)*AA41*(Assumptions!$B$12+Assumptions!$B$13+IF((J41)*AA41&gt;=Assumptions!$B$16,Assumptions!$B$17,IF((J41)*AA41&gt;=Assumptions!$B$14,Assumptions!$B$15,0))))</f>
        <v>-597298.53375</v>
      </c>
      <c r="AC41" s="46" t="n">
        <f aca="false">INDEX(Assumptions!$B$32:$B$44,MATCH(AG41,Assumptions!$A$32:$A$44,0))*(1+Assumptions!$B$25)</f>
        <v>1540</v>
      </c>
      <c r="AD41" s="47" t="n">
        <f aca="false">(J41)*AC41-(((D41)+(J41)*Assumptions!$B$4+IF(H41="Yes",Assumptions!$B$6*(D41),(J41)*Assumptions!$B$5))*(1+Assumptions!$B$7*(Assumptions!$B$8*(L41)*Assumptions!$B$9+Assumptions!$B$10))+(D41)*Assumptions!$B$11*(L41)+(J41)*AC41*(Assumptions!$B$12+Assumptions!$B$13+IF((J41)*AC41&gt;=Assumptions!$B$16,Assumptions!$B$17,IF((J41)*AC41&gt;=Assumptions!$B$14,Assumptions!$B$15,0))))</f>
        <v>-225639.357749999</v>
      </c>
      <c r="AE41" s="46" t="n">
        <f aca="false">INDEX(Assumptions!$B$32:$B$44,MATCH(AG41,Assumptions!$A$32:$A$44,0))*(1+Assumptions!$B$26)</f>
        <v>1680</v>
      </c>
      <c r="AF41" s="47" t="n">
        <f aca="false">(J41)*AE41-(((D41)+(J41)*Assumptions!$B$4+IF(H41="Yes",Assumptions!$B$6*(D41),(J41)*Assumptions!$B$5))*(1+Assumptions!$B$7*(Assumptions!$B$8*(L41)*Assumptions!$B$9+Assumptions!$B$10))+(D41)*Assumptions!$B$11*(L41)+(J41)*AE41*(Assumptions!$B$12+Assumptions!$B$13+IF((J41)*AE41&gt;=Assumptions!$B$16,Assumptions!$B$17,IF((J41)*AE41&gt;=Assumptions!$B$14,Assumptions!$B$15,0))))</f>
        <v>146019.81825</v>
      </c>
      <c r="AG41" s="40" t="s">
        <v>73</v>
      </c>
      <c r="AH41" s="45" t="n">
        <f aca="false">IF(G41&gt;0,G41,ROUND(F41*Assumptions!$B$18,0))</f>
        <v>2130</v>
      </c>
      <c r="AI41" s="45" t="n">
        <f aca="false">IF(H41="Yes",AH41,MAX(AH41,MIN(Assumptions!$B$20,ROUND(E41*Assumptions!$B$19,0))))</f>
        <v>2811</v>
      </c>
      <c r="AJ41" s="47" t="n">
        <f aca="false">(AH41)*AC41-(((D41)+(AH41)*Assumptions!$B$4+IF(H41="Yes",Assumptions!$B$6*(D41),(AH41)*Assumptions!$B$5))*(1+Assumptions!$B$7*(Assumptions!$B$8*(Assumptions!$B$21)*Assumptions!$B$9+Assumptions!$B$10))+(D41)*Assumptions!$B$11*(Assumptions!$B$21)+(AH41)*AC41*(Assumptions!$B$12+Assumptions!$B$13+IF((AH41)*AC41&gt;=Assumptions!$B$16,Assumptions!$B$17,IF((AH41)*AC41&gt;=Assumptions!$B$14,Assumptions!$B$15,0))))</f>
        <v>-475470.6825</v>
      </c>
      <c r="AK41" s="47" t="n">
        <f aca="false">(AI41)*AC41-(((D41)+(AI41)*Assumptions!$B$4+IF(H41="Yes",Assumptions!$B$6*(D41),(AI41)*Assumptions!$B$5))*(1+Assumptions!$B$7*(Assumptions!$B$8*(IF(AI41&gt;AH41,Assumptions!$B$22,Assumptions!$B$21))*Assumptions!$B$9+Assumptions!$B$10))+(D41)*Assumptions!$B$11*(IF(AI41&gt;AH41,Assumptions!$B$22,Assumptions!$B$21))+(AI41)*AC41*(Assumptions!$B$12+Assumptions!$B$13+IF((AI41)*AC41&gt;=Assumptions!$B$16,Assumptions!$B$17,IF((AI41)*AC41&gt;=Assumptions!$B$14,Assumptions!$B$15,0))))</f>
        <v>-225639.357749999</v>
      </c>
      <c r="AL41" s="47" t="n">
        <f aca="false">Assumptions!$B$7*(O41+P41+Q41)</f>
        <v>2455391.25</v>
      </c>
    </row>
    <row r="42" customFormat="false" ht="23.85" hidden="false" customHeight="false" outlineLevel="0" collapsed="false">
      <c r="A42" s="40" t="n">
        <v>40</v>
      </c>
      <c r="B42" s="40" t="s">
        <v>152</v>
      </c>
      <c r="C42" s="40" t="s">
        <v>71</v>
      </c>
      <c r="D42" s="41" t="n">
        <v>2895000</v>
      </c>
      <c r="E42" s="42" t="n">
        <v>7405</v>
      </c>
      <c r="F42" s="42" t="n">
        <v>5073</v>
      </c>
      <c r="G42" s="42" t="n">
        <v>5180</v>
      </c>
      <c r="H42" s="43" t="s">
        <v>67</v>
      </c>
      <c r="I42" s="44" t="s">
        <v>153</v>
      </c>
      <c r="J42" s="45" t="n">
        <f aca="false">IF(AK42&gt;AJ42,AI42,AH42)</f>
        <v>5180</v>
      </c>
      <c r="K42" s="40" t="str">
        <f aca="false">IF(AK42&gt;AJ42,"Zoning estimate",IF(H42="Yes","Approved plans",IF(G42&gt;0,"Listing claim","110% old house")))</f>
        <v>Listing claim</v>
      </c>
      <c r="L42" s="45" t="n">
        <f aca="false">IF(AK42&gt;AJ42,IF(AI42&gt;AH42,Assumptions!$B$22,Assumptions!$B$21),Assumptions!$B$21)</f>
        <v>2</v>
      </c>
      <c r="M42" s="46" t="n">
        <f aca="false">INDEX(Assumptions!$B$32:$B$44,MATCH(AG42,Assumptions!$A$32:$A$44,0))*(1+IF(UPPER(Assumptions!$B$27)="WORST",Assumptions!$B$24,IF(UPPER(Assumptions!$B$27)="BEST",Assumptions!$B$26,Assumptions!$B$25)))</f>
        <v>1540</v>
      </c>
      <c r="N42" s="47" t="n">
        <f aca="false">J42*M42</f>
        <v>7977200</v>
      </c>
      <c r="O42" s="47" t="n">
        <f aca="false">D42</f>
        <v>2895000</v>
      </c>
      <c r="P42" s="47" t="n">
        <f aca="false">J42*Assumptions!$B$4</f>
        <v>3626000</v>
      </c>
      <c r="Q42" s="47" t="n">
        <f aca="false">IF(H42="Yes",Assumptions!$B$6*(D42),(J42)*Assumptions!$B$5)</f>
        <v>388500</v>
      </c>
      <c r="R42" s="47" t="n">
        <f aca="false">AL42*(Assumptions!$B$8*L42*Assumptions!$B$9+Assumptions!$B$10)</f>
        <v>606308.625</v>
      </c>
      <c r="S42" s="47" t="n">
        <f aca="false">O42*Assumptions!$B$11*L42</f>
        <v>69480</v>
      </c>
      <c r="T42" s="47" t="n">
        <f aca="false">N42*(Assumptions!$B$12+Assumptions!$B$13)</f>
        <v>443532.32</v>
      </c>
      <c r="U42" s="47" t="n">
        <f aca="false">N42*IF(N42&gt;=Assumptions!$B$16,Assumptions!$B$17,IF(N42&gt;=Assumptions!$B$14,Assumptions!$B$15,0))</f>
        <v>319088</v>
      </c>
      <c r="V42" s="48" t="n">
        <f aca="false">SUM(O42:U42)</f>
        <v>8347908.945</v>
      </c>
      <c r="W42" s="48" t="n">
        <f aca="false">N42-V42</f>
        <v>-370708.944999999</v>
      </c>
      <c r="X42" s="49" t="n">
        <f aca="false">IF(V42=0,0,W42/V42)</f>
        <v>-0.0444074015951068</v>
      </c>
      <c r="Y42" s="47" t="n">
        <f aca="false">MAX(0,(N42/(1+Assumptions!$B$23)-(J42*(Assumptions!$B$4+IF(H42="Yes",0,Assumptions!$B$5)))*(1+(Assumptions!$B$7*(Assumptions!$B$8*L42*Assumptions!$B$9+Assumptions!$B$10)))-N42*(Assumptions!$B$12+Assumptions!$B$13+IF(N42&gt;=Assumptions!$B$16,Assumptions!$B$17,IF(N42&gt;=Assumptions!$B$14,Assumptions!$B$15,0))))/((1+IF(H42="Yes",Assumptions!$B$6,0))*(1+(Assumptions!$B$7*(Assumptions!$B$8*L42*Assumptions!$B$9+Assumptions!$B$10)))+Assumptions!$B$11*L42))</f>
        <v>1625637.91965272</v>
      </c>
      <c r="Z42" s="50" t="n">
        <f aca="false">IF(Y42&lt;=0,"no price works",D42/Y42)</f>
        <v>1.78083936465904</v>
      </c>
      <c r="AA42" s="46" t="n">
        <f aca="false">INDEX(Assumptions!$B$32:$B$44,MATCH(AG42,Assumptions!$A$32:$A$44,0))*(1+Assumptions!$B$24)</f>
        <v>1400</v>
      </c>
      <c r="AB42" s="47" t="n">
        <f aca="false">(J42)*AA42-(((D42)+(J42)*Assumptions!$B$4+IF(H42="Yes",Assumptions!$B$6*(D42),(J42)*Assumptions!$B$5))*(1+Assumptions!$B$7*(Assumptions!$B$8*(L42)*Assumptions!$B$9+Assumptions!$B$10))+(D42)*Assumptions!$B$11*(L42)+(J42)*AA42*(Assumptions!$B$12+Assumptions!$B$13+IF((J42)*AA42&gt;=Assumptions!$B$16,Assumptions!$B$17,IF((J42)*AA42&gt;=Assumptions!$B$14,Assumptions!$B$15,0))))</f>
        <v>-1026579.825</v>
      </c>
      <c r="AC42" s="46" t="n">
        <f aca="false">INDEX(Assumptions!$B$32:$B$44,MATCH(AG42,Assumptions!$A$32:$A$44,0))*(1+Assumptions!$B$25)</f>
        <v>1540</v>
      </c>
      <c r="AD42" s="47" t="n">
        <f aca="false">(J42)*AC42-(((D42)+(J42)*Assumptions!$B$4+IF(H42="Yes",Assumptions!$B$6*(D42),(J42)*Assumptions!$B$5))*(1+Assumptions!$B$7*(Assumptions!$B$8*(L42)*Assumptions!$B$9+Assumptions!$B$10))+(D42)*Assumptions!$B$11*(L42)+(J42)*AC42*(Assumptions!$B$12+Assumptions!$B$13+IF((J42)*AC42&gt;=Assumptions!$B$16,Assumptions!$B$17,IF((J42)*AC42&gt;=Assumptions!$B$14,Assumptions!$B$15,0))))</f>
        <v>-370708.944999999</v>
      </c>
      <c r="AE42" s="46" t="n">
        <f aca="false">INDEX(Assumptions!$B$32:$B$44,MATCH(AG42,Assumptions!$A$32:$A$44,0))*(1+Assumptions!$B$26)</f>
        <v>1680</v>
      </c>
      <c r="AF42" s="47" t="n">
        <f aca="false">(J42)*AE42-(((D42)+(J42)*Assumptions!$B$4+IF(H42="Yes",Assumptions!$B$6*(D42),(J42)*Assumptions!$B$5))*(1+Assumptions!$B$7*(Assumptions!$B$8*(L42)*Assumptions!$B$9+Assumptions!$B$10))+(D42)*Assumptions!$B$11*(L42)+(J42)*AE42*(Assumptions!$B$12+Assumptions!$B$13+IF((J42)*AE42&gt;=Assumptions!$B$16,Assumptions!$B$17,IF((J42)*AE42&gt;=Assumptions!$B$14,Assumptions!$B$15,0))))</f>
        <v>285161.935000001</v>
      </c>
      <c r="AG42" s="40" t="s">
        <v>73</v>
      </c>
      <c r="AH42" s="45" t="n">
        <f aca="false">IF(G42&gt;0,G42,ROUND(F42*Assumptions!$B$18,0))</f>
        <v>5180</v>
      </c>
      <c r="AI42" s="45" t="n">
        <f aca="false">IF(H42="Yes",AH42,MAX(AH42,MIN(Assumptions!$B$20,ROUND(E42*Assumptions!$B$19,0))))</f>
        <v>5180</v>
      </c>
      <c r="AJ42" s="47" t="n">
        <f aca="false">(AH42)*AC42-(((D42)+(AH42)*Assumptions!$B$4+IF(H42="Yes",Assumptions!$B$6*(D42),(AH42)*Assumptions!$B$5))*(1+Assumptions!$B$7*(Assumptions!$B$8*(Assumptions!$B$21)*Assumptions!$B$9+Assumptions!$B$10))+(D42)*Assumptions!$B$11*(Assumptions!$B$21)+(AH42)*AC42*(Assumptions!$B$12+Assumptions!$B$13+IF((AH42)*AC42&gt;=Assumptions!$B$16,Assumptions!$B$17,IF((AH42)*AC42&gt;=Assumptions!$B$14,Assumptions!$B$15,0))))</f>
        <v>-370708.944999999</v>
      </c>
      <c r="AK42" s="47" t="n">
        <f aca="false">(AI42)*AC42-(((D42)+(AI42)*Assumptions!$B$4+IF(H42="Yes",Assumptions!$B$6*(D42),(AI42)*Assumptions!$B$5))*(1+Assumptions!$B$7*(Assumptions!$B$8*(IF(AI42&gt;AH42,Assumptions!$B$22,Assumptions!$B$21))*Assumptions!$B$9+Assumptions!$B$10))+(D42)*Assumptions!$B$11*(IF(AI42&gt;AH42,Assumptions!$B$22,Assumptions!$B$21))+(AI42)*AC42*(Assumptions!$B$12+Assumptions!$B$13+IF((AI42)*AC42&gt;=Assumptions!$B$16,Assumptions!$B$17,IF((AI42)*AC42&gt;=Assumptions!$B$14,Assumptions!$B$15,0))))</f>
        <v>-370708.944999999</v>
      </c>
      <c r="AL42" s="47" t="n">
        <f aca="false">Assumptions!$B$7*(O42+P42+Q42)</f>
        <v>4491175</v>
      </c>
    </row>
    <row r="43" customFormat="false" ht="15" hidden="false" customHeight="false" outlineLevel="0" collapsed="false">
      <c r="A43" s="40" t="n">
        <v>41</v>
      </c>
      <c r="B43" s="40" t="s">
        <v>154</v>
      </c>
      <c r="C43" s="40" t="s">
        <v>124</v>
      </c>
      <c r="D43" s="41" t="n">
        <v>2195000</v>
      </c>
      <c r="E43" s="42" t="n">
        <v>15123</v>
      </c>
      <c r="F43" s="42" t="n">
        <v>3395</v>
      </c>
      <c r="G43" s="42"/>
      <c r="H43" s="43" t="s">
        <v>67</v>
      </c>
      <c r="I43" s="44" t="s">
        <v>155</v>
      </c>
      <c r="J43" s="45" t="n">
        <f aca="false">IF(AK43&gt;AJ43,AI43,AH43)</f>
        <v>6049</v>
      </c>
      <c r="K43" s="40" t="str">
        <f aca="false">IF(AK43&gt;AJ43,"Zoning estimate",IF(H43="Yes","Approved plans",IF(G43&gt;0,"Listing claim","110% old house")))</f>
        <v>Zoning estimate</v>
      </c>
      <c r="L43" s="45" t="n">
        <f aca="false">IF(AK43&gt;AJ43,IF(AI43&gt;AH43,Assumptions!$B$22,Assumptions!$B$21),Assumptions!$B$21)</f>
        <v>3</v>
      </c>
      <c r="M43" s="46" t="n">
        <f aca="false">INDEX(Assumptions!$B$32:$B$44,MATCH(AG43,Assumptions!$A$32:$A$44,0))*(1+IF(UPPER(Assumptions!$B$27)="WORST",Assumptions!$B$24,IF(UPPER(Assumptions!$B$27)="BEST",Assumptions!$B$26,Assumptions!$B$25)))</f>
        <v>1430</v>
      </c>
      <c r="N43" s="47" t="n">
        <f aca="false">J43*M43</f>
        <v>8650070</v>
      </c>
      <c r="O43" s="47" t="n">
        <f aca="false">D43</f>
        <v>2195000</v>
      </c>
      <c r="P43" s="47" t="n">
        <f aca="false">J43*Assumptions!$B$4</f>
        <v>4234300</v>
      </c>
      <c r="Q43" s="47" t="n">
        <f aca="false">IF(H43="Yes",Assumptions!$B$6*(D43),(J43)*Assumptions!$B$5)</f>
        <v>453675</v>
      </c>
      <c r="R43" s="47" t="n">
        <f aca="false">AL43*(Assumptions!$B$8*L43*Assumptions!$B$9+Assumptions!$B$10)</f>
        <v>872417.08125</v>
      </c>
      <c r="S43" s="47" t="n">
        <f aca="false">O43*Assumptions!$B$11*L43</f>
        <v>79020</v>
      </c>
      <c r="T43" s="47" t="n">
        <f aca="false">N43*(Assumptions!$B$12+Assumptions!$B$13)</f>
        <v>480943.892</v>
      </c>
      <c r="U43" s="47" t="n">
        <f aca="false">N43*IF(N43&gt;=Assumptions!$B$16,Assumptions!$B$17,IF(N43&gt;=Assumptions!$B$14,Assumptions!$B$15,0))</f>
        <v>346002.8</v>
      </c>
      <c r="V43" s="48" t="n">
        <f aca="false">SUM(O43:U43)</f>
        <v>8661358.77325</v>
      </c>
      <c r="W43" s="48" t="n">
        <f aca="false">N43-V43</f>
        <v>-11288.7732499987</v>
      </c>
      <c r="X43" s="49" t="n">
        <f aca="false">IF(V43=0,0,W43/V43)</f>
        <v>-0.001303348994717</v>
      </c>
      <c r="Y43" s="47" t="n">
        <f aca="false">MAX(0,(N43/(1+Assumptions!$B$23)-(J43*(Assumptions!$B$4+IF(H43="Yes",0,Assumptions!$B$5)))*(1+(Assumptions!$B$7*(Assumptions!$B$8*L43*Assumptions!$B$9+Assumptions!$B$10)))-N43*(Assumptions!$B$12+Assumptions!$B$13+IF(N43&gt;=Assumptions!$B$16,Assumptions!$B$17,IF(N43&gt;=Assumptions!$B$14,Assumptions!$B$15,0))))/((1+IF(H43="Yes",Assumptions!$B$6,0))*(1+(Assumptions!$B$7*(Assumptions!$B$8*L43*Assumptions!$B$9+Assumptions!$B$10)))+Assumptions!$B$11*L43))</f>
        <v>1214945.15308536</v>
      </c>
      <c r="Z43" s="50" t="n">
        <f aca="false">IF(Y43&lt;=0,"no price works",D43/Y43)</f>
        <v>1.80666591773776</v>
      </c>
      <c r="AA43" s="46" t="n">
        <f aca="false">INDEX(Assumptions!$B$32:$B$44,MATCH(AG43,Assumptions!$A$32:$A$44,0))*(1+Assumptions!$B$24)</f>
        <v>1300</v>
      </c>
      <c r="AB43" s="47" t="n">
        <f aca="false">(J43)*AA43-(((D43)+(J43)*Assumptions!$B$4+IF(H43="Yes",Assumptions!$B$6*(D43),(J43)*Assumptions!$B$5))*(1+Assumptions!$B$7*(Assumptions!$B$8*(L43)*Assumptions!$B$9+Assumptions!$B$10))+(D43)*Assumptions!$B$11*(L43)+(J43)*AA43*(Assumptions!$B$12+Assumptions!$B$13+IF((J43)*AA43&gt;=Assumptions!$B$16,Assumptions!$B$17,IF((J43)*AA43&gt;=Assumptions!$B$14,Assumptions!$B$15,0))))</f>
        <v>-722481.80125</v>
      </c>
      <c r="AC43" s="46" t="n">
        <f aca="false">INDEX(Assumptions!$B$32:$B$44,MATCH(AG43,Assumptions!$A$32:$A$44,0))*(1+Assumptions!$B$25)</f>
        <v>1430</v>
      </c>
      <c r="AD43" s="47" t="n">
        <f aca="false">(J43)*AC43-(((D43)+(J43)*Assumptions!$B$4+IF(H43="Yes",Assumptions!$B$6*(D43),(J43)*Assumptions!$B$5))*(1+Assumptions!$B$7*(Assumptions!$B$8*(L43)*Assumptions!$B$9+Assumptions!$B$10))+(D43)*Assumptions!$B$11*(L43)+(J43)*AC43*(Assumptions!$B$12+Assumptions!$B$13+IF((J43)*AC43&gt;=Assumptions!$B$16,Assumptions!$B$17,IF((J43)*AC43&gt;=Assumptions!$B$14,Assumptions!$B$15,0))))</f>
        <v>-11288.7732499987</v>
      </c>
      <c r="AE43" s="46" t="n">
        <f aca="false">INDEX(Assumptions!$B$32:$B$44,MATCH(AG43,Assumptions!$A$32:$A$44,0))*(1+Assumptions!$B$26)</f>
        <v>1560</v>
      </c>
      <c r="AF43" s="47" t="n">
        <f aca="false">(J43)*AE43-(((D43)+(J43)*Assumptions!$B$4+IF(H43="Yes",Assumptions!$B$6*(D43),(J43)*Assumptions!$B$5))*(1+Assumptions!$B$7*(Assumptions!$B$8*(L43)*Assumptions!$B$9+Assumptions!$B$10))+(D43)*Assumptions!$B$11*(L43)+(J43)*AE43*(Assumptions!$B$12+Assumptions!$B$13+IF((J43)*AE43&gt;=Assumptions!$B$16,Assumptions!$B$17,IF((J43)*AE43&gt;=Assumptions!$B$14,Assumptions!$B$15,0))))</f>
        <v>699904.25475</v>
      </c>
      <c r="AG43" s="40" t="s">
        <v>126</v>
      </c>
      <c r="AH43" s="45" t="n">
        <f aca="false">IF(G43&gt;0,G43,ROUND(F43*Assumptions!$B$18,0))</f>
        <v>3735</v>
      </c>
      <c r="AI43" s="45" t="n">
        <f aca="false">IF(H43="Yes",AH43,MAX(AH43,MIN(Assumptions!$B$20,ROUND(E43*Assumptions!$B$19,0))))</f>
        <v>6049</v>
      </c>
      <c r="AJ43" s="47" t="n">
        <f aca="false">(AH43)*AC43-(((D43)+(AH43)*Assumptions!$B$4+IF(H43="Yes",Assumptions!$B$6*(D43),(AH43)*Assumptions!$B$5))*(1+Assumptions!$B$7*(Assumptions!$B$8*(Assumptions!$B$21)*Assumptions!$B$9+Assumptions!$B$10))+(D43)*Assumptions!$B$11*(Assumptions!$B$21)+(AH43)*AC43*(Assumptions!$B$12+Assumptions!$B$13+IF((AH43)*AC43&gt;=Assumptions!$B$16,Assumptions!$B$17,IF((AH43)*AC43&gt;=Assumptions!$B$14,Assumptions!$B$15,0))))</f>
        <v>-544831.973749999</v>
      </c>
      <c r="AK43" s="47" t="n">
        <f aca="false">(AI43)*AC43-(((D43)+(AI43)*Assumptions!$B$4+IF(H43="Yes",Assumptions!$B$6*(D43),(AI43)*Assumptions!$B$5))*(1+Assumptions!$B$7*(Assumptions!$B$8*(IF(AI43&gt;AH43,Assumptions!$B$22,Assumptions!$B$21))*Assumptions!$B$9+Assumptions!$B$10))+(D43)*Assumptions!$B$11*(IF(AI43&gt;AH43,Assumptions!$B$22,Assumptions!$B$21))+(AI43)*AC43*(Assumptions!$B$12+Assumptions!$B$13+IF((AI43)*AC43&gt;=Assumptions!$B$16,Assumptions!$B$17,IF((AI43)*AC43&gt;=Assumptions!$B$14,Assumptions!$B$15,0))))</f>
        <v>-11288.7732499987</v>
      </c>
      <c r="AL43" s="47" t="n">
        <f aca="false">Assumptions!$B$7*(O43+P43+Q43)</f>
        <v>4473933.75</v>
      </c>
    </row>
    <row r="44" customFormat="false" ht="15" hidden="false" customHeight="false" outlineLevel="0" collapsed="false">
      <c r="A44" s="40" t="n">
        <v>42</v>
      </c>
      <c r="B44" s="40" t="s">
        <v>156</v>
      </c>
      <c r="C44" s="40" t="s">
        <v>98</v>
      </c>
      <c r="D44" s="41" t="n">
        <v>1600000</v>
      </c>
      <c r="E44" s="42" t="n">
        <v>6599</v>
      </c>
      <c r="F44" s="42" t="n">
        <v>3085</v>
      </c>
      <c r="G44" s="42"/>
      <c r="H44" s="43" t="s">
        <v>67</v>
      </c>
      <c r="I44" s="44" t="s">
        <v>157</v>
      </c>
      <c r="J44" s="45" t="n">
        <f aca="false">IF(AK44&gt;AJ44,AI44,AH44)</f>
        <v>3394</v>
      </c>
      <c r="K44" s="40" t="str">
        <f aca="false">IF(AK44&gt;AJ44,"Zoning estimate",IF(H44="Yes","Approved plans",IF(G44&gt;0,"Listing claim","110% old house")))</f>
        <v>110% old house</v>
      </c>
      <c r="L44" s="45" t="n">
        <f aca="false">IF(AK44&gt;AJ44,IF(AI44&gt;AH44,Assumptions!$B$22,Assumptions!$B$21),Assumptions!$B$21)</f>
        <v>2</v>
      </c>
      <c r="M44" s="46" t="n">
        <f aca="false">INDEX(Assumptions!$B$32:$B$44,MATCH(AG44,Assumptions!$A$32:$A$44,0))*(1+IF(UPPER(Assumptions!$B$27)="WORST",Assumptions!$B$24,IF(UPPER(Assumptions!$B$27)="BEST",Assumptions!$B$26,Assumptions!$B$25)))</f>
        <v>1375</v>
      </c>
      <c r="N44" s="47" t="n">
        <f aca="false">J44*M44</f>
        <v>4666750</v>
      </c>
      <c r="O44" s="47" t="n">
        <f aca="false">D44</f>
        <v>1600000</v>
      </c>
      <c r="P44" s="47" t="n">
        <f aca="false">J44*Assumptions!$B$4</f>
        <v>2375800</v>
      </c>
      <c r="Q44" s="47" t="n">
        <f aca="false">IF(H44="Yes",Assumptions!$B$6*(D44),(J44)*Assumptions!$B$5)</f>
        <v>254550</v>
      </c>
      <c r="R44" s="47" t="n">
        <f aca="false">AL44*(Assumptions!$B$8*L44*Assumptions!$B$9+Assumptions!$B$10)</f>
        <v>371213.2125</v>
      </c>
      <c r="S44" s="47" t="n">
        <f aca="false">O44*Assumptions!$B$11*L44</f>
        <v>38400</v>
      </c>
      <c r="T44" s="47" t="n">
        <f aca="false">N44*(Assumptions!$B$12+Assumptions!$B$13)</f>
        <v>259471.3</v>
      </c>
      <c r="U44" s="47" t="n">
        <f aca="false">N44*IF(N44&gt;=Assumptions!$B$16,Assumptions!$B$17,IF(N44&gt;=Assumptions!$B$14,Assumptions!$B$15,0))</f>
        <v>0</v>
      </c>
      <c r="V44" s="48" t="n">
        <f aca="false">SUM(O44:U44)</f>
        <v>4899434.5125</v>
      </c>
      <c r="W44" s="48" t="n">
        <f aca="false">N44-V44</f>
        <v>-232684.5125</v>
      </c>
      <c r="X44" s="49" t="n">
        <f aca="false">IF(V44=0,0,W44/V44)</f>
        <v>-0.0474921160608125</v>
      </c>
      <c r="Y44" s="47" t="n">
        <f aca="false">MAX(0,(N44/(1+Assumptions!$B$23)-(J44*(Assumptions!$B$4+IF(H44="Yes",0,Assumptions!$B$5)))*(1+(Assumptions!$B$7*(Assumptions!$B$8*L44*Assumptions!$B$9+Assumptions!$B$10)))-N44*(Assumptions!$B$12+Assumptions!$B$13+IF(N44&gt;=Assumptions!$B$16,Assumptions!$B$17,IF(N44&gt;=Assumptions!$B$14,Assumptions!$B$15,0))))/((1+IF(H44="Yes",Assumptions!$B$6,0))*(1+(Assumptions!$B$7*(Assumptions!$B$8*L44*Assumptions!$B$9+Assumptions!$B$10)))+Assumptions!$B$11*L44))</f>
        <v>843183.23882246</v>
      </c>
      <c r="Z44" s="50" t="n">
        <f aca="false">IF(Y44&lt;=0,"no price works",D44/Y44)</f>
        <v>1.89757092685389</v>
      </c>
      <c r="AA44" s="46" t="n">
        <f aca="false">INDEX(Assumptions!$B$32:$B$44,MATCH(AG44,Assumptions!$A$32:$A$44,0))*(1+Assumptions!$B$24)</f>
        <v>1250</v>
      </c>
      <c r="AB44" s="47" t="n">
        <f aca="false">(J44)*AA44-(((D44)+(J44)*Assumptions!$B$4+IF(H44="Yes",Assumptions!$B$6*(D44),(J44)*Assumptions!$B$5))*(1+Assumptions!$B$7*(Assumptions!$B$8*(L44)*Assumptions!$B$9+Assumptions!$B$10))+(D44)*Assumptions!$B$11*(L44)+(J44)*AA44*(Assumptions!$B$12+Assumptions!$B$13+IF((J44)*AA44&gt;=Assumptions!$B$16,Assumptions!$B$17,IF((J44)*AA44&gt;=Assumptions!$B$14,Assumptions!$B$15,0))))</f>
        <v>-633346.2125</v>
      </c>
      <c r="AC44" s="46" t="n">
        <f aca="false">INDEX(Assumptions!$B$32:$B$44,MATCH(AG44,Assumptions!$A$32:$A$44,0))*(1+Assumptions!$B$25)</f>
        <v>1375</v>
      </c>
      <c r="AD44" s="47" t="n">
        <f aca="false">(J44)*AC44-(((D44)+(J44)*Assumptions!$B$4+IF(H44="Yes",Assumptions!$B$6*(D44),(J44)*Assumptions!$B$5))*(1+Assumptions!$B$7*(Assumptions!$B$8*(L44)*Assumptions!$B$9+Assumptions!$B$10))+(D44)*Assumptions!$B$11*(L44)+(J44)*AC44*(Assumptions!$B$12+Assumptions!$B$13+IF((J44)*AC44&gt;=Assumptions!$B$16,Assumptions!$B$17,IF((J44)*AC44&gt;=Assumptions!$B$14,Assumptions!$B$15,0))))</f>
        <v>-232684.5125</v>
      </c>
      <c r="AE44" s="46" t="n">
        <f aca="false">INDEX(Assumptions!$B$32:$B$44,MATCH(AG44,Assumptions!$A$32:$A$44,0))*(1+Assumptions!$B$26)</f>
        <v>1500</v>
      </c>
      <c r="AF44" s="47" t="n">
        <f aca="false">(J44)*AE44-(((D44)+(J44)*Assumptions!$B$4+IF(H44="Yes",Assumptions!$B$6*(D44),(J44)*Assumptions!$B$5))*(1+Assumptions!$B$7*(Assumptions!$B$8*(L44)*Assumptions!$B$9+Assumptions!$B$10))+(D44)*Assumptions!$B$11*(L44)+(J44)*AE44*(Assumptions!$B$12+Assumptions!$B$13+IF((J44)*AE44&gt;=Assumptions!$B$16,Assumptions!$B$17,IF((J44)*AE44&gt;=Assumptions!$B$14,Assumptions!$B$15,0))))</f>
        <v>167977.1875</v>
      </c>
      <c r="AG44" s="40" t="s">
        <v>100</v>
      </c>
      <c r="AH44" s="45" t="n">
        <f aca="false">IF(G44&gt;0,G44,ROUND(F44*Assumptions!$B$18,0))</f>
        <v>3394</v>
      </c>
      <c r="AI44" s="45" t="n">
        <f aca="false">IF(H44="Yes",AH44,MAX(AH44,MIN(Assumptions!$B$20,ROUND(E44*Assumptions!$B$19,0))))</f>
        <v>3394</v>
      </c>
      <c r="AJ44" s="47" t="n">
        <f aca="false">(AH44)*AC44-(((D44)+(AH44)*Assumptions!$B$4+IF(H44="Yes",Assumptions!$B$6*(D44),(AH44)*Assumptions!$B$5))*(1+Assumptions!$B$7*(Assumptions!$B$8*(Assumptions!$B$21)*Assumptions!$B$9+Assumptions!$B$10))+(D44)*Assumptions!$B$11*(Assumptions!$B$21)+(AH44)*AC44*(Assumptions!$B$12+Assumptions!$B$13+IF((AH44)*AC44&gt;=Assumptions!$B$16,Assumptions!$B$17,IF((AH44)*AC44&gt;=Assumptions!$B$14,Assumptions!$B$15,0))))</f>
        <v>-232684.5125</v>
      </c>
      <c r="AK44" s="47" t="n">
        <f aca="false">(AI44)*AC44-(((D44)+(AI44)*Assumptions!$B$4+IF(H44="Yes",Assumptions!$B$6*(D44),(AI44)*Assumptions!$B$5))*(1+Assumptions!$B$7*(Assumptions!$B$8*(IF(AI44&gt;AH44,Assumptions!$B$22,Assumptions!$B$21))*Assumptions!$B$9+Assumptions!$B$10))+(D44)*Assumptions!$B$11*(IF(AI44&gt;AH44,Assumptions!$B$22,Assumptions!$B$21))+(AI44)*AC44*(Assumptions!$B$12+Assumptions!$B$13+IF((AI44)*AC44&gt;=Assumptions!$B$16,Assumptions!$B$17,IF((AI44)*AC44&gt;=Assumptions!$B$14,Assumptions!$B$15,0))))</f>
        <v>-232684.5125</v>
      </c>
      <c r="AL44" s="47" t="n">
        <f aca="false">Assumptions!$B$7*(O44+P44+Q44)</f>
        <v>2749727.5</v>
      </c>
    </row>
    <row r="45" customFormat="false" ht="15" hidden="false" customHeight="false" outlineLevel="0" collapsed="false">
      <c r="A45" s="40" t="n">
        <v>43</v>
      </c>
      <c r="B45" s="40" t="s">
        <v>158</v>
      </c>
      <c r="C45" s="40" t="s">
        <v>115</v>
      </c>
      <c r="D45" s="41" t="n">
        <v>1725000</v>
      </c>
      <c r="E45" s="42" t="n">
        <v>6902</v>
      </c>
      <c r="F45" s="42" t="n">
        <v>1802</v>
      </c>
      <c r="G45" s="42"/>
      <c r="H45" s="43" t="s">
        <v>67</v>
      </c>
      <c r="I45" s="44" t="s">
        <v>151</v>
      </c>
      <c r="J45" s="45" t="n">
        <f aca="false">IF(AK45&gt;AJ45,AI45,AH45)</f>
        <v>2761</v>
      </c>
      <c r="K45" s="40" t="str">
        <f aca="false">IF(AK45&gt;AJ45,"Zoning estimate",IF(H45="Yes","Approved plans",IF(G45&gt;0,"Listing claim","110% old house")))</f>
        <v>Zoning estimate</v>
      </c>
      <c r="L45" s="45" t="n">
        <f aca="false">IF(AK45&gt;AJ45,IF(AI45&gt;AH45,Assumptions!$B$22,Assumptions!$B$21),Assumptions!$B$21)</f>
        <v>3</v>
      </c>
      <c r="M45" s="46" t="n">
        <f aca="false">INDEX(Assumptions!$B$32:$B$44,MATCH(AG45,Assumptions!$A$32:$A$44,0))*(1+IF(UPPER(Assumptions!$B$27)="WORST",Assumptions!$B$24,IF(UPPER(Assumptions!$B$27)="BEST",Assumptions!$B$26,Assumptions!$B$25)))</f>
        <v>1540</v>
      </c>
      <c r="N45" s="47" t="n">
        <f aca="false">J45*M45</f>
        <v>4251940</v>
      </c>
      <c r="O45" s="47" t="n">
        <f aca="false">D45</f>
        <v>1725000</v>
      </c>
      <c r="P45" s="47" t="n">
        <f aca="false">J45*Assumptions!$B$4</f>
        <v>1932700</v>
      </c>
      <c r="Q45" s="47" t="n">
        <f aca="false">IF(H45="Yes",Assumptions!$B$6*(D45),(J45)*Assumptions!$B$5)</f>
        <v>207075</v>
      </c>
      <c r="R45" s="47" t="n">
        <f aca="false">AL45*(Assumptions!$B$8*L45*Assumptions!$B$9+Assumptions!$B$10)</f>
        <v>489860.23125</v>
      </c>
      <c r="S45" s="47" t="n">
        <f aca="false">O45*Assumptions!$B$11*L45</f>
        <v>62100</v>
      </c>
      <c r="T45" s="47" t="n">
        <f aca="false">N45*(Assumptions!$B$12+Assumptions!$B$13)</f>
        <v>236407.864</v>
      </c>
      <c r="U45" s="47" t="n">
        <f aca="false">N45*IF(N45&gt;=Assumptions!$B$16,Assumptions!$B$17,IF(N45&gt;=Assumptions!$B$14,Assumptions!$B$15,0))</f>
        <v>0</v>
      </c>
      <c r="V45" s="48" t="n">
        <f aca="false">SUM(O45:U45)</f>
        <v>4653143.09525</v>
      </c>
      <c r="W45" s="48" t="n">
        <f aca="false">N45-V45</f>
        <v>-401203.095249999</v>
      </c>
      <c r="X45" s="49" t="n">
        <f aca="false">IF(V45=0,0,W45/V45)</f>
        <v>-0.086221955146738</v>
      </c>
      <c r="Y45" s="47" t="n">
        <f aca="false">MAX(0,(N45/(1+Assumptions!$B$23)-(J45*(Assumptions!$B$4+IF(H45="Yes",0,Assumptions!$B$5)))*(1+(Assumptions!$B$7*(Assumptions!$B$8*L45*Assumptions!$B$9+Assumptions!$B$10)))-N45*(Assumptions!$B$12+Assumptions!$B$13+IF(N45&gt;=Assumptions!$B$16,Assumptions!$B$17,IF(N45&gt;=Assumptions!$B$14,Assumptions!$B$15,0))))/((1+IF(H45="Yes",Assumptions!$B$6,0))*(1+(Assumptions!$B$7*(Assumptions!$B$8*L45*Assumptions!$B$9+Assumptions!$B$10)))+Assumptions!$B$11*L45))</f>
        <v>902979.819552599</v>
      </c>
      <c r="Z45" s="50" t="n">
        <f aca="false">IF(Y45&lt;=0,"no price works",D45/Y45)</f>
        <v>1.91034169606879</v>
      </c>
      <c r="AA45" s="46" t="n">
        <f aca="false">INDEX(Assumptions!$B$32:$B$44,MATCH(AG45,Assumptions!$A$32:$A$44,0))*(1+Assumptions!$B$24)</f>
        <v>1400</v>
      </c>
      <c r="AB45" s="47" t="n">
        <f aca="false">(J45)*AA45-(((D45)+(J45)*Assumptions!$B$4+IF(H45="Yes",Assumptions!$B$6*(D45),(J45)*Assumptions!$B$5))*(1+Assumptions!$B$7*(Assumptions!$B$8*(L45)*Assumptions!$B$9+Assumptions!$B$10))+(D45)*Assumptions!$B$11*(L45)+(J45)*AA45*(Assumptions!$B$12+Assumptions!$B$13+IF((J45)*AA45&gt;=Assumptions!$B$16,Assumptions!$B$17,IF((J45)*AA45&gt;=Assumptions!$B$14,Assumptions!$B$15,0))))</f>
        <v>-766251.47125</v>
      </c>
      <c r="AC45" s="46" t="n">
        <f aca="false">INDEX(Assumptions!$B$32:$B$44,MATCH(AG45,Assumptions!$A$32:$A$44,0))*(1+Assumptions!$B$25)</f>
        <v>1540</v>
      </c>
      <c r="AD45" s="47" t="n">
        <f aca="false">(J45)*AC45-(((D45)+(J45)*Assumptions!$B$4+IF(H45="Yes",Assumptions!$B$6*(D45),(J45)*Assumptions!$B$5))*(1+Assumptions!$B$7*(Assumptions!$B$8*(L45)*Assumptions!$B$9+Assumptions!$B$10))+(D45)*Assumptions!$B$11*(L45)+(J45)*AC45*(Assumptions!$B$12+Assumptions!$B$13+IF((J45)*AC45&gt;=Assumptions!$B$16,Assumptions!$B$17,IF((J45)*AC45&gt;=Assumptions!$B$14,Assumptions!$B$15,0))))</f>
        <v>-401203.095249998</v>
      </c>
      <c r="AE45" s="46" t="n">
        <f aca="false">INDEX(Assumptions!$B$32:$B$44,MATCH(AG45,Assumptions!$A$32:$A$44,0))*(1+Assumptions!$B$26)</f>
        <v>1680</v>
      </c>
      <c r="AF45" s="47" t="n">
        <f aca="false">(J45)*AE45-(((D45)+(J45)*Assumptions!$B$4+IF(H45="Yes",Assumptions!$B$6*(D45),(J45)*Assumptions!$B$5))*(1+Assumptions!$B$7*(Assumptions!$B$8*(L45)*Assumptions!$B$9+Assumptions!$B$10))+(D45)*Assumptions!$B$11*(L45)+(J45)*AE45*(Assumptions!$B$12+Assumptions!$B$13+IF((J45)*AE45&gt;=Assumptions!$B$16,Assumptions!$B$17,IF((J45)*AE45&gt;=Assumptions!$B$14,Assumptions!$B$15,0))))</f>
        <v>-36154.7192499992</v>
      </c>
      <c r="AG45" s="40" t="s">
        <v>117</v>
      </c>
      <c r="AH45" s="45" t="n">
        <f aca="false">IF(G45&gt;0,G45,ROUND(F45*Assumptions!$B$18,0))</f>
        <v>1982</v>
      </c>
      <c r="AI45" s="45" t="n">
        <f aca="false">IF(H45="Yes",AH45,MAX(AH45,MIN(Assumptions!$B$20,ROUND(E45*Assumptions!$B$19,0))))</f>
        <v>2761</v>
      </c>
      <c r="AJ45" s="47" t="n">
        <f aca="false">(AH45)*AC45-(((D45)+(AH45)*Assumptions!$B$4+IF(H45="Yes",Assumptions!$B$6*(D45),(AH45)*Assumptions!$B$5))*(1+Assumptions!$B$7*(Assumptions!$B$8*(Assumptions!$B$21)*Assumptions!$B$9+Assumptions!$B$10))+(D45)*Assumptions!$B$11*(Assumptions!$B$21)+(AH45)*AC45*(Assumptions!$B$12+Assumptions!$B$13+IF((AH45)*AC45&gt;=Assumptions!$B$16,Assumptions!$B$17,IF((AH45)*AC45&gt;=Assumptions!$B$14,Assumptions!$B$15,0))))</f>
        <v>-706033.9055</v>
      </c>
      <c r="AK45" s="47" t="n">
        <f aca="false">(AI45)*AC45-(((D45)+(AI45)*Assumptions!$B$4+IF(H45="Yes",Assumptions!$B$6*(D45),(AI45)*Assumptions!$B$5))*(1+Assumptions!$B$7*(Assumptions!$B$8*(IF(AI45&gt;AH45,Assumptions!$B$22,Assumptions!$B$21))*Assumptions!$B$9+Assumptions!$B$10))+(D45)*Assumptions!$B$11*(IF(AI45&gt;AH45,Assumptions!$B$22,Assumptions!$B$21))+(AI45)*AC45*(Assumptions!$B$12+Assumptions!$B$13+IF((AI45)*AC45&gt;=Assumptions!$B$16,Assumptions!$B$17,IF((AI45)*AC45&gt;=Assumptions!$B$14,Assumptions!$B$15,0))))</f>
        <v>-401203.095249998</v>
      </c>
      <c r="AL45" s="47" t="n">
        <f aca="false">Assumptions!$B$7*(O45+P45+Q45)</f>
        <v>2512103.75</v>
      </c>
    </row>
    <row r="46" customFormat="false" ht="23.85" hidden="false" customHeight="false" outlineLevel="0" collapsed="false">
      <c r="A46" s="40" t="n">
        <v>44</v>
      </c>
      <c r="B46" s="40" t="s">
        <v>159</v>
      </c>
      <c r="C46" s="40" t="s">
        <v>98</v>
      </c>
      <c r="D46" s="41" t="n">
        <v>2790000</v>
      </c>
      <c r="E46" s="42" t="n">
        <v>14461</v>
      </c>
      <c r="F46" s="42" t="n">
        <v>1990</v>
      </c>
      <c r="G46" s="42" t="n">
        <v>7132</v>
      </c>
      <c r="H46" s="43" t="s">
        <v>67</v>
      </c>
      <c r="I46" s="44" t="s">
        <v>160</v>
      </c>
      <c r="J46" s="45" t="n">
        <f aca="false">IF(AK46&gt;AJ46,AI46,AH46)</f>
        <v>7132</v>
      </c>
      <c r="K46" s="40" t="str">
        <f aca="false">IF(AK46&gt;AJ46,"Zoning estimate",IF(H46="Yes","Approved plans",IF(G46&gt;0,"Listing claim","110% old house")))</f>
        <v>Listing claim</v>
      </c>
      <c r="L46" s="45" t="n">
        <f aca="false">IF(AK46&gt;AJ46,IF(AI46&gt;AH46,Assumptions!$B$22,Assumptions!$B$21),Assumptions!$B$21)</f>
        <v>2</v>
      </c>
      <c r="M46" s="46" t="n">
        <f aca="false">INDEX(Assumptions!$B$32:$B$44,MATCH(AG46,Assumptions!$A$32:$A$44,0))*(1+IF(UPPER(Assumptions!$B$27)="WORST",Assumptions!$B$24,IF(UPPER(Assumptions!$B$27)="BEST",Assumptions!$B$26,Assumptions!$B$25)))</f>
        <v>1375</v>
      </c>
      <c r="N46" s="47" t="n">
        <f aca="false">J46*M46</f>
        <v>9806500</v>
      </c>
      <c r="O46" s="47" t="n">
        <f aca="false">D46</f>
        <v>2790000</v>
      </c>
      <c r="P46" s="47" t="n">
        <f aca="false">J46*Assumptions!$B$4</f>
        <v>4992400</v>
      </c>
      <c r="Q46" s="47" t="n">
        <f aca="false">IF(H46="Yes",Assumptions!$B$6*(D46),(J46)*Assumptions!$B$5)</f>
        <v>534900</v>
      </c>
      <c r="R46" s="47" t="n">
        <f aca="false">AL46*(Assumptions!$B$8*L46*Assumptions!$B$9+Assumptions!$B$10)</f>
        <v>729843.075</v>
      </c>
      <c r="S46" s="47" t="n">
        <f aca="false">O46*Assumptions!$B$11*L46</f>
        <v>66960</v>
      </c>
      <c r="T46" s="47" t="n">
        <f aca="false">N46*(Assumptions!$B$12+Assumptions!$B$13)</f>
        <v>545241.4</v>
      </c>
      <c r="U46" s="47" t="n">
        <f aca="false">N46*IF(N46&gt;=Assumptions!$B$16,Assumptions!$B$17,IF(N46&gt;=Assumptions!$B$14,Assumptions!$B$15,0))</f>
        <v>392260</v>
      </c>
      <c r="V46" s="48" t="n">
        <f aca="false">SUM(O46:U46)</f>
        <v>10051604.475</v>
      </c>
      <c r="W46" s="48" t="n">
        <f aca="false">N46-V46</f>
        <v>-245104.475</v>
      </c>
      <c r="X46" s="49" t="n">
        <f aca="false">IF(V46=0,0,W46/V46)</f>
        <v>-0.0243846119900176</v>
      </c>
      <c r="Y46" s="47" t="n">
        <f aca="false">MAX(0,(N46/(1+Assumptions!$B$23)-(J46*(Assumptions!$B$4+IF(H46="Yes",0,Assumptions!$B$5)))*(1+(Assumptions!$B$7*(Assumptions!$B$8*L46*Assumptions!$B$9+Assumptions!$B$10)))-N46*(Assumptions!$B$12+Assumptions!$B$13+IF(N46&gt;=Assumptions!$B$16,Assumptions!$B$17,IF(N46&gt;=Assumptions!$B$14,Assumptions!$B$15,0))))/((1+IF(H46="Yes",Assumptions!$B$6,0))*(1+(Assumptions!$B$7*(Assumptions!$B$8*L46*Assumptions!$B$9+Assumptions!$B$10)))+Assumptions!$B$11*L46))</f>
        <v>1418996.47344082</v>
      </c>
      <c r="Z46" s="50" t="n">
        <f aca="false">IF(Y46&lt;=0,"no price works",D46/Y46)</f>
        <v>1.96617824795205</v>
      </c>
      <c r="AA46" s="46" t="n">
        <f aca="false">INDEX(Assumptions!$B$32:$B$44,MATCH(AG46,Assumptions!$A$32:$A$44,0))*(1+Assumptions!$B$24)</f>
        <v>1250</v>
      </c>
      <c r="AB46" s="47" t="n">
        <f aca="false">(J46)*AA46-(((D46)+(J46)*Assumptions!$B$4+IF(H46="Yes",Assumptions!$B$6*(D46),(J46)*Assumptions!$B$5))*(1+Assumptions!$B$7*(Assumptions!$B$8*(L46)*Assumptions!$B$9+Assumptions!$B$10))+(D46)*Assumptions!$B$11*(L46)+(J46)*AA46*(Assumptions!$B$12+Assumptions!$B$13+IF((J46)*AA46&gt;=Assumptions!$B$16,Assumptions!$B$17,IF((J46)*AA46&gt;=Assumptions!$B$14,Assumptions!$B$15,0))))</f>
        <v>-1051377.075</v>
      </c>
      <c r="AC46" s="46" t="n">
        <f aca="false">INDEX(Assumptions!$B$32:$B$44,MATCH(AG46,Assumptions!$A$32:$A$44,0))*(1+Assumptions!$B$25)</f>
        <v>1375</v>
      </c>
      <c r="AD46" s="47" t="n">
        <f aca="false">(J46)*AC46-(((D46)+(J46)*Assumptions!$B$4+IF(H46="Yes",Assumptions!$B$6*(D46),(J46)*Assumptions!$B$5))*(1+Assumptions!$B$7*(Assumptions!$B$8*(L46)*Assumptions!$B$9+Assumptions!$B$10))+(D46)*Assumptions!$B$11*(L46)+(J46)*AC46*(Assumptions!$B$12+Assumptions!$B$13+IF((J46)*AC46&gt;=Assumptions!$B$16,Assumptions!$B$17,IF((J46)*AC46&gt;=Assumptions!$B$14,Assumptions!$B$15,0))))</f>
        <v>-245104.475</v>
      </c>
      <c r="AE46" s="46" t="n">
        <f aca="false">INDEX(Assumptions!$B$32:$B$44,MATCH(AG46,Assumptions!$A$32:$A$44,0))*(1+Assumptions!$B$26)</f>
        <v>1500</v>
      </c>
      <c r="AF46" s="47" t="n">
        <f aca="false">(J46)*AE46-(((D46)+(J46)*Assumptions!$B$4+IF(H46="Yes",Assumptions!$B$6*(D46),(J46)*Assumptions!$B$5))*(1+Assumptions!$B$7*(Assumptions!$B$8*(L46)*Assumptions!$B$9+Assumptions!$B$10))+(D46)*Assumptions!$B$11*(L46)+(J46)*AE46*(Assumptions!$B$12+Assumptions!$B$13+IF((J46)*AE46&gt;=Assumptions!$B$16,Assumptions!$B$17,IF((J46)*AE46&gt;=Assumptions!$B$14,Assumptions!$B$15,0))))</f>
        <v>561168.125</v>
      </c>
      <c r="AG46" s="40" t="s">
        <v>100</v>
      </c>
      <c r="AH46" s="45" t="n">
        <f aca="false">IF(G46&gt;0,G46,ROUND(F46*Assumptions!$B$18,0))</f>
        <v>7132</v>
      </c>
      <c r="AI46" s="45" t="n">
        <f aca="false">IF(H46="Yes",AH46,MAX(AH46,MIN(Assumptions!$B$20,ROUND(E46*Assumptions!$B$19,0))))</f>
        <v>7132</v>
      </c>
      <c r="AJ46" s="47" t="n">
        <f aca="false">(AH46)*AC46-(((D46)+(AH46)*Assumptions!$B$4+IF(H46="Yes",Assumptions!$B$6*(D46),(AH46)*Assumptions!$B$5))*(1+Assumptions!$B$7*(Assumptions!$B$8*(Assumptions!$B$21)*Assumptions!$B$9+Assumptions!$B$10))+(D46)*Assumptions!$B$11*(Assumptions!$B$21)+(AH46)*AC46*(Assumptions!$B$12+Assumptions!$B$13+IF((AH46)*AC46&gt;=Assumptions!$B$16,Assumptions!$B$17,IF((AH46)*AC46&gt;=Assumptions!$B$14,Assumptions!$B$15,0))))</f>
        <v>-245104.475</v>
      </c>
      <c r="AK46" s="47" t="n">
        <f aca="false">(AI46)*AC46-(((D46)+(AI46)*Assumptions!$B$4+IF(H46="Yes",Assumptions!$B$6*(D46),(AI46)*Assumptions!$B$5))*(1+Assumptions!$B$7*(Assumptions!$B$8*(IF(AI46&gt;AH46,Assumptions!$B$22,Assumptions!$B$21))*Assumptions!$B$9+Assumptions!$B$10))+(D46)*Assumptions!$B$11*(IF(AI46&gt;AH46,Assumptions!$B$22,Assumptions!$B$21))+(AI46)*AC46*(Assumptions!$B$12+Assumptions!$B$13+IF((AI46)*AC46&gt;=Assumptions!$B$16,Assumptions!$B$17,IF((AI46)*AC46&gt;=Assumptions!$B$14,Assumptions!$B$15,0))))</f>
        <v>-245104.475</v>
      </c>
      <c r="AL46" s="47" t="n">
        <f aca="false">Assumptions!$B$7*(O46+P46+Q46)</f>
        <v>5406245</v>
      </c>
    </row>
    <row r="47" customFormat="false" ht="15" hidden="false" customHeight="false" outlineLevel="0" collapsed="false">
      <c r="A47" s="40" t="n">
        <v>45</v>
      </c>
      <c r="B47" s="40" t="s">
        <v>161</v>
      </c>
      <c r="C47" s="40" t="s">
        <v>124</v>
      </c>
      <c r="D47" s="41" t="n">
        <v>2750000</v>
      </c>
      <c r="E47" s="42" t="n">
        <v>9327</v>
      </c>
      <c r="F47" s="42" t="n">
        <v>5328</v>
      </c>
      <c r="G47" s="42"/>
      <c r="H47" s="43" t="s">
        <v>67</v>
      </c>
      <c r="I47" s="44"/>
      <c r="J47" s="45" t="n">
        <f aca="false">IF(AK47&gt;AJ47,AI47,AH47)</f>
        <v>5861</v>
      </c>
      <c r="K47" s="40" t="str">
        <f aca="false">IF(AK47&gt;AJ47,"Zoning estimate",IF(H47="Yes","Approved plans",IF(G47&gt;0,"Listing claim","110% old house")))</f>
        <v>110% old house</v>
      </c>
      <c r="L47" s="45" t="n">
        <f aca="false">IF(AK47&gt;AJ47,IF(AI47&gt;AH47,Assumptions!$B$22,Assumptions!$B$21),Assumptions!$B$21)</f>
        <v>2</v>
      </c>
      <c r="M47" s="46" t="n">
        <f aca="false">INDEX(Assumptions!$B$32:$B$44,MATCH(AG47,Assumptions!$A$32:$A$44,0))*(1+IF(UPPER(Assumptions!$B$27)="WORST",Assumptions!$B$24,IF(UPPER(Assumptions!$B$27)="BEST",Assumptions!$B$26,Assumptions!$B$25)))</f>
        <v>1430</v>
      </c>
      <c r="N47" s="47" t="n">
        <f aca="false">J47*M47</f>
        <v>8381230</v>
      </c>
      <c r="O47" s="47" t="n">
        <f aca="false">D47</f>
        <v>2750000</v>
      </c>
      <c r="P47" s="47" t="n">
        <f aca="false">J47*Assumptions!$B$4</f>
        <v>4102700</v>
      </c>
      <c r="Q47" s="47" t="n">
        <f aca="false">IF(H47="Yes",Assumptions!$B$6*(D47),(J47)*Assumptions!$B$5)</f>
        <v>439575</v>
      </c>
      <c r="R47" s="47" t="n">
        <f aca="false">AL47*(Assumptions!$B$8*L47*Assumptions!$B$9+Assumptions!$B$10)</f>
        <v>639897.13125</v>
      </c>
      <c r="S47" s="47" t="n">
        <f aca="false">O47*Assumptions!$B$11*L47</f>
        <v>66000</v>
      </c>
      <c r="T47" s="47" t="n">
        <f aca="false">N47*(Assumptions!$B$12+Assumptions!$B$13)</f>
        <v>465996.388</v>
      </c>
      <c r="U47" s="47" t="n">
        <f aca="false">N47*IF(N47&gt;=Assumptions!$B$16,Assumptions!$B$17,IF(N47&gt;=Assumptions!$B$14,Assumptions!$B$15,0))</f>
        <v>335249.2</v>
      </c>
      <c r="V47" s="48" t="n">
        <f aca="false">SUM(O47:U47)</f>
        <v>8799417.71925</v>
      </c>
      <c r="W47" s="48" t="n">
        <f aca="false">N47-V47</f>
        <v>-418187.719249998</v>
      </c>
      <c r="X47" s="49" t="n">
        <f aca="false">IF(V47=0,0,W47/V47)</f>
        <v>-0.0475244763451964</v>
      </c>
      <c r="Y47" s="47" t="n">
        <f aca="false">MAX(0,(N47/(1+Assumptions!$B$23)-(J47*(Assumptions!$B$4+IF(H47="Yes",0,Assumptions!$B$5)))*(1+(Assumptions!$B$7*(Assumptions!$B$8*L47*Assumptions!$B$9+Assumptions!$B$10)))-N47*(Assumptions!$B$12+Assumptions!$B$13+IF(N47&gt;=Assumptions!$B$16,Assumptions!$B$17,IF(N47&gt;=Assumptions!$B$14,Assumptions!$B$15,0))))/((1+IF(H47="Yes",Assumptions!$B$6,0))*(1+(Assumptions!$B$7*(Assumptions!$B$8*L47*Assumptions!$B$9+Assumptions!$B$10)))+Assumptions!$B$11*L47))</f>
        <v>1390529.22663056</v>
      </c>
      <c r="Z47" s="50" t="n">
        <f aca="false">IF(Y47&lt;=0,"no price works",D47/Y47)</f>
        <v>1.97766429308618</v>
      </c>
      <c r="AA47" s="46" t="n">
        <f aca="false">INDEX(Assumptions!$B$32:$B$44,MATCH(AG47,Assumptions!$A$32:$A$44,0))*(1+Assumptions!$B$24)</f>
        <v>1300</v>
      </c>
      <c r="AB47" s="47" t="n">
        <f aca="false">(J47)*AA47-(((D47)+(J47)*Assumptions!$B$4+IF(H47="Yes",Assumptions!$B$6*(D47),(J47)*Assumptions!$B$5))*(1+Assumptions!$B$7*(Assumptions!$B$8*(L47)*Assumptions!$B$9+Assumptions!$B$10))+(D47)*Assumptions!$B$11*(L47)+(J47)*AA47*(Assumptions!$B$12+Assumptions!$B$13+IF((J47)*AA47&gt;=Assumptions!$B$16,Assumptions!$B$17,IF((J47)*AA47&gt;=Assumptions!$B$14,Assumptions!$B$15,0))))</f>
        <v>-1107277.21125</v>
      </c>
      <c r="AC47" s="46" t="n">
        <f aca="false">INDEX(Assumptions!$B$32:$B$44,MATCH(AG47,Assumptions!$A$32:$A$44,0))*(1+Assumptions!$B$25)</f>
        <v>1430</v>
      </c>
      <c r="AD47" s="47" t="n">
        <f aca="false">(J47)*AC47-(((D47)+(J47)*Assumptions!$B$4+IF(H47="Yes",Assumptions!$B$6*(D47),(J47)*Assumptions!$B$5))*(1+Assumptions!$B$7*(Assumptions!$B$8*(L47)*Assumptions!$B$9+Assumptions!$B$10))+(D47)*Assumptions!$B$11*(L47)+(J47)*AC47*(Assumptions!$B$12+Assumptions!$B$13+IF((J47)*AC47&gt;=Assumptions!$B$16,Assumptions!$B$17,IF((J47)*AC47&gt;=Assumptions!$B$14,Assumptions!$B$15,0))))</f>
        <v>-418187.719249998</v>
      </c>
      <c r="AE47" s="46" t="n">
        <f aca="false">INDEX(Assumptions!$B$32:$B$44,MATCH(AG47,Assumptions!$A$32:$A$44,0))*(1+Assumptions!$B$26)</f>
        <v>1560</v>
      </c>
      <c r="AF47" s="47" t="n">
        <f aca="false">(J47)*AE47-(((D47)+(J47)*Assumptions!$B$4+IF(H47="Yes",Assumptions!$B$6*(D47),(J47)*Assumptions!$B$5))*(1+Assumptions!$B$7*(Assumptions!$B$8*(L47)*Assumptions!$B$9+Assumptions!$B$10))+(D47)*Assumptions!$B$11*(L47)+(J47)*AE47*(Assumptions!$B$12+Assumptions!$B$13+IF((J47)*AE47&gt;=Assumptions!$B$16,Assumptions!$B$17,IF((J47)*AE47&gt;=Assumptions!$B$14,Assumptions!$B$15,0))))</f>
        <v>270901.77275</v>
      </c>
      <c r="AG47" s="40" t="s">
        <v>126</v>
      </c>
      <c r="AH47" s="45" t="n">
        <f aca="false">IF(G47&gt;0,G47,ROUND(F47*Assumptions!$B$18,0))</f>
        <v>5861</v>
      </c>
      <c r="AI47" s="45" t="n">
        <f aca="false">IF(H47="Yes",AH47,MAX(AH47,MIN(Assumptions!$B$20,ROUND(E47*Assumptions!$B$19,0))))</f>
        <v>5861</v>
      </c>
      <c r="AJ47" s="47" t="n">
        <f aca="false">(AH47)*AC47-(((D47)+(AH47)*Assumptions!$B$4+IF(H47="Yes",Assumptions!$B$6*(D47),(AH47)*Assumptions!$B$5))*(1+Assumptions!$B$7*(Assumptions!$B$8*(Assumptions!$B$21)*Assumptions!$B$9+Assumptions!$B$10))+(D47)*Assumptions!$B$11*(Assumptions!$B$21)+(AH47)*AC47*(Assumptions!$B$12+Assumptions!$B$13+IF((AH47)*AC47&gt;=Assumptions!$B$16,Assumptions!$B$17,IF((AH47)*AC47&gt;=Assumptions!$B$14,Assumptions!$B$15,0))))</f>
        <v>-418187.719249998</v>
      </c>
      <c r="AK47" s="47" t="n">
        <f aca="false">(AI47)*AC47-(((D47)+(AI47)*Assumptions!$B$4+IF(H47="Yes",Assumptions!$B$6*(D47),(AI47)*Assumptions!$B$5))*(1+Assumptions!$B$7*(Assumptions!$B$8*(IF(AI47&gt;AH47,Assumptions!$B$22,Assumptions!$B$21))*Assumptions!$B$9+Assumptions!$B$10))+(D47)*Assumptions!$B$11*(IF(AI47&gt;AH47,Assumptions!$B$22,Assumptions!$B$21))+(AI47)*AC47*(Assumptions!$B$12+Assumptions!$B$13+IF((AI47)*AC47&gt;=Assumptions!$B$16,Assumptions!$B$17,IF((AI47)*AC47&gt;=Assumptions!$B$14,Assumptions!$B$15,0))))</f>
        <v>-418187.719249998</v>
      </c>
      <c r="AL47" s="47" t="n">
        <f aca="false">Assumptions!$B$7*(O47+P47+Q47)</f>
        <v>4739978.75</v>
      </c>
    </row>
    <row r="48" customFormat="false" ht="15" hidden="false" customHeight="false" outlineLevel="0" collapsed="false">
      <c r="A48" s="40" t="n">
        <v>46</v>
      </c>
      <c r="B48" s="40" t="s">
        <v>162</v>
      </c>
      <c r="C48" s="40" t="s">
        <v>71</v>
      </c>
      <c r="D48" s="41" t="n">
        <v>1699999</v>
      </c>
      <c r="E48" s="42" t="n">
        <v>6507</v>
      </c>
      <c r="F48" s="42" t="n">
        <v>1907</v>
      </c>
      <c r="G48" s="42"/>
      <c r="H48" s="43" t="s">
        <v>67</v>
      </c>
      <c r="I48" s="44"/>
      <c r="J48" s="45" t="n">
        <f aca="false">IF(AK48&gt;AJ48,AI48,AH48)</f>
        <v>2603</v>
      </c>
      <c r="K48" s="40" t="str">
        <f aca="false">IF(AK48&gt;AJ48,"Zoning estimate",IF(H48="Yes","Approved plans",IF(G48&gt;0,"Listing claim","110% old house")))</f>
        <v>Zoning estimate</v>
      </c>
      <c r="L48" s="45" t="n">
        <f aca="false">IF(AK48&gt;AJ48,IF(AI48&gt;AH48,Assumptions!$B$22,Assumptions!$B$21),Assumptions!$B$21)</f>
        <v>3</v>
      </c>
      <c r="M48" s="46" t="n">
        <f aca="false">INDEX(Assumptions!$B$32:$B$44,MATCH(AG48,Assumptions!$A$32:$A$44,0))*(1+IF(UPPER(Assumptions!$B$27)="WORST",Assumptions!$B$24,IF(UPPER(Assumptions!$B$27)="BEST",Assumptions!$B$26,Assumptions!$B$25)))</f>
        <v>1540</v>
      </c>
      <c r="N48" s="47" t="n">
        <f aca="false">J48*M48</f>
        <v>4008620</v>
      </c>
      <c r="O48" s="47" t="n">
        <f aca="false">D48</f>
        <v>1699999</v>
      </c>
      <c r="P48" s="47" t="n">
        <f aca="false">J48*Assumptions!$B$4</f>
        <v>1822100</v>
      </c>
      <c r="Q48" s="47" t="n">
        <f aca="false">IF(H48="Yes",Assumptions!$B$6*(D48),(J48)*Assumptions!$B$5)</f>
        <v>195225</v>
      </c>
      <c r="R48" s="47" t="n">
        <f aca="false">AL48*(Assumptions!$B$8*L48*Assumptions!$B$9+Assumptions!$B$10)</f>
        <v>471170.817</v>
      </c>
      <c r="S48" s="47" t="n">
        <f aca="false">O48*Assumptions!$B$11*L48</f>
        <v>61199.964</v>
      </c>
      <c r="T48" s="47" t="n">
        <f aca="false">N48*(Assumptions!$B$12+Assumptions!$B$13)</f>
        <v>222879.272</v>
      </c>
      <c r="U48" s="47" t="n">
        <f aca="false">N48*IF(N48&gt;=Assumptions!$B$16,Assumptions!$B$17,IF(N48&gt;=Assumptions!$B$14,Assumptions!$B$15,0))</f>
        <v>0</v>
      </c>
      <c r="V48" s="48" t="n">
        <f aca="false">SUM(O48:U48)</f>
        <v>4472574.053</v>
      </c>
      <c r="W48" s="48" t="n">
        <f aca="false">N48-V48</f>
        <v>-463954.053</v>
      </c>
      <c r="X48" s="49" t="n">
        <f aca="false">IF(V48=0,0,W48/V48)</f>
        <v>-0.103733118222783</v>
      </c>
      <c r="Y48" s="47" t="n">
        <f aca="false">MAX(0,(N48/(1+Assumptions!$B$23)-(J48*(Assumptions!$B$4+IF(H48="Yes",0,Assumptions!$B$5)))*(1+(Assumptions!$B$7*(Assumptions!$B$8*L48*Assumptions!$B$9+Assumptions!$B$10)))-N48*(Assumptions!$B$12+Assumptions!$B$13+IF(N48&gt;=Assumptions!$B$16,Assumptions!$B$17,IF(N48&gt;=Assumptions!$B$14,Assumptions!$B$15,0))))/((1+IF(H48="Yes",Assumptions!$B$6,0))*(1+(Assumptions!$B$7*(Assumptions!$B$8*L48*Assumptions!$B$9+Assumptions!$B$10)))+Assumptions!$B$11*L48))</f>
        <v>851306.218868314</v>
      </c>
      <c r="Z48" s="50" t="n">
        <f aca="false">IF(Y48&lt;=0,"no price works",D48/Y48)</f>
        <v>1.99693008499327</v>
      </c>
      <c r="AA48" s="46" t="n">
        <f aca="false">INDEX(Assumptions!$B$32:$B$44,MATCH(AG48,Assumptions!$A$32:$A$44,0))*(1+Assumptions!$B$24)</f>
        <v>1400</v>
      </c>
      <c r="AB48" s="47" t="n">
        <f aca="false">(J48)*AA48-(((D48)+(J48)*Assumptions!$B$4+IF(H48="Yes",Assumptions!$B$6*(D48),(J48)*Assumptions!$B$5))*(1+Assumptions!$B$7*(Assumptions!$B$8*(L48)*Assumptions!$B$9+Assumptions!$B$10))+(D48)*Assumptions!$B$11*(L48)+(J48)*AA48*(Assumptions!$B$12+Assumptions!$B$13+IF((J48)*AA48&gt;=Assumptions!$B$16,Assumptions!$B$17,IF((J48)*AA48&gt;=Assumptions!$B$14,Assumptions!$B$15,0))))</f>
        <v>-808112.300999999</v>
      </c>
      <c r="AC48" s="46" t="n">
        <f aca="false">INDEX(Assumptions!$B$32:$B$44,MATCH(AG48,Assumptions!$A$32:$A$44,0))*(1+Assumptions!$B$25)</f>
        <v>1540</v>
      </c>
      <c r="AD48" s="47" t="n">
        <f aca="false">(J48)*AC48-(((D48)+(J48)*Assumptions!$B$4+IF(H48="Yes",Assumptions!$B$6*(D48),(J48)*Assumptions!$B$5))*(1+Assumptions!$B$7*(Assumptions!$B$8*(L48)*Assumptions!$B$9+Assumptions!$B$10))+(D48)*Assumptions!$B$11*(L48)+(J48)*AC48*(Assumptions!$B$12+Assumptions!$B$13+IF((J48)*AC48&gt;=Assumptions!$B$16,Assumptions!$B$17,IF((J48)*AC48&gt;=Assumptions!$B$14,Assumptions!$B$15,0))))</f>
        <v>-463954.052999999</v>
      </c>
      <c r="AE48" s="46" t="n">
        <f aca="false">INDEX(Assumptions!$B$32:$B$44,MATCH(AG48,Assumptions!$A$32:$A$44,0))*(1+Assumptions!$B$26)</f>
        <v>1680</v>
      </c>
      <c r="AF48" s="47" t="n">
        <f aca="false">(J48)*AE48-(((D48)+(J48)*Assumptions!$B$4+IF(H48="Yes",Assumptions!$B$6*(D48),(J48)*Assumptions!$B$5))*(1+Assumptions!$B$7*(Assumptions!$B$8*(L48)*Assumptions!$B$9+Assumptions!$B$10))+(D48)*Assumptions!$B$11*(L48)+(J48)*AE48*(Assumptions!$B$12+Assumptions!$B$13+IF((J48)*AE48&gt;=Assumptions!$B$16,Assumptions!$B$17,IF((J48)*AE48&gt;=Assumptions!$B$14,Assumptions!$B$15,0))))</f>
        <v>-119795.805</v>
      </c>
      <c r="AG48" s="40" t="s">
        <v>73</v>
      </c>
      <c r="AH48" s="45" t="n">
        <f aca="false">IF(G48&gt;0,G48,ROUND(F48*Assumptions!$B$18,0))</f>
        <v>2098</v>
      </c>
      <c r="AI48" s="45" t="n">
        <f aca="false">IF(H48="Yes",AH48,MAX(AH48,MIN(Assumptions!$B$20,ROUND(E48*Assumptions!$B$19,0))))</f>
        <v>2603</v>
      </c>
      <c r="AJ48" s="47" t="n">
        <f aca="false">(AH48)*AC48-(((D48)+(AH48)*Assumptions!$B$4+IF(H48="Yes",Assumptions!$B$6*(D48),(AH48)*Assumptions!$B$5))*(1+Assumptions!$B$7*(Assumptions!$B$8*(Assumptions!$B$21)*Assumptions!$B$9+Assumptions!$B$10))+(D48)*Assumptions!$B$11*(Assumptions!$B$21)+(AH48)*AC48*(Assumptions!$B$12+Assumptions!$B$13+IF((AH48)*AC48&gt;=Assumptions!$B$16,Assumptions!$B$17,IF((AH48)*AC48&gt;=Assumptions!$B$14,Assumptions!$B$15,0))))</f>
        <v>-607320.152749999</v>
      </c>
      <c r="AK48" s="47" t="n">
        <f aca="false">(AI48)*AC48-(((D48)+(AI48)*Assumptions!$B$4+IF(H48="Yes",Assumptions!$B$6*(D48),(AI48)*Assumptions!$B$5))*(1+Assumptions!$B$7*(Assumptions!$B$8*(IF(AI48&gt;AH48,Assumptions!$B$22,Assumptions!$B$21))*Assumptions!$B$9+Assumptions!$B$10))+(D48)*Assumptions!$B$11*(IF(AI48&gt;AH48,Assumptions!$B$22,Assumptions!$B$21))+(AI48)*AC48*(Assumptions!$B$12+Assumptions!$B$13+IF((AI48)*AC48&gt;=Assumptions!$B$16,Assumptions!$B$17,IF((AI48)*AC48&gt;=Assumptions!$B$14,Assumptions!$B$15,0))))</f>
        <v>-463954.052999999</v>
      </c>
      <c r="AL48" s="47" t="n">
        <f aca="false">Assumptions!$B$7*(O48+P48+Q48)</f>
        <v>2416260.6</v>
      </c>
    </row>
    <row r="49" customFormat="false" ht="15" hidden="false" customHeight="false" outlineLevel="0" collapsed="false">
      <c r="A49" s="40" t="n">
        <v>47</v>
      </c>
      <c r="B49" s="40" t="s">
        <v>163</v>
      </c>
      <c r="C49" s="40" t="s">
        <v>124</v>
      </c>
      <c r="D49" s="41" t="n">
        <v>1895000</v>
      </c>
      <c r="E49" s="42" t="n">
        <v>5207</v>
      </c>
      <c r="F49" s="42" t="n">
        <v>2984</v>
      </c>
      <c r="G49" s="42"/>
      <c r="H49" s="43" t="s">
        <v>67</v>
      </c>
      <c r="I49" s="44" t="s">
        <v>164</v>
      </c>
      <c r="J49" s="45" t="n">
        <f aca="false">IF(AK49&gt;AJ49,AI49,AH49)</f>
        <v>3282</v>
      </c>
      <c r="K49" s="40" t="str">
        <f aca="false">IF(AK49&gt;AJ49,"Zoning estimate",IF(H49="Yes","Approved plans",IF(G49&gt;0,"Listing claim","110% old house")))</f>
        <v>110% old house</v>
      </c>
      <c r="L49" s="45" t="n">
        <f aca="false">IF(AK49&gt;AJ49,IF(AI49&gt;AH49,Assumptions!$B$22,Assumptions!$B$21),Assumptions!$B$21)</f>
        <v>2</v>
      </c>
      <c r="M49" s="46" t="n">
        <f aca="false">INDEX(Assumptions!$B$32:$B$44,MATCH(AG49,Assumptions!$A$32:$A$44,0))*(1+IF(UPPER(Assumptions!$B$27)="WORST",Assumptions!$B$24,IF(UPPER(Assumptions!$B$27)="BEST",Assumptions!$B$26,Assumptions!$B$25)))</f>
        <v>1430</v>
      </c>
      <c r="N49" s="47" t="n">
        <f aca="false">J49*M49</f>
        <v>4693260</v>
      </c>
      <c r="O49" s="47" t="n">
        <f aca="false">D49</f>
        <v>1895000</v>
      </c>
      <c r="P49" s="47" t="n">
        <f aca="false">J49*Assumptions!$B$4</f>
        <v>2297400</v>
      </c>
      <c r="Q49" s="47" t="n">
        <f aca="false">IF(H49="Yes",Assumptions!$B$6*(D49),(J49)*Assumptions!$B$5)</f>
        <v>246150</v>
      </c>
      <c r="R49" s="47" t="n">
        <f aca="false">AL49*(Assumptions!$B$8*L49*Assumptions!$B$9+Assumptions!$B$10)</f>
        <v>389482.7625</v>
      </c>
      <c r="S49" s="47" t="n">
        <f aca="false">O49*Assumptions!$B$11*L49</f>
        <v>45480</v>
      </c>
      <c r="T49" s="47" t="n">
        <f aca="false">N49*(Assumptions!$B$12+Assumptions!$B$13)</f>
        <v>260945.256</v>
      </c>
      <c r="U49" s="47" t="n">
        <f aca="false">N49*IF(N49&gt;=Assumptions!$B$16,Assumptions!$B$17,IF(N49&gt;=Assumptions!$B$14,Assumptions!$B$15,0))</f>
        <v>0</v>
      </c>
      <c r="V49" s="48" t="n">
        <f aca="false">SUM(O49:U49)</f>
        <v>5134458.0185</v>
      </c>
      <c r="W49" s="48" t="n">
        <f aca="false">N49-V49</f>
        <v>-441198.018499999</v>
      </c>
      <c r="X49" s="49" t="n">
        <f aca="false">IF(V49=0,0,W49/V49)</f>
        <v>-0.0859288394043375</v>
      </c>
      <c r="Y49" s="47" t="n">
        <f aca="false">MAX(0,(N49/(1+Assumptions!$B$23)-(J49*(Assumptions!$B$4+IF(H49="Yes",0,Assumptions!$B$5)))*(1+(Assumptions!$B$7*(Assumptions!$B$8*L49*Assumptions!$B$9+Assumptions!$B$10)))-N49*(Assumptions!$B$12+Assumptions!$B$13+IF(N49&gt;=Assumptions!$B$16,Assumptions!$B$17,IF(N49&gt;=Assumptions!$B$14,Assumptions!$B$15,0))))/((1+IF(H49="Yes",Assumptions!$B$6,0))*(1+(Assumptions!$B$7*(Assumptions!$B$8*L49*Assumptions!$B$9+Assumptions!$B$10)))+Assumptions!$B$11*L49))</f>
        <v>947518.672070082</v>
      </c>
      <c r="Z49" s="50" t="n">
        <f aca="false">IF(Y49&lt;=0,"no price works",D49/Y49)</f>
        <v>1.99996058743615</v>
      </c>
      <c r="AA49" s="46" t="n">
        <f aca="false">INDEX(Assumptions!$B$32:$B$44,MATCH(AG49,Assumptions!$A$32:$A$44,0))*(1+Assumptions!$B$24)</f>
        <v>1300</v>
      </c>
      <c r="AB49" s="47" t="n">
        <f aca="false">(J49)*AA49-(((D49)+(J49)*Assumptions!$B$4+IF(H49="Yes",Assumptions!$B$6*(D49),(J49)*Assumptions!$B$5))*(1+Assumptions!$B$7*(Assumptions!$B$8*(L49)*Assumptions!$B$9+Assumptions!$B$10))+(D49)*Assumptions!$B$11*(L49)+(J49)*AA49*(Assumptions!$B$12+Assumptions!$B$13+IF((J49)*AA49&gt;=Assumptions!$B$16,Assumptions!$B$17,IF((J49)*AA49&gt;=Assumptions!$B$14,Assumptions!$B$15,0))))</f>
        <v>-844135.7225</v>
      </c>
      <c r="AC49" s="46" t="n">
        <f aca="false">INDEX(Assumptions!$B$32:$B$44,MATCH(AG49,Assumptions!$A$32:$A$44,0))*(1+Assumptions!$B$25)</f>
        <v>1430</v>
      </c>
      <c r="AD49" s="47" t="n">
        <f aca="false">(J49)*AC49-(((D49)+(J49)*Assumptions!$B$4+IF(H49="Yes",Assumptions!$B$6*(D49),(J49)*Assumptions!$B$5))*(1+Assumptions!$B$7*(Assumptions!$B$8*(L49)*Assumptions!$B$9+Assumptions!$B$10))+(D49)*Assumptions!$B$11*(L49)+(J49)*AC49*(Assumptions!$B$12+Assumptions!$B$13+IF((J49)*AC49&gt;=Assumptions!$B$16,Assumptions!$B$17,IF((J49)*AC49&gt;=Assumptions!$B$14,Assumptions!$B$15,0))))</f>
        <v>-441198.018499999</v>
      </c>
      <c r="AE49" s="46" t="n">
        <f aca="false">INDEX(Assumptions!$B$32:$B$44,MATCH(AG49,Assumptions!$A$32:$A$44,0))*(1+Assumptions!$B$26)</f>
        <v>1560</v>
      </c>
      <c r="AF49" s="47" t="n">
        <f aca="false">(J49)*AE49-(((D49)+(J49)*Assumptions!$B$4+IF(H49="Yes",Assumptions!$B$6*(D49),(J49)*Assumptions!$B$5))*(1+Assumptions!$B$7*(Assumptions!$B$8*(L49)*Assumptions!$B$9+Assumptions!$B$10))+(D49)*Assumptions!$B$11*(L49)+(J49)*AE49*(Assumptions!$B$12+Assumptions!$B$13+IF((J49)*AE49&gt;=Assumptions!$B$16,Assumptions!$B$17,IF((J49)*AE49&gt;=Assumptions!$B$14,Assumptions!$B$15,0))))</f>
        <v>-38260.3145000003</v>
      </c>
      <c r="AG49" s="40" t="s">
        <v>126</v>
      </c>
      <c r="AH49" s="45" t="n">
        <f aca="false">IF(G49&gt;0,G49,ROUND(F49*Assumptions!$B$18,0))</f>
        <v>3282</v>
      </c>
      <c r="AI49" s="45" t="n">
        <f aca="false">IF(H49="Yes",AH49,MAX(AH49,MIN(Assumptions!$B$20,ROUND(E49*Assumptions!$B$19,0))))</f>
        <v>3282</v>
      </c>
      <c r="AJ49" s="47" t="n">
        <f aca="false">(AH49)*AC49-(((D49)+(AH49)*Assumptions!$B$4+IF(H49="Yes",Assumptions!$B$6*(D49),(AH49)*Assumptions!$B$5))*(1+Assumptions!$B$7*(Assumptions!$B$8*(Assumptions!$B$21)*Assumptions!$B$9+Assumptions!$B$10))+(D49)*Assumptions!$B$11*(Assumptions!$B$21)+(AH49)*AC49*(Assumptions!$B$12+Assumptions!$B$13+IF((AH49)*AC49&gt;=Assumptions!$B$16,Assumptions!$B$17,IF((AH49)*AC49&gt;=Assumptions!$B$14,Assumptions!$B$15,0))))</f>
        <v>-441198.018499999</v>
      </c>
      <c r="AK49" s="47" t="n">
        <f aca="false">(AI49)*AC49-(((D49)+(AI49)*Assumptions!$B$4+IF(H49="Yes",Assumptions!$B$6*(D49),(AI49)*Assumptions!$B$5))*(1+Assumptions!$B$7*(Assumptions!$B$8*(IF(AI49&gt;AH49,Assumptions!$B$22,Assumptions!$B$21))*Assumptions!$B$9+Assumptions!$B$10))+(D49)*Assumptions!$B$11*(IF(AI49&gt;AH49,Assumptions!$B$22,Assumptions!$B$21))+(AI49)*AC49*(Assumptions!$B$12+Assumptions!$B$13+IF((AI49)*AC49&gt;=Assumptions!$B$16,Assumptions!$B$17,IF((AI49)*AC49&gt;=Assumptions!$B$14,Assumptions!$B$15,0))))</f>
        <v>-441198.018499999</v>
      </c>
      <c r="AL49" s="47" t="n">
        <f aca="false">Assumptions!$B$7*(O49+P49+Q49)</f>
        <v>2885057.5</v>
      </c>
    </row>
    <row r="50" customFormat="false" ht="15" hidden="false" customHeight="false" outlineLevel="0" collapsed="false">
      <c r="A50" s="40" t="n">
        <v>48</v>
      </c>
      <c r="B50" s="40" t="s">
        <v>165</v>
      </c>
      <c r="C50" s="40" t="s">
        <v>75</v>
      </c>
      <c r="D50" s="41" t="n">
        <v>3695000</v>
      </c>
      <c r="E50" s="42" t="n">
        <v>7648</v>
      </c>
      <c r="F50" s="42" t="n">
        <v>2497</v>
      </c>
      <c r="G50" s="42"/>
      <c r="H50" s="43" t="s">
        <v>67</v>
      </c>
      <c r="I50" s="44"/>
      <c r="J50" s="45" t="n">
        <f aca="false">IF(AK50&gt;AJ50,AI50,AH50)</f>
        <v>3059</v>
      </c>
      <c r="K50" s="40" t="str">
        <f aca="false">IF(AK50&gt;AJ50,"Zoning estimate",IF(H50="Yes","Approved plans",IF(G50&gt;0,"Listing claim","110% old house")))</f>
        <v>Zoning estimate</v>
      </c>
      <c r="L50" s="45" t="n">
        <f aca="false">IF(AK50&gt;AJ50,IF(AI50&gt;AH50,Assumptions!$B$22,Assumptions!$B$21),Assumptions!$B$21)</f>
        <v>3</v>
      </c>
      <c r="M50" s="46" t="n">
        <f aca="false">INDEX(Assumptions!$B$32:$B$44,MATCH(AG50,Assumptions!$A$32:$A$44,0))*(1+IF(UPPER(Assumptions!$B$27)="WORST",Assumptions!$B$24,IF(UPPER(Assumptions!$B$27)="BEST",Assumptions!$B$26,Assumptions!$B$25)))</f>
        <v>2035</v>
      </c>
      <c r="N50" s="47" t="n">
        <f aca="false">J50*M50</f>
        <v>6225065</v>
      </c>
      <c r="O50" s="47" t="n">
        <f aca="false">D50</f>
        <v>3695000</v>
      </c>
      <c r="P50" s="47" t="n">
        <f aca="false">J50*Assumptions!$B$4</f>
        <v>2141300</v>
      </c>
      <c r="Q50" s="47" t="n">
        <f aca="false">IF(H50="Yes",Assumptions!$B$6*(D50),(J50)*Assumptions!$B$5)</f>
        <v>229425</v>
      </c>
      <c r="R50" s="47" t="n">
        <f aca="false">AL50*(Assumptions!$B$8*L50*Assumptions!$B$9+Assumptions!$B$10)</f>
        <v>768830.64375</v>
      </c>
      <c r="S50" s="47" t="n">
        <f aca="false">O50*Assumptions!$B$11*L50</f>
        <v>133020</v>
      </c>
      <c r="T50" s="47" t="n">
        <f aca="false">N50*(Assumptions!$B$12+Assumptions!$B$13)</f>
        <v>346113.614</v>
      </c>
      <c r="U50" s="47" t="n">
        <f aca="false">N50*IF(N50&gt;=Assumptions!$B$16,Assumptions!$B$17,IF(N50&gt;=Assumptions!$B$14,Assumptions!$B$15,0))</f>
        <v>249002.6</v>
      </c>
      <c r="V50" s="48" t="n">
        <f aca="false">SUM(O50:U50)</f>
        <v>7562691.85775</v>
      </c>
      <c r="W50" s="48" t="n">
        <f aca="false">N50-V50</f>
        <v>-1337626.85775</v>
      </c>
      <c r="X50" s="49" t="n">
        <f aca="false">IF(V50=0,0,W50/V50)</f>
        <v>-0.176871791540633</v>
      </c>
      <c r="Y50" s="47" t="n">
        <f aca="false">MAX(0,(N50/(1+Assumptions!$B$23)-(J50*(Assumptions!$B$4+IF(H50="Yes",0,Assumptions!$B$5)))*(1+(Assumptions!$B$7*(Assumptions!$B$8*L50*Assumptions!$B$9+Assumptions!$B$10)))-N50*(Assumptions!$B$12+Assumptions!$B$13+IF(N50&gt;=Assumptions!$B$16,Assumptions!$B$17,IF(N50&gt;=Assumptions!$B$14,Assumptions!$B$15,0))))/((1+IF(H50="Yes",Assumptions!$B$6,0))*(1+(Assumptions!$B$7*(Assumptions!$B$8*L50*Assumptions!$B$9+Assumptions!$B$10)))+Assumptions!$B$11*L50))</f>
        <v>1846286.29735541</v>
      </c>
      <c r="Z50" s="50" t="n">
        <f aca="false">IF(Y50&lt;=0,"no price works",D50/Y50)</f>
        <v>2.00131475020568</v>
      </c>
      <c r="AA50" s="46" t="n">
        <f aca="false">INDEX(Assumptions!$B$32:$B$44,MATCH(AG50,Assumptions!$A$32:$A$44,0))*(1+Assumptions!$B$24)</f>
        <v>1850</v>
      </c>
      <c r="AB50" s="47" t="n">
        <f aca="false">(J50)*AA50-(((D50)+(J50)*Assumptions!$B$4+IF(H50="Yes",Assumptions!$B$6*(D50),(J50)*Assumptions!$B$5))*(1+Assumptions!$B$7*(Assumptions!$B$8*(L50)*Assumptions!$B$9+Assumptions!$B$10))+(D50)*Assumptions!$B$11*(L50)+(J50)*AA50*(Assumptions!$B$12+Assumptions!$B$13+IF((J50)*AA50&gt;=Assumptions!$B$16,Assumptions!$B$17,IF((J50)*AA50&gt;=Assumptions!$B$14,Assumptions!$B$15,0))))</f>
        <v>-1849440.38375</v>
      </c>
      <c r="AC50" s="46" t="n">
        <f aca="false">INDEX(Assumptions!$B$32:$B$44,MATCH(AG50,Assumptions!$A$32:$A$44,0))*(1+Assumptions!$B$25)</f>
        <v>2035</v>
      </c>
      <c r="AD50" s="47" t="n">
        <f aca="false">(J50)*AC50-(((D50)+(J50)*Assumptions!$B$4+IF(H50="Yes",Assumptions!$B$6*(D50),(J50)*Assumptions!$B$5))*(1+Assumptions!$B$7*(Assumptions!$B$8*(L50)*Assumptions!$B$9+Assumptions!$B$10))+(D50)*Assumptions!$B$11*(L50)+(J50)*AC50*(Assumptions!$B$12+Assumptions!$B$13+IF((J50)*AC50&gt;=Assumptions!$B$16,Assumptions!$B$17,IF((J50)*AC50&gt;=Assumptions!$B$14,Assumptions!$B$15,0))))</f>
        <v>-1337626.85775</v>
      </c>
      <c r="AE50" s="46" t="n">
        <f aca="false">INDEX(Assumptions!$B$32:$B$44,MATCH(AG50,Assumptions!$A$32:$A$44,0))*(1+Assumptions!$B$26)</f>
        <v>2220</v>
      </c>
      <c r="AF50" s="47" t="n">
        <f aca="false">(J50)*AE50-(((D50)+(J50)*Assumptions!$B$4+IF(H50="Yes",Assumptions!$B$6*(D50),(J50)*Assumptions!$B$5))*(1+Assumptions!$B$7*(Assumptions!$B$8*(L50)*Assumptions!$B$9+Assumptions!$B$10))+(D50)*Assumptions!$B$11*(L50)+(J50)*AE50*(Assumptions!$B$12+Assumptions!$B$13+IF((J50)*AE50&gt;=Assumptions!$B$16,Assumptions!$B$17,IF((J50)*AE50&gt;=Assumptions!$B$14,Assumptions!$B$15,0))))</f>
        <v>-825813.33175</v>
      </c>
      <c r="AG50" s="40" t="s">
        <v>78</v>
      </c>
      <c r="AH50" s="45" t="n">
        <f aca="false">IF(G50&gt;0,G50,ROUND(F50*Assumptions!$B$18,0))</f>
        <v>2747</v>
      </c>
      <c r="AI50" s="45" t="n">
        <f aca="false">IF(H50="Yes",AH50,MAX(AH50,MIN(Assumptions!$B$20,ROUND(E50*Assumptions!$B$19,0))))</f>
        <v>3059</v>
      </c>
      <c r="AJ50" s="47" t="n">
        <f aca="false">(AH50)*AC50-(((D50)+(AH50)*Assumptions!$B$4+IF(H50="Yes",Assumptions!$B$6*(D50),(AH50)*Assumptions!$B$5))*(1+Assumptions!$B$7*(Assumptions!$B$8*(Assumptions!$B$21)*Assumptions!$B$9+Assumptions!$B$10))+(D50)*Assumptions!$B$11*(Assumptions!$B$21)+(AH50)*AC50*(Assumptions!$B$12+Assumptions!$B$13+IF((AH50)*AC50&gt;=Assumptions!$B$16,Assumptions!$B$17,IF((AH50)*AC50&gt;=Assumptions!$B$14,Assumptions!$B$15,0))))</f>
        <v>-1367927.28075</v>
      </c>
      <c r="AK50" s="47" t="n">
        <f aca="false">(AI50)*AC50-(((D50)+(AI50)*Assumptions!$B$4+IF(H50="Yes",Assumptions!$B$6*(D50),(AI50)*Assumptions!$B$5))*(1+Assumptions!$B$7*(Assumptions!$B$8*(IF(AI50&gt;AH50,Assumptions!$B$22,Assumptions!$B$21))*Assumptions!$B$9+Assumptions!$B$10))+(D50)*Assumptions!$B$11*(IF(AI50&gt;AH50,Assumptions!$B$22,Assumptions!$B$21))+(AI50)*AC50*(Assumptions!$B$12+Assumptions!$B$13+IF((AI50)*AC50&gt;=Assumptions!$B$16,Assumptions!$B$17,IF((AI50)*AC50&gt;=Assumptions!$B$14,Assumptions!$B$15,0))))</f>
        <v>-1337626.85775</v>
      </c>
      <c r="AL50" s="47" t="n">
        <f aca="false">Assumptions!$B$7*(O50+P50+Q50)</f>
        <v>3942721.25</v>
      </c>
    </row>
    <row r="51" customFormat="false" ht="15" hidden="false" customHeight="false" outlineLevel="0" collapsed="false">
      <c r="A51" s="40" t="n">
        <v>49</v>
      </c>
      <c r="B51" s="40" t="s">
        <v>166</v>
      </c>
      <c r="C51" s="40" t="s">
        <v>98</v>
      </c>
      <c r="D51" s="41" t="n">
        <v>1750000</v>
      </c>
      <c r="E51" s="42" t="n">
        <v>13307</v>
      </c>
      <c r="F51" s="42" t="n">
        <v>2359</v>
      </c>
      <c r="G51" s="42"/>
      <c r="H51" s="43" t="s">
        <v>67</v>
      </c>
      <c r="I51" s="44"/>
      <c r="J51" s="45" t="n">
        <f aca="false">IF(AK51&gt;AJ51,AI51,AH51)</f>
        <v>5323</v>
      </c>
      <c r="K51" s="40" t="str">
        <f aca="false">IF(AK51&gt;AJ51,"Zoning estimate",IF(H51="Yes","Approved plans",IF(G51&gt;0,"Listing claim","110% old house")))</f>
        <v>Zoning estimate</v>
      </c>
      <c r="L51" s="45" t="n">
        <f aca="false">IF(AK51&gt;AJ51,IF(AI51&gt;AH51,Assumptions!$B$22,Assumptions!$B$21),Assumptions!$B$21)</f>
        <v>3</v>
      </c>
      <c r="M51" s="46" t="n">
        <f aca="false">INDEX(Assumptions!$B$32:$B$44,MATCH(AG51,Assumptions!$A$32:$A$44,0))*(1+IF(UPPER(Assumptions!$B$27)="WORST",Assumptions!$B$24,IF(UPPER(Assumptions!$B$27)="BEST",Assumptions!$B$26,Assumptions!$B$25)))</f>
        <v>1375</v>
      </c>
      <c r="N51" s="47" t="n">
        <f aca="false">J51*M51</f>
        <v>7319125</v>
      </c>
      <c r="O51" s="47" t="n">
        <f aca="false">D51</f>
        <v>1750000</v>
      </c>
      <c r="P51" s="47" t="n">
        <f aca="false">J51*Assumptions!$B$4</f>
        <v>3726100</v>
      </c>
      <c r="Q51" s="47" t="n">
        <f aca="false">IF(H51="Yes",Assumptions!$B$6*(D51),(J51)*Assumptions!$B$5)</f>
        <v>399225</v>
      </c>
      <c r="R51" s="47" t="n">
        <f aca="false">AL51*(Assumptions!$B$8*L51*Assumptions!$B$9+Assumptions!$B$10)</f>
        <v>744697.44375</v>
      </c>
      <c r="S51" s="47" t="n">
        <f aca="false">O51*Assumptions!$B$11*L51</f>
        <v>63000</v>
      </c>
      <c r="T51" s="47" t="n">
        <f aca="false">N51*(Assumptions!$B$12+Assumptions!$B$13)</f>
        <v>406943.35</v>
      </c>
      <c r="U51" s="47" t="n">
        <f aca="false">N51*IF(N51&gt;=Assumptions!$B$16,Assumptions!$B$17,IF(N51&gt;=Assumptions!$B$14,Assumptions!$B$15,0))</f>
        <v>292765</v>
      </c>
      <c r="V51" s="48" t="n">
        <f aca="false">SUM(O51:U51)</f>
        <v>7382730.79375</v>
      </c>
      <c r="W51" s="48" t="n">
        <f aca="false">N51-V51</f>
        <v>-63605.7937500002</v>
      </c>
      <c r="X51" s="49" t="n">
        <f aca="false">IF(V51=0,0,W51/V51)</f>
        <v>-0.00861548328483641</v>
      </c>
      <c r="Y51" s="47" t="n">
        <f aca="false">MAX(0,(N51/(1+Assumptions!$B$23)-(J51*(Assumptions!$B$4+IF(H51="Yes",0,Assumptions!$B$5)))*(1+(Assumptions!$B$7*(Assumptions!$B$8*L51*Assumptions!$B$9+Assumptions!$B$10)))-N51*(Assumptions!$B$12+Assumptions!$B$13+IF(N51&gt;=Assumptions!$B$16,Assumptions!$B$17,IF(N51&gt;=Assumptions!$B$14,Assumptions!$B$15,0))))/((1+IF(H51="Yes",Assumptions!$B$6,0))*(1+(Assumptions!$B$7*(Assumptions!$B$8*L51*Assumptions!$B$9+Assumptions!$B$10)))+Assumptions!$B$11*L51))</f>
        <v>874253.474942276</v>
      </c>
      <c r="Z51" s="50" t="n">
        <f aca="false">IF(Y51&lt;=0,"no price works",D51/Y51)</f>
        <v>2.00170780003539</v>
      </c>
      <c r="AA51" s="46" t="n">
        <f aca="false">INDEX(Assumptions!$B$32:$B$44,MATCH(AG51,Assumptions!$A$32:$A$44,0))*(1+Assumptions!$B$24)</f>
        <v>1250</v>
      </c>
      <c r="AB51" s="47" t="n">
        <f aca="false">(J51)*AA51-(((D51)+(J51)*Assumptions!$B$4+IF(H51="Yes",Assumptions!$B$6*(D51),(J51)*Assumptions!$B$5))*(1+Assumptions!$B$7*(Assumptions!$B$8*(L51)*Assumptions!$B$9+Assumptions!$B$10))+(D51)*Assumptions!$B$11*(L51)+(J51)*AA51*(Assumptions!$B$12+Assumptions!$B$13+IF((J51)*AA51&gt;=Assumptions!$B$16,Assumptions!$B$17,IF((J51)*AA51&gt;=Assumptions!$B$14,Assumptions!$B$15,0))))</f>
        <v>-665370.94375</v>
      </c>
      <c r="AC51" s="46" t="n">
        <f aca="false">INDEX(Assumptions!$B$32:$B$44,MATCH(AG51,Assumptions!$A$32:$A$44,0))*(1+Assumptions!$B$25)</f>
        <v>1375</v>
      </c>
      <c r="AD51" s="47" t="n">
        <f aca="false">(J51)*AC51-(((D51)+(J51)*Assumptions!$B$4+IF(H51="Yes",Assumptions!$B$6*(D51),(J51)*Assumptions!$B$5))*(1+Assumptions!$B$7*(Assumptions!$B$8*(L51)*Assumptions!$B$9+Assumptions!$B$10))+(D51)*Assumptions!$B$11*(L51)+(J51)*AC51*(Assumptions!$B$12+Assumptions!$B$13+IF((J51)*AC51&gt;=Assumptions!$B$16,Assumptions!$B$17,IF((J51)*AC51&gt;=Assumptions!$B$14,Assumptions!$B$15,0))))</f>
        <v>-63605.7937499993</v>
      </c>
      <c r="AE51" s="46" t="n">
        <f aca="false">INDEX(Assumptions!$B$32:$B$44,MATCH(AG51,Assumptions!$A$32:$A$44,0))*(1+Assumptions!$B$26)</f>
        <v>1500</v>
      </c>
      <c r="AF51" s="47" t="n">
        <f aca="false">(J51)*AE51-(((D51)+(J51)*Assumptions!$B$4+IF(H51="Yes",Assumptions!$B$6*(D51),(J51)*Assumptions!$B$5))*(1+Assumptions!$B$7*(Assumptions!$B$8*(L51)*Assumptions!$B$9+Assumptions!$B$10))+(D51)*Assumptions!$B$11*(L51)+(J51)*AE51*(Assumptions!$B$12+Assumptions!$B$13+IF((J51)*AE51&gt;=Assumptions!$B$16,Assumptions!$B$17,IF((J51)*AE51&gt;=Assumptions!$B$14,Assumptions!$B$15,0))))</f>
        <v>538159.35625</v>
      </c>
      <c r="AG51" s="40" t="s">
        <v>100</v>
      </c>
      <c r="AH51" s="45" t="n">
        <f aca="false">IF(G51&gt;0,G51,ROUND(F51*Assumptions!$B$18,0))</f>
        <v>2595</v>
      </c>
      <c r="AI51" s="45" t="n">
        <f aca="false">IF(H51="Yes",AH51,MAX(AH51,MIN(Assumptions!$B$20,ROUND(E51*Assumptions!$B$19,0))))</f>
        <v>5323</v>
      </c>
      <c r="AJ51" s="47" t="n">
        <f aca="false">(AH51)*AC51-(((D51)+(AH51)*Assumptions!$B$4+IF(H51="Yes",Assumptions!$B$6*(D51),(AH51)*Assumptions!$B$5))*(1+Assumptions!$B$7*(Assumptions!$B$8*(Assumptions!$B$21)*Assumptions!$B$9+Assumptions!$B$10))+(D51)*Assumptions!$B$11*(Assumptions!$B$21)+(AH51)*AC51*(Assumptions!$B$12+Assumptions!$B$13+IF((AH51)*AC51&gt;=Assumptions!$B$16,Assumptions!$B$17,IF((AH51)*AC51&gt;=Assumptions!$B$14,Assumptions!$B$15,0))))</f>
        <v>-763426.46875</v>
      </c>
      <c r="AK51" s="47" t="n">
        <f aca="false">(AI51)*AC51-(((D51)+(AI51)*Assumptions!$B$4+IF(H51="Yes",Assumptions!$B$6*(D51),(AI51)*Assumptions!$B$5))*(1+Assumptions!$B$7*(Assumptions!$B$8*(IF(AI51&gt;AH51,Assumptions!$B$22,Assumptions!$B$21))*Assumptions!$B$9+Assumptions!$B$10))+(D51)*Assumptions!$B$11*(IF(AI51&gt;AH51,Assumptions!$B$22,Assumptions!$B$21))+(AI51)*AC51*(Assumptions!$B$12+Assumptions!$B$13+IF((AI51)*AC51&gt;=Assumptions!$B$16,Assumptions!$B$17,IF((AI51)*AC51&gt;=Assumptions!$B$14,Assumptions!$B$15,0))))</f>
        <v>-63605.7937499993</v>
      </c>
      <c r="AL51" s="47" t="n">
        <f aca="false">Assumptions!$B$7*(O51+P51+Q51)</f>
        <v>3818961.25</v>
      </c>
    </row>
    <row r="52" customFormat="false" ht="15" hidden="false" customHeight="false" outlineLevel="0" collapsed="false">
      <c r="A52" s="40" t="n">
        <v>50</v>
      </c>
      <c r="B52" s="40" t="s">
        <v>167</v>
      </c>
      <c r="C52" s="40" t="s">
        <v>124</v>
      </c>
      <c r="D52" s="41" t="n">
        <v>2999000</v>
      </c>
      <c r="E52" s="42" t="n">
        <v>7803</v>
      </c>
      <c r="F52" s="42" t="n">
        <v>5636</v>
      </c>
      <c r="G52" s="42"/>
      <c r="H52" s="43" t="s">
        <v>67</v>
      </c>
      <c r="I52" s="44"/>
      <c r="J52" s="45" t="n">
        <f aca="false">IF(AK52&gt;AJ52,AI52,AH52)</f>
        <v>6200</v>
      </c>
      <c r="K52" s="40" t="str">
        <f aca="false">IF(AK52&gt;AJ52,"Zoning estimate",IF(H52="Yes","Approved plans",IF(G52&gt;0,"Listing claim","110% old house")))</f>
        <v>110% old house</v>
      </c>
      <c r="L52" s="45" t="n">
        <f aca="false">IF(AK52&gt;AJ52,IF(AI52&gt;AH52,Assumptions!$B$22,Assumptions!$B$21),Assumptions!$B$21)</f>
        <v>2</v>
      </c>
      <c r="M52" s="46" t="n">
        <f aca="false">INDEX(Assumptions!$B$32:$B$44,MATCH(AG52,Assumptions!$A$32:$A$44,0))*(1+IF(UPPER(Assumptions!$B$27)="WORST",Assumptions!$B$24,IF(UPPER(Assumptions!$B$27)="BEST",Assumptions!$B$26,Assumptions!$B$25)))</f>
        <v>1430</v>
      </c>
      <c r="N52" s="47" t="n">
        <f aca="false">J52*M52</f>
        <v>8866000</v>
      </c>
      <c r="O52" s="47" t="n">
        <f aca="false">D52</f>
        <v>2999000</v>
      </c>
      <c r="P52" s="47" t="n">
        <f aca="false">J52*Assumptions!$B$4</f>
        <v>4340000</v>
      </c>
      <c r="Q52" s="47" t="n">
        <f aca="false">IF(H52="Yes",Assumptions!$B$6*(D52),(J52)*Assumptions!$B$5)</f>
        <v>465000</v>
      </c>
      <c r="R52" s="47" t="n">
        <f aca="false">AL52*(Assumptions!$B$8*L52*Assumptions!$B$9+Assumptions!$B$10)</f>
        <v>684801</v>
      </c>
      <c r="S52" s="47" t="n">
        <f aca="false">O52*Assumptions!$B$11*L52</f>
        <v>71976</v>
      </c>
      <c r="T52" s="47" t="n">
        <f aca="false">N52*(Assumptions!$B$12+Assumptions!$B$13)</f>
        <v>492949.6</v>
      </c>
      <c r="U52" s="47" t="n">
        <f aca="false">N52*IF(N52&gt;=Assumptions!$B$16,Assumptions!$B$17,IF(N52&gt;=Assumptions!$B$14,Assumptions!$B$15,0))</f>
        <v>354640</v>
      </c>
      <c r="V52" s="48" t="n">
        <f aca="false">SUM(O52:U52)</f>
        <v>9408366.6</v>
      </c>
      <c r="W52" s="48" t="n">
        <f aca="false">N52-V52</f>
        <v>-542366.599999998</v>
      </c>
      <c r="X52" s="49" t="n">
        <f aca="false">IF(V52=0,0,W52/V52)</f>
        <v>-0.0576472647228689</v>
      </c>
      <c r="Y52" s="47" t="n">
        <f aca="false">MAX(0,(N52/(1+Assumptions!$B$23)-(J52*(Assumptions!$B$4+IF(H52="Yes",0,Assumptions!$B$5)))*(1+(Assumptions!$B$7*(Assumptions!$B$8*L52*Assumptions!$B$9+Assumptions!$B$10)))-N52*(Assumptions!$B$12+Assumptions!$B$13+IF(N52&gt;=Assumptions!$B$16,Assumptions!$B$17,IF(N52&gt;=Assumptions!$B$14,Assumptions!$B$15,0))))/((1+IF(H52="Yes",Assumptions!$B$6,0))*(1+(Assumptions!$B$7*(Assumptions!$B$8*L52*Assumptions!$B$9+Assumptions!$B$10)))+Assumptions!$B$11*L52))</f>
        <v>1470957.38015858</v>
      </c>
      <c r="Z52" s="50" t="n">
        <f aca="false">IF(Y52&lt;=0,"no price works",D52/Y52)</f>
        <v>2.0388082214025</v>
      </c>
      <c r="AA52" s="46" t="n">
        <f aca="false">INDEX(Assumptions!$B$32:$B$44,MATCH(AG52,Assumptions!$A$32:$A$44,0))*(1+Assumptions!$B$24)</f>
        <v>1300</v>
      </c>
      <c r="AB52" s="47" t="n">
        <f aca="false">(J52)*AA52-(((D52)+(J52)*Assumptions!$B$4+IF(H52="Yes",Assumptions!$B$6*(D52),(J52)*Assumptions!$B$5))*(1+Assumptions!$B$7*(Assumptions!$B$8*(L52)*Assumptions!$B$9+Assumptions!$B$10))+(D52)*Assumptions!$B$11*(L52)+(J52)*AA52*(Assumptions!$B$12+Assumptions!$B$13+IF((J52)*AA52&gt;=Assumptions!$B$16,Assumptions!$B$17,IF((J52)*AA52&gt;=Assumptions!$B$14,Assumptions!$B$15,0))))</f>
        <v>-1271313</v>
      </c>
      <c r="AC52" s="46" t="n">
        <f aca="false">INDEX(Assumptions!$B$32:$B$44,MATCH(AG52,Assumptions!$A$32:$A$44,0))*(1+Assumptions!$B$25)</f>
        <v>1430</v>
      </c>
      <c r="AD52" s="47" t="n">
        <f aca="false">(J52)*AC52-(((D52)+(J52)*Assumptions!$B$4+IF(H52="Yes",Assumptions!$B$6*(D52),(J52)*Assumptions!$B$5))*(1+Assumptions!$B$7*(Assumptions!$B$8*(L52)*Assumptions!$B$9+Assumptions!$B$10))+(D52)*Assumptions!$B$11*(L52)+(J52)*AC52*(Assumptions!$B$12+Assumptions!$B$13+IF((J52)*AC52&gt;=Assumptions!$B$16,Assumptions!$B$17,IF((J52)*AC52&gt;=Assumptions!$B$14,Assumptions!$B$15,0))))</f>
        <v>-542366.599999998</v>
      </c>
      <c r="AE52" s="46" t="n">
        <f aca="false">INDEX(Assumptions!$B$32:$B$44,MATCH(AG52,Assumptions!$A$32:$A$44,0))*(1+Assumptions!$B$26)</f>
        <v>1560</v>
      </c>
      <c r="AF52" s="47" t="n">
        <f aca="false">(J52)*AE52-(((D52)+(J52)*Assumptions!$B$4+IF(H52="Yes",Assumptions!$B$6*(D52),(J52)*Assumptions!$B$5))*(1+Assumptions!$B$7*(Assumptions!$B$8*(L52)*Assumptions!$B$9+Assumptions!$B$10))+(D52)*Assumptions!$B$11*(L52)+(J52)*AE52*(Assumptions!$B$12+Assumptions!$B$13+IF((J52)*AE52&gt;=Assumptions!$B$16,Assumptions!$B$17,IF((J52)*AE52&gt;=Assumptions!$B$14,Assumptions!$B$15,0))))</f>
        <v>186579.800000001</v>
      </c>
      <c r="AG52" s="40" t="s">
        <v>126</v>
      </c>
      <c r="AH52" s="45" t="n">
        <f aca="false">IF(G52&gt;0,G52,ROUND(F52*Assumptions!$B$18,0))</f>
        <v>6200</v>
      </c>
      <c r="AI52" s="45" t="n">
        <f aca="false">IF(H52="Yes",AH52,MAX(AH52,MIN(Assumptions!$B$20,ROUND(E52*Assumptions!$B$19,0))))</f>
        <v>6200</v>
      </c>
      <c r="AJ52" s="47" t="n">
        <f aca="false">(AH52)*AC52-(((D52)+(AH52)*Assumptions!$B$4+IF(H52="Yes",Assumptions!$B$6*(D52),(AH52)*Assumptions!$B$5))*(1+Assumptions!$B$7*(Assumptions!$B$8*(Assumptions!$B$21)*Assumptions!$B$9+Assumptions!$B$10))+(D52)*Assumptions!$B$11*(Assumptions!$B$21)+(AH52)*AC52*(Assumptions!$B$12+Assumptions!$B$13+IF((AH52)*AC52&gt;=Assumptions!$B$16,Assumptions!$B$17,IF((AH52)*AC52&gt;=Assumptions!$B$14,Assumptions!$B$15,0))))</f>
        <v>-542366.599999998</v>
      </c>
      <c r="AK52" s="47" t="n">
        <f aca="false">(AI52)*AC52-(((D52)+(AI52)*Assumptions!$B$4+IF(H52="Yes",Assumptions!$B$6*(D52),(AI52)*Assumptions!$B$5))*(1+Assumptions!$B$7*(Assumptions!$B$8*(IF(AI52&gt;AH52,Assumptions!$B$22,Assumptions!$B$21))*Assumptions!$B$9+Assumptions!$B$10))+(D52)*Assumptions!$B$11*(IF(AI52&gt;AH52,Assumptions!$B$22,Assumptions!$B$21))+(AI52)*AC52*(Assumptions!$B$12+Assumptions!$B$13+IF((AI52)*AC52&gt;=Assumptions!$B$16,Assumptions!$B$17,IF((AI52)*AC52&gt;=Assumptions!$B$14,Assumptions!$B$15,0))))</f>
        <v>-542366.599999998</v>
      </c>
      <c r="AL52" s="47" t="n">
        <f aca="false">Assumptions!$B$7*(O52+P52+Q52)</f>
        <v>5072600</v>
      </c>
    </row>
    <row r="53" customFormat="false" ht="15" hidden="false" customHeight="false" outlineLevel="0" collapsed="false">
      <c r="A53" s="40" t="n">
        <v>51</v>
      </c>
      <c r="B53" s="40" t="s">
        <v>168</v>
      </c>
      <c r="C53" s="40" t="s">
        <v>107</v>
      </c>
      <c r="D53" s="41" t="n">
        <v>1660000</v>
      </c>
      <c r="E53" s="42" t="n">
        <v>12288</v>
      </c>
      <c r="F53" s="42" t="n">
        <v>2007</v>
      </c>
      <c r="G53" s="42"/>
      <c r="H53" s="43" t="s">
        <v>67</v>
      </c>
      <c r="I53" s="44"/>
      <c r="J53" s="45" t="n">
        <f aca="false">IF(AK53&gt;AJ53,AI53,AH53)</f>
        <v>4915</v>
      </c>
      <c r="K53" s="40" t="str">
        <f aca="false">IF(AK53&gt;AJ53,"Zoning estimate",IF(H53="Yes","Approved plans",IF(G53&gt;0,"Listing claim","110% old house")))</f>
        <v>Zoning estimate</v>
      </c>
      <c r="L53" s="45" t="n">
        <f aca="false">IF(AK53&gt;AJ53,IF(AI53&gt;AH53,Assumptions!$B$22,Assumptions!$B$21),Assumptions!$B$21)</f>
        <v>3</v>
      </c>
      <c r="M53" s="46" t="n">
        <f aca="false">INDEX(Assumptions!$B$32:$B$44,MATCH(AG53,Assumptions!$A$32:$A$44,0))*(1+IF(UPPER(Assumptions!$B$27)="WORST",Assumptions!$B$24,IF(UPPER(Assumptions!$B$27)="BEST",Assumptions!$B$26,Assumptions!$B$25)))</f>
        <v>1375</v>
      </c>
      <c r="N53" s="47" t="n">
        <f aca="false">J53*M53</f>
        <v>6758125</v>
      </c>
      <c r="O53" s="47" t="n">
        <f aca="false">D53</f>
        <v>1660000</v>
      </c>
      <c r="P53" s="47" t="n">
        <f aca="false">J53*Assumptions!$B$4</f>
        <v>3440500</v>
      </c>
      <c r="Q53" s="47" t="n">
        <f aca="false">IF(H53="Yes",Assumptions!$B$6*(D53),(J53)*Assumptions!$B$5)</f>
        <v>368625</v>
      </c>
      <c r="R53" s="47" t="n">
        <f aca="false">AL53*(Assumptions!$B$8*L53*Assumptions!$B$9+Assumptions!$B$10)</f>
        <v>693211.59375</v>
      </c>
      <c r="S53" s="47" t="n">
        <f aca="false">O53*Assumptions!$B$11*L53</f>
        <v>59760</v>
      </c>
      <c r="T53" s="47" t="n">
        <f aca="false">N53*(Assumptions!$B$12+Assumptions!$B$13)</f>
        <v>375751.75</v>
      </c>
      <c r="U53" s="47" t="n">
        <f aca="false">N53*IF(N53&gt;=Assumptions!$B$16,Assumptions!$B$17,IF(N53&gt;=Assumptions!$B$14,Assumptions!$B$15,0))</f>
        <v>270325</v>
      </c>
      <c r="V53" s="48" t="n">
        <f aca="false">SUM(O53:U53)</f>
        <v>6868173.34375</v>
      </c>
      <c r="W53" s="48" t="n">
        <f aca="false">N53-V53</f>
        <v>-110048.34375</v>
      </c>
      <c r="X53" s="49" t="n">
        <f aca="false">IF(V53=0,0,W53/V53)</f>
        <v>-0.0160229420898562</v>
      </c>
      <c r="Y53" s="47" t="n">
        <f aca="false">MAX(0,(N53/(1+Assumptions!$B$23)-(J53*(Assumptions!$B$4+IF(H53="Yes",0,Assumptions!$B$5)))*(1+(Assumptions!$B$7*(Assumptions!$B$8*L53*Assumptions!$B$9+Assumptions!$B$10)))-N53*(Assumptions!$B$12+Assumptions!$B$13+IF(N53&gt;=Assumptions!$B$16,Assumptions!$B$17,IF(N53&gt;=Assumptions!$B$14,Assumptions!$B$15,0))))/((1+IF(H53="Yes",Assumptions!$B$6,0))*(1+(Assumptions!$B$7*(Assumptions!$B$8*L53*Assumptions!$B$9+Assumptions!$B$10)))+Assumptions!$B$11*L53))</f>
        <v>807243.251801857</v>
      </c>
      <c r="Z53" s="50" t="n">
        <f aca="false">IF(Y53&lt;=0,"no price works",D53/Y53)</f>
        <v>2.05638138974181</v>
      </c>
      <c r="AA53" s="46" t="n">
        <f aca="false">INDEX(Assumptions!$B$32:$B$44,MATCH(AG53,Assumptions!$A$32:$A$44,0))*(1+Assumptions!$B$24)</f>
        <v>1250</v>
      </c>
      <c r="AB53" s="47" t="n">
        <f aca="false">(J53)*AA53-(((D53)+(J53)*Assumptions!$B$4+IF(H53="Yes",Assumptions!$B$6*(D53),(J53)*Assumptions!$B$5))*(1+Assumptions!$B$7*(Assumptions!$B$8*(L53)*Assumptions!$B$9+Assumptions!$B$10))+(D53)*Assumptions!$B$11*(L53)+(J53)*AA53*(Assumptions!$B$12+Assumptions!$B$13+IF((J53)*AA53&gt;=Assumptions!$B$16,Assumptions!$B$17,IF((J53)*AA53&gt;=Assumptions!$B$14,Assumptions!$B$15,0))))</f>
        <v>-665689.09375</v>
      </c>
      <c r="AC53" s="46" t="n">
        <f aca="false">INDEX(Assumptions!$B$32:$B$44,MATCH(AG53,Assumptions!$A$32:$A$44,0))*(1+Assumptions!$B$25)</f>
        <v>1375</v>
      </c>
      <c r="AD53" s="47" t="n">
        <f aca="false">(J53)*AC53-(((D53)+(J53)*Assumptions!$B$4+IF(H53="Yes",Assumptions!$B$6*(D53),(J53)*Assumptions!$B$5))*(1+Assumptions!$B$7*(Assumptions!$B$8*(L53)*Assumptions!$B$9+Assumptions!$B$10))+(D53)*Assumptions!$B$11*(L53)+(J53)*AC53*(Assumptions!$B$12+Assumptions!$B$13+IF((J53)*AC53&gt;=Assumptions!$B$16,Assumptions!$B$17,IF((J53)*AC53&gt;=Assumptions!$B$14,Assumptions!$B$15,0))))</f>
        <v>-110048.34375</v>
      </c>
      <c r="AE53" s="46" t="n">
        <f aca="false">INDEX(Assumptions!$B$32:$B$44,MATCH(AG53,Assumptions!$A$32:$A$44,0))*(1+Assumptions!$B$26)</f>
        <v>1500</v>
      </c>
      <c r="AF53" s="47" t="n">
        <f aca="false">(J53)*AE53-(((D53)+(J53)*Assumptions!$B$4+IF(H53="Yes",Assumptions!$B$6*(D53),(J53)*Assumptions!$B$5))*(1+Assumptions!$B$7*(Assumptions!$B$8*(L53)*Assumptions!$B$9+Assumptions!$B$10))+(D53)*Assumptions!$B$11*(L53)+(J53)*AE53*(Assumptions!$B$12+Assumptions!$B$13+IF((J53)*AE53&gt;=Assumptions!$B$16,Assumptions!$B$17,IF((J53)*AE53&gt;=Assumptions!$B$14,Assumptions!$B$15,0))))</f>
        <v>445592.40625</v>
      </c>
      <c r="AG53" s="40" t="s">
        <v>109</v>
      </c>
      <c r="AH53" s="45" t="n">
        <f aca="false">IF(G53&gt;0,G53,ROUND(F53*Assumptions!$B$18,0))</f>
        <v>2208</v>
      </c>
      <c r="AI53" s="45" t="n">
        <f aca="false">IF(H53="Yes",AH53,MAX(AH53,MIN(Assumptions!$B$20,ROUND(E53*Assumptions!$B$19,0))))</f>
        <v>4915</v>
      </c>
      <c r="AJ53" s="47" t="n">
        <f aca="false">(AH53)*AC53-(((D53)+(AH53)*Assumptions!$B$4+IF(H53="Yes",Assumptions!$B$6*(D53),(AH53)*Assumptions!$B$5))*(1+Assumptions!$B$7*(Assumptions!$B$8*(Assumptions!$B$21)*Assumptions!$B$9+Assumptions!$B$10))+(D53)*Assumptions!$B$11*(Assumptions!$B$21)+(AH53)*AC53*(Assumptions!$B$12+Assumptions!$B$13+IF((AH53)*AC53&gt;=Assumptions!$B$16,Assumptions!$B$17,IF((AH53)*AC53&gt;=Assumptions!$B$14,Assumptions!$B$15,0))))</f>
        <v>-839664.4</v>
      </c>
      <c r="AK53" s="47" t="n">
        <f aca="false">(AI53)*AC53-(((D53)+(AI53)*Assumptions!$B$4+IF(H53="Yes",Assumptions!$B$6*(D53),(AI53)*Assumptions!$B$5))*(1+Assumptions!$B$7*(Assumptions!$B$8*(IF(AI53&gt;AH53,Assumptions!$B$22,Assumptions!$B$21))*Assumptions!$B$9+Assumptions!$B$10))+(D53)*Assumptions!$B$11*(IF(AI53&gt;AH53,Assumptions!$B$22,Assumptions!$B$21))+(AI53)*AC53*(Assumptions!$B$12+Assumptions!$B$13+IF((AI53)*AC53&gt;=Assumptions!$B$16,Assumptions!$B$17,IF((AI53)*AC53&gt;=Assumptions!$B$14,Assumptions!$B$15,0))))</f>
        <v>-110048.34375</v>
      </c>
      <c r="AL53" s="47" t="n">
        <f aca="false">Assumptions!$B$7*(O53+P53+Q53)</f>
        <v>3554931.25</v>
      </c>
    </row>
    <row r="54" customFormat="false" ht="15" hidden="false" customHeight="false" outlineLevel="0" collapsed="false">
      <c r="A54" s="40" t="n">
        <v>52</v>
      </c>
      <c r="B54" s="40" t="s">
        <v>169</v>
      </c>
      <c r="C54" s="40" t="s">
        <v>115</v>
      </c>
      <c r="D54" s="41" t="n">
        <v>2595000</v>
      </c>
      <c r="E54" s="42" t="n">
        <v>8528</v>
      </c>
      <c r="F54" s="42" t="n">
        <v>2020</v>
      </c>
      <c r="G54" s="42" t="n">
        <v>3377</v>
      </c>
      <c r="H54" s="43" t="s">
        <v>67</v>
      </c>
      <c r="I54" s="44" t="s">
        <v>170</v>
      </c>
      <c r="J54" s="45" t="n">
        <f aca="false">IF(AK54&gt;AJ54,AI54,AH54)</f>
        <v>3377</v>
      </c>
      <c r="K54" s="40" t="str">
        <f aca="false">IF(AK54&gt;AJ54,"Zoning estimate",IF(H54="Yes","Approved plans",IF(G54&gt;0,"Listing claim","110% old house")))</f>
        <v>Listing claim</v>
      </c>
      <c r="L54" s="45" t="n">
        <f aca="false">IF(AK54&gt;AJ54,IF(AI54&gt;AH54,Assumptions!$B$22,Assumptions!$B$21),Assumptions!$B$21)</f>
        <v>2</v>
      </c>
      <c r="M54" s="46" t="n">
        <f aca="false">INDEX(Assumptions!$B$32:$B$44,MATCH(AG54,Assumptions!$A$32:$A$44,0))*(1+IF(UPPER(Assumptions!$B$27)="WORST",Assumptions!$B$24,IF(UPPER(Assumptions!$B$27)="BEST",Assumptions!$B$26,Assumptions!$B$25)))</f>
        <v>1540</v>
      </c>
      <c r="N54" s="47" t="n">
        <f aca="false">J54*M54</f>
        <v>5200580</v>
      </c>
      <c r="O54" s="47" t="n">
        <f aca="false">D54</f>
        <v>2595000</v>
      </c>
      <c r="P54" s="47" t="n">
        <f aca="false">J54*Assumptions!$B$4</f>
        <v>2363900</v>
      </c>
      <c r="Q54" s="47" t="n">
        <f aca="false">IF(H54="Yes",Assumptions!$B$6*(D54),(J54)*Assumptions!$B$5)</f>
        <v>253275</v>
      </c>
      <c r="R54" s="47" t="n">
        <f aca="false">AL54*(Assumptions!$B$8*L54*Assumptions!$B$9+Assumptions!$B$10)</f>
        <v>457368.35625</v>
      </c>
      <c r="S54" s="47" t="n">
        <f aca="false">O54*Assumptions!$B$11*L54</f>
        <v>62280</v>
      </c>
      <c r="T54" s="47" t="n">
        <f aca="false">N54*(Assumptions!$B$12+Assumptions!$B$13)</f>
        <v>289152.248</v>
      </c>
      <c r="U54" s="47" t="n">
        <f aca="false">N54*IF(N54&gt;=Assumptions!$B$16,Assumptions!$B$17,IF(N54&gt;=Assumptions!$B$14,Assumptions!$B$15,0))</f>
        <v>0</v>
      </c>
      <c r="V54" s="48" t="n">
        <f aca="false">SUM(O54:U54)</f>
        <v>6020975.60425</v>
      </c>
      <c r="W54" s="48" t="n">
        <f aca="false">N54-V54</f>
        <v>-820395.604249999</v>
      </c>
      <c r="X54" s="49" t="n">
        <f aca="false">IF(V54=0,0,W54/V54)</f>
        <v>-0.136256257818236</v>
      </c>
      <c r="Y54" s="47" t="n">
        <f aca="false">MAX(0,(N54/(1+Assumptions!$B$23)-(J54*(Assumptions!$B$4+IF(H54="Yes",0,Assumptions!$B$5)))*(1+(Assumptions!$B$7*(Assumptions!$B$8*L54*Assumptions!$B$9+Assumptions!$B$10)))-N54*(Assumptions!$B$12+Assumptions!$B$13+IF(N54&gt;=Assumptions!$B$16,Assumptions!$B$17,IF(N54&gt;=Assumptions!$B$14,Assumptions!$B$15,0))))/((1+IF(H54="Yes",Assumptions!$B$6,0))*(1+(Assumptions!$B$7*(Assumptions!$B$8*L54*Assumptions!$B$9+Assumptions!$B$10)))+Assumptions!$B$11*L54))</f>
        <v>1246916.23477479</v>
      </c>
      <c r="Z54" s="50" t="n">
        <f aca="false">IF(Y54&lt;=0,"no price works",D54/Y54)</f>
        <v>2.08113418337896</v>
      </c>
      <c r="AA54" s="46" t="n">
        <f aca="false">INDEX(Assumptions!$B$32:$B$44,MATCH(AG54,Assumptions!$A$32:$A$44,0))*(1+Assumptions!$B$24)</f>
        <v>1400</v>
      </c>
      <c r="AB54" s="47" t="n">
        <f aca="false">(J54)*AA54-(((D54)+(J54)*Assumptions!$B$4+IF(H54="Yes",Assumptions!$B$6*(D54),(J54)*Assumptions!$B$5))*(1+Assumptions!$B$7*(Assumptions!$B$8*(L54)*Assumptions!$B$9+Assumptions!$B$10))+(D54)*Assumptions!$B$11*(L54)+(J54)*AA54*(Assumptions!$B$12+Assumptions!$B$13+IF((J54)*AA54&gt;=Assumptions!$B$16,Assumptions!$B$17,IF((J54)*AA54&gt;=Assumptions!$B$14,Assumptions!$B$15,0))))</f>
        <v>-1266889.03625</v>
      </c>
      <c r="AC54" s="46" t="n">
        <f aca="false">INDEX(Assumptions!$B$32:$B$44,MATCH(AG54,Assumptions!$A$32:$A$44,0))*(1+Assumptions!$B$25)</f>
        <v>1540</v>
      </c>
      <c r="AD54" s="47" t="n">
        <f aca="false">(J54)*AC54-(((D54)+(J54)*Assumptions!$B$4+IF(H54="Yes",Assumptions!$B$6*(D54),(J54)*Assumptions!$B$5))*(1+Assumptions!$B$7*(Assumptions!$B$8*(L54)*Assumptions!$B$9+Assumptions!$B$10))+(D54)*Assumptions!$B$11*(L54)+(J54)*AC54*(Assumptions!$B$12+Assumptions!$B$13+IF((J54)*AC54&gt;=Assumptions!$B$16,Assumptions!$B$17,IF((J54)*AC54&gt;=Assumptions!$B$14,Assumptions!$B$15,0))))</f>
        <v>-820395.604249999</v>
      </c>
      <c r="AE54" s="46" t="n">
        <f aca="false">INDEX(Assumptions!$B$32:$B$44,MATCH(AG54,Assumptions!$A$32:$A$44,0))*(1+Assumptions!$B$26)</f>
        <v>1680</v>
      </c>
      <c r="AF54" s="47" t="n">
        <f aca="false">(J54)*AE54-(((D54)+(J54)*Assumptions!$B$4+IF(H54="Yes",Assumptions!$B$6*(D54),(J54)*Assumptions!$B$5))*(1+Assumptions!$B$7*(Assumptions!$B$8*(L54)*Assumptions!$B$9+Assumptions!$B$10))+(D54)*Assumptions!$B$11*(L54)+(J54)*AE54*(Assumptions!$B$12+Assumptions!$B$13+IF((J54)*AE54&gt;=Assumptions!$B$16,Assumptions!$B$17,IF((J54)*AE54&gt;=Assumptions!$B$14,Assumptions!$B$15,0))))</f>
        <v>-600836.57225</v>
      </c>
      <c r="AG54" s="40" t="s">
        <v>117</v>
      </c>
      <c r="AH54" s="45" t="n">
        <f aca="false">IF(G54&gt;0,G54,ROUND(F54*Assumptions!$B$18,0))</f>
        <v>3377</v>
      </c>
      <c r="AI54" s="45" t="n">
        <f aca="false">IF(H54="Yes",AH54,MAX(AH54,MIN(Assumptions!$B$20,ROUND(E54*Assumptions!$B$19,0))))</f>
        <v>3411</v>
      </c>
      <c r="AJ54" s="47" t="n">
        <f aca="false">(AH54)*AC54-(((D54)+(AH54)*Assumptions!$B$4+IF(H54="Yes",Assumptions!$B$6*(D54),(AH54)*Assumptions!$B$5))*(1+Assumptions!$B$7*(Assumptions!$B$8*(Assumptions!$B$21)*Assumptions!$B$9+Assumptions!$B$10))+(D54)*Assumptions!$B$11*(Assumptions!$B$21)+(AH54)*AC54*(Assumptions!$B$12+Assumptions!$B$13+IF((AH54)*AC54&gt;=Assumptions!$B$16,Assumptions!$B$17,IF((AH54)*AC54&gt;=Assumptions!$B$14,Assumptions!$B$15,0))))</f>
        <v>-820395.604249999</v>
      </c>
      <c r="AK54" s="47" t="n">
        <f aca="false">(AI54)*AC54-(((D54)+(AI54)*Assumptions!$B$4+IF(H54="Yes",Assumptions!$B$6*(D54),(AI54)*Assumptions!$B$5))*(1+Assumptions!$B$7*(Assumptions!$B$8*(IF(AI54&gt;AH54,Assumptions!$B$22,Assumptions!$B$21))*Assumptions!$B$9+Assumptions!$B$10))+(D54)*Assumptions!$B$11*(IF(AI54&gt;AH54,Assumptions!$B$22,Assumptions!$B$21))+(AI54)*AC54*(Assumptions!$B$12+Assumptions!$B$13+IF((AI54)*AC54&gt;=Assumptions!$B$16,Assumptions!$B$17,IF((AI54)*AC54&gt;=Assumptions!$B$14,Assumptions!$B$15,0))))</f>
        <v>-1035051.50775</v>
      </c>
      <c r="AL54" s="47" t="n">
        <f aca="false">Assumptions!$B$7*(O54+P54+Q54)</f>
        <v>3387913.75</v>
      </c>
    </row>
    <row r="55" customFormat="false" ht="15" hidden="false" customHeight="false" outlineLevel="0" collapsed="false">
      <c r="A55" s="40" t="n">
        <v>53</v>
      </c>
      <c r="B55" s="40" t="s">
        <v>171</v>
      </c>
      <c r="C55" s="40" t="s">
        <v>71</v>
      </c>
      <c r="D55" s="41" t="n">
        <v>1500000</v>
      </c>
      <c r="E55" s="42" t="n">
        <v>5212</v>
      </c>
      <c r="F55" s="42" t="n">
        <v>1395</v>
      </c>
      <c r="G55" s="42"/>
      <c r="H55" s="43" t="s">
        <v>67</v>
      </c>
      <c r="I55" s="44"/>
      <c r="J55" s="45" t="n">
        <f aca="false">IF(AK55&gt;AJ55,AI55,AH55)</f>
        <v>2085</v>
      </c>
      <c r="K55" s="40" t="str">
        <f aca="false">IF(AK55&gt;AJ55,"Zoning estimate",IF(H55="Yes","Approved plans",IF(G55&gt;0,"Listing claim","110% old house")))</f>
        <v>Zoning estimate</v>
      </c>
      <c r="L55" s="45" t="n">
        <f aca="false">IF(AK55&gt;AJ55,IF(AI55&gt;AH55,Assumptions!$B$22,Assumptions!$B$21),Assumptions!$B$21)</f>
        <v>3</v>
      </c>
      <c r="M55" s="46" t="n">
        <f aca="false">INDEX(Assumptions!$B$32:$B$44,MATCH(AG55,Assumptions!$A$32:$A$44,0))*(1+IF(UPPER(Assumptions!$B$27)="WORST",Assumptions!$B$24,IF(UPPER(Assumptions!$B$27)="BEST",Assumptions!$B$26,Assumptions!$B$25)))</f>
        <v>1540</v>
      </c>
      <c r="N55" s="47" t="n">
        <f aca="false">J55*M55</f>
        <v>3210900</v>
      </c>
      <c r="O55" s="47" t="n">
        <f aca="false">D55</f>
        <v>1500000</v>
      </c>
      <c r="P55" s="47" t="n">
        <f aca="false">J55*Assumptions!$B$4</f>
        <v>1459500</v>
      </c>
      <c r="Q55" s="47" t="n">
        <f aca="false">IF(H55="Yes",Assumptions!$B$6*(D55),(J55)*Assumptions!$B$5)</f>
        <v>156375</v>
      </c>
      <c r="R55" s="47" t="n">
        <f aca="false">AL55*(Assumptions!$B$8*L55*Assumptions!$B$9+Assumptions!$B$10)</f>
        <v>394937.15625</v>
      </c>
      <c r="S55" s="47" t="n">
        <f aca="false">O55*Assumptions!$B$11*L55</f>
        <v>54000</v>
      </c>
      <c r="T55" s="47" t="n">
        <f aca="false">N55*(Assumptions!$B$12+Assumptions!$B$13)</f>
        <v>178526.04</v>
      </c>
      <c r="U55" s="47" t="n">
        <f aca="false">N55*IF(N55&gt;=Assumptions!$B$16,Assumptions!$B$17,IF(N55&gt;=Assumptions!$B$14,Assumptions!$B$15,0))</f>
        <v>0</v>
      </c>
      <c r="V55" s="48" t="n">
        <f aca="false">SUM(O55:U55)</f>
        <v>3743338.19625</v>
      </c>
      <c r="W55" s="48" t="n">
        <f aca="false">N55-V55</f>
        <v>-532438.19625</v>
      </c>
      <c r="X55" s="49" t="n">
        <f aca="false">IF(V55=0,0,W55/V55)</f>
        <v>-0.142236198904867</v>
      </c>
      <c r="Y55" s="47" t="n">
        <f aca="false">MAX(0,(N55/(1+Assumptions!$B$23)-(J55*(Assumptions!$B$4+IF(H55="Yes",0,Assumptions!$B$5)))*(1+(Assumptions!$B$7*(Assumptions!$B$8*L55*Assumptions!$B$9+Assumptions!$B$10)))-N55*(Assumptions!$B$12+Assumptions!$B$13+IF(N55&gt;=Assumptions!$B$16,Assumptions!$B$17,IF(N55&gt;=Assumptions!$B$14,Assumptions!$B$15,0))))/((1+IF(H55="Yes",Assumptions!$B$6,0))*(1+(Assumptions!$B$7*(Assumptions!$B$8*L55*Assumptions!$B$9+Assumptions!$B$10)))+Assumptions!$B$11*L55))</f>
        <v>681895.300169202</v>
      </c>
      <c r="Z55" s="50" t="n">
        <f aca="false">IF(Y55&lt;=0,"no price works",D55/Y55)</f>
        <v>2.19975119292917</v>
      </c>
      <c r="AA55" s="46" t="n">
        <f aca="false">INDEX(Assumptions!$B$32:$B$44,MATCH(AG55,Assumptions!$A$32:$A$44,0))*(1+Assumptions!$B$24)</f>
        <v>1400</v>
      </c>
      <c r="AB55" s="47" t="n">
        <f aca="false">(J55)*AA55-(((D55)+(J55)*Assumptions!$B$4+IF(H55="Yes",Assumptions!$B$6*(D55),(J55)*Assumptions!$B$5))*(1+Assumptions!$B$7*(Assumptions!$B$8*(L55)*Assumptions!$B$9+Assumptions!$B$10))+(D55)*Assumptions!$B$11*(L55)+(J55)*AA55*(Assumptions!$B$12+Assumptions!$B$13+IF((J55)*AA55&gt;=Assumptions!$B$16,Assumptions!$B$17,IF((J55)*AA55&gt;=Assumptions!$B$14,Assumptions!$B$15,0))))</f>
        <v>-808108.556249999</v>
      </c>
      <c r="AC55" s="46" t="n">
        <f aca="false">INDEX(Assumptions!$B$32:$B$44,MATCH(AG55,Assumptions!$A$32:$A$44,0))*(1+Assumptions!$B$25)</f>
        <v>1540</v>
      </c>
      <c r="AD55" s="47" t="n">
        <f aca="false">(J55)*AC55-(((D55)+(J55)*Assumptions!$B$4+IF(H55="Yes",Assumptions!$B$6*(D55),(J55)*Assumptions!$B$5))*(1+Assumptions!$B$7*(Assumptions!$B$8*(L55)*Assumptions!$B$9+Assumptions!$B$10))+(D55)*Assumptions!$B$11*(L55)+(J55)*AC55*(Assumptions!$B$12+Assumptions!$B$13+IF((J55)*AC55&gt;=Assumptions!$B$16,Assumptions!$B$17,IF((J55)*AC55&gt;=Assumptions!$B$14,Assumptions!$B$15,0))))</f>
        <v>-532438.196249999</v>
      </c>
      <c r="AE55" s="46" t="n">
        <f aca="false">INDEX(Assumptions!$B$32:$B$44,MATCH(AG55,Assumptions!$A$32:$A$44,0))*(1+Assumptions!$B$26)</f>
        <v>1680</v>
      </c>
      <c r="AF55" s="47" t="n">
        <f aca="false">(J55)*AE55-(((D55)+(J55)*Assumptions!$B$4+IF(H55="Yes",Assumptions!$B$6*(D55),(J55)*Assumptions!$B$5))*(1+Assumptions!$B$7*(Assumptions!$B$8*(L55)*Assumptions!$B$9+Assumptions!$B$10))+(D55)*Assumptions!$B$11*(L55)+(J55)*AE55*(Assumptions!$B$12+Assumptions!$B$13+IF((J55)*AE55&gt;=Assumptions!$B$16,Assumptions!$B$17,IF((J55)*AE55&gt;=Assumptions!$B$14,Assumptions!$B$15,0))))</f>
        <v>-256767.83625</v>
      </c>
      <c r="AG55" s="40" t="s">
        <v>73</v>
      </c>
      <c r="AH55" s="45" t="n">
        <f aca="false">IF(G55&gt;0,G55,ROUND(F55*Assumptions!$B$18,0))</f>
        <v>1535</v>
      </c>
      <c r="AI55" s="45" t="n">
        <f aca="false">IF(H55="Yes",AH55,MAX(AH55,MIN(Assumptions!$B$20,ROUND(E55*Assumptions!$B$19,0))))</f>
        <v>2085</v>
      </c>
      <c r="AJ55" s="47" t="n">
        <f aca="false">(AH55)*AC55-(((D55)+(AH55)*Assumptions!$B$4+IF(H55="Yes",Assumptions!$B$6*(D55),(AH55)*Assumptions!$B$5))*(1+Assumptions!$B$7*(Assumptions!$B$8*(Assumptions!$B$21)*Assumptions!$B$9+Assumptions!$B$10))+(D55)*Assumptions!$B$11*(Assumptions!$B$21)+(AH55)*AC55*(Assumptions!$B$12+Assumptions!$B$13+IF((AH55)*AC55&gt;=Assumptions!$B$16,Assumptions!$B$17,IF((AH55)*AC55&gt;=Assumptions!$B$14,Assumptions!$B$15,0))))</f>
        <v>-729172.433749999</v>
      </c>
      <c r="AK55" s="47" t="n">
        <f aca="false">(AI55)*AC55-(((D55)+(AI55)*Assumptions!$B$4+IF(H55="Yes",Assumptions!$B$6*(D55),(AI55)*Assumptions!$B$5))*(1+Assumptions!$B$7*(Assumptions!$B$8*(IF(AI55&gt;AH55,Assumptions!$B$22,Assumptions!$B$21))*Assumptions!$B$9+Assumptions!$B$10))+(D55)*Assumptions!$B$11*(IF(AI55&gt;AH55,Assumptions!$B$22,Assumptions!$B$21))+(AI55)*AC55*(Assumptions!$B$12+Assumptions!$B$13+IF((AI55)*AC55&gt;=Assumptions!$B$16,Assumptions!$B$17,IF((AI55)*AC55&gt;=Assumptions!$B$14,Assumptions!$B$15,0))))</f>
        <v>-532438.196249999</v>
      </c>
      <c r="AL55" s="47" t="n">
        <f aca="false">Assumptions!$B$7*(O55+P55+Q55)</f>
        <v>2025318.75</v>
      </c>
    </row>
    <row r="56" customFormat="false" ht="15" hidden="false" customHeight="false" outlineLevel="0" collapsed="false">
      <c r="A56" s="40" t="n">
        <v>54</v>
      </c>
      <c r="B56" s="40" t="s">
        <v>172</v>
      </c>
      <c r="C56" s="40" t="s">
        <v>124</v>
      </c>
      <c r="D56" s="41" t="n">
        <v>2350000</v>
      </c>
      <c r="E56" s="42" t="n">
        <v>6575</v>
      </c>
      <c r="F56" s="42" t="n">
        <v>3356</v>
      </c>
      <c r="G56" s="42"/>
      <c r="H56" s="43" t="s">
        <v>67</v>
      </c>
      <c r="I56" s="44" t="s">
        <v>173</v>
      </c>
      <c r="J56" s="45" t="n">
        <f aca="false">IF(AK56&gt;AJ56,AI56,AH56)</f>
        <v>3692</v>
      </c>
      <c r="K56" s="40" t="str">
        <f aca="false">IF(AK56&gt;AJ56,"Zoning estimate",IF(H56="Yes","Approved plans",IF(G56&gt;0,"Listing claim","110% old house")))</f>
        <v>110% old house</v>
      </c>
      <c r="L56" s="45" t="n">
        <f aca="false">IF(AK56&gt;AJ56,IF(AI56&gt;AH56,Assumptions!$B$22,Assumptions!$B$21),Assumptions!$B$21)</f>
        <v>2</v>
      </c>
      <c r="M56" s="46" t="n">
        <f aca="false">INDEX(Assumptions!$B$32:$B$44,MATCH(AG56,Assumptions!$A$32:$A$44,0))*(1+IF(UPPER(Assumptions!$B$27)="WORST",Assumptions!$B$24,IF(UPPER(Assumptions!$B$27)="BEST",Assumptions!$B$26,Assumptions!$B$25)))</f>
        <v>1430</v>
      </c>
      <c r="N56" s="47" t="n">
        <f aca="false">J56*M56</f>
        <v>5279560</v>
      </c>
      <c r="O56" s="47" t="n">
        <f aca="false">D56</f>
        <v>2350000</v>
      </c>
      <c r="P56" s="47" t="n">
        <f aca="false">J56*Assumptions!$B$4</f>
        <v>2584400</v>
      </c>
      <c r="Q56" s="47" t="n">
        <f aca="false">IF(H56="Yes",Assumptions!$B$6*(D56),(J56)*Assumptions!$B$5)</f>
        <v>276900</v>
      </c>
      <c r="R56" s="47" t="n">
        <f aca="false">AL56*(Assumptions!$B$8*L56*Assumptions!$B$9+Assumptions!$B$10)</f>
        <v>457291.575</v>
      </c>
      <c r="S56" s="47" t="n">
        <f aca="false">O56*Assumptions!$B$11*L56</f>
        <v>56400</v>
      </c>
      <c r="T56" s="47" t="n">
        <f aca="false">N56*(Assumptions!$B$12+Assumptions!$B$13)</f>
        <v>293543.536</v>
      </c>
      <c r="U56" s="47" t="n">
        <f aca="false">N56*IF(N56&gt;=Assumptions!$B$16,Assumptions!$B$17,IF(N56&gt;=Assumptions!$B$14,Assumptions!$B$15,0))</f>
        <v>0</v>
      </c>
      <c r="V56" s="48" t="n">
        <f aca="false">SUM(O56:U56)</f>
        <v>6018535.111</v>
      </c>
      <c r="W56" s="48" t="n">
        <f aca="false">N56-V56</f>
        <v>-738975.111</v>
      </c>
      <c r="X56" s="49" t="n">
        <f aca="false">IF(V56=0,0,W56/V56)</f>
        <v>-0.122783218402994</v>
      </c>
      <c r="Y56" s="47" t="n">
        <f aca="false">MAX(0,(N56/(1+Assumptions!$B$23)-(J56*(Assumptions!$B$4+IF(H56="Yes",0,Assumptions!$B$5)))*(1+(Assumptions!$B$7*(Assumptions!$B$8*L56*Assumptions!$B$9+Assumptions!$B$10)))-N56*(Assumptions!$B$12+Assumptions!$B$13+IF(N56&gt;=Assumptions!$B$16,Assumptions!$B$17,IF(N56&gt;=Assumptions!$B$14,Assumptions!$B$15,0))))/((1+IF(H56="Yes",Assumptions!$B$6,0))*(1+(Assumptions!$B$7*(Assumptions!$B$8*L56*Assumptions!$B$9+Assumptions!$B$10)))+Assumptions!$B$11*L56))</f>
        <v>1065886.33067725</v>
      </c>
      <c r="Z56" s="50" t="n">
        <f aca="false">IF(Y56&lt;=0,"no price works",D56/Y56)</f>
        <v>2.20473790906657</v>
      </c>
      <c r="AA56" s="46" t="n">
        <f aca="false">INDEX(Assumptions!$B$32:$B$44,MATCH(AG56,Assumptions!$A$32:$A$44,0))*(1+Assumptions!$B$24)</f>
        <v>1300</v>
      </c>
      <c r="AB56" s="47" t="n">
        <f aca="false">(J56)*AA56-(((D56)+(J56)*Assumptions!$B$4+IF(H56="Yes",Assumptions!$B$6*(D56),(J56)*Assumptions!$B$5))*(1+Assumptions!$B$7*(Assumptions!$B$8*(L56)*Assumptions!$B$9+Assumptions!$B$10))+(D56)*Assumptions!$B$11*(L56)+(J56)*AA56*(Assumptions!$B$12+Assumptions!$B$13+IF((J56)*AA56&gt;=Assumptions!$B$16,Assumptions!$B$17,IF((J56)*AA56&gt;=Assumptions!$B$14,Assumptions!$B$15,0))))</f>
        <v>-1192249.335</v>
      </c>
      <c r="AC56" s="46" t="n">
        <f aca="false">INDEX(Assumptions!$B$32:$B$44,MATCH(AG56,Assumptions!$A$32:$A$44,0))*(1+Assumptions!$B$25)</f>
        <v>1430</v>
      </c>
      <c r="AD56" s="47" t="n">
        <f aca="false">(J56)*AC56-(((D56)+(J56)*Assumptions!$B$4+IF(H56="Yes",Assumptions!$B$6*(D56),(J56)*Assumptions!$B$5))*(1+Assumptions!$B$7*(Assumptions!$B$8*(L56)*Assumptions!$B$9+Assumptions!$B$10))+(D56)*Assumptions!$B$11*(L56)+(J56)*AC56*(Assumptions!$B$12+Assumptions!$B$13+IF((J56)*AC56&gt;=Assumptions!$B$16,Assumptions!$B$17,IF((J56)*AC56&gt;=Assumptions!$B$14,Assumptions!$B$15,0))))</f>
        <v>-738975.111</v>
      </c>
      <c r="AE56" s="46" t="n">
        <f aca="false">INDEX(Assumptions!$B$32:$B$44,MATCH(AG56,Assumptions!$A$32:$A$44,0))*(1+Assumptions!$B$26)</f>
        <v>1560</v>
      </c>
      <c r="AF56" s="47" t="n">
        <f aca="false">(J56)*AE56-(((D56)+(J56)*Assumptions!$B$4+IF(H56="Yes",Assumptions!$B$6*(D56),(J56)*Assumptions!$B$5))*(1+Assumptions!$B$7*(Assumptions!$B$8*(L56)*Assumptions!$B$9+Assumptions!$B$10))+(D56)*Assumptions!$B$11*(L56)+(J56)*AE56*(Assumptions!$B$12+Assumptions!$B$13+IF((J56)*AE56&gt;=Assumptions!$B$16,Assumptions!$B$17,IF((J56)*AE56&gt;=Assumptions!$B$14,Assumptions!$B$15,0))))</f>
        <v>-516081.687</v>
      </c>
      <c r="AG56" s="40" t="s">
        <v>126</v>
      </c>
      <c r="AH56" s="45" t="n">
        <f aca="false">IF(G56&gt;0,G56,ROUND(F56*Assumptions!$B$18,0))</f>
        <v>3692</v>
      </c>
      <c r="AI56" s="45" t="n">
        <f aca="false">IF(H56="Yes",AH56,MAX(AH56,MIN(Assumptions!$B$20,ROUND(E56*Assumptions!$B$19,0))))</f>
        <v>3692</v>
      </c>
      <c r="AJ56" s="47" t="n">
        <f aca="false">(AH56)*AC56-(((D56)+(AH56)*Assumptions!$B$4+IF(H56="Yes",Assumptions!$B$6*(D56),(AH56)*Assumptions!$B$5))*(1+Assumptions!$B$7*(Assumptions!$B$8*(Assumptions!$B$21)*Assumptions!$B$9+Assumptions!$B$10))+(D56)*Assumptions!$B$11*(Assumptions!$B$21)+(AH56)*AC56*(Assumptions!$B$12+Assumptions!$B$13+IF((AH56)*AC56&gt;=Assumptions!$B$16,Assumptions!$B$17,IF((AH56)*AC56&gt;=Assumptions!$B$14,Assumptions!$B$15,0))))</f>
        <v>-738975.111</v>
      </c>
      <c r="AK56" s="47" t="n">
        <f aca="false">(AI56)*AC56-(((D56)+(AI56)*Assumptions!$B$4+IF(H56="Yes",Assumptions!$B$6*(D56),(AI56)*Assumptions!$B$5))*(1+Assumptions!$B$7*(Assumptions!$B$8*(IF(AI56&gt;AH56,Assumptions!$B$22,Assumptions!$B$21))*Assumptions!$B$9+Assumptions!$B$10))+(D56)*Assumptions!$B$11*(IF(AI56&gt;AH56,Assumptions!$B$22,Assumptions!$B$21))+(AI56)*AC56*(Assumptions!$B$12+Assumptions!$B$13+IF((AI56)*AC56&gt;=Assumptions!$B$16,Assumptions!$B$17,IF((AI56)*AC56&gt;=Assumptions!$B$14,Assumptions!$B$15,0))))</f>
        <v>-738975.111</v>
      </c>
      <c r="AL56" s="47" t="n">
        <f aca="false">Assumptions!$B$7*(O56+P56+Q56)</f>
        <v>3387345</v>
      </c>
    </row>
    <row r="57" customFormat="false" ht="15" hidden="false" customHeight="false" outlineLevel="0" collapsed="false">
      <c r="A57" s="40" t="n">
        <v>55</v>
      </c>
      <c r="B57" s="40" t="s">
        <v>174</v>
      </c>
      <c r="C57" s="40" t="s">
        <v>98</v>
      </c>
      <c r="D57" s="41" t="n">
        <v>1395000</v>
      </c>
      <c r="E57" s="42" t="n">
        <v>6333</v>
      </c>
      <c r="F57" s="42" t="n">
        <v>2310</v>
      </c>
      <c r="G57" s="42"/>
      <c r="H57" s="43" t="s">
        <v>67</v>
      </c>
      <c r="I57" s="44"/>
      <c r="J57" s="45" t="n">
        <f aca="false">IF(AK57&gt;AJ57,AI57,AH57)</f>
        <v>2541</v>
      </c>
      <c r="K57" s="40" t="str">
        <f aca="false">IF(AK57&gt;AJ57,"Zoning estimate",IF(H57="Yes","Approved plans",IF(G57&gt;0,"Listing claim","110% old house")))</f>
        <v>110% old house</v>
      </c>
      <c r="L57" s="45" t="n">
        <f aca="false">IF(AK57&gt;AJ57,IF(AI57&gt;AH57,Assumptions!$B$22,Assumptions!$B$21),Assumptions!$B$21)</f>
        <v>2</v>
      </c>
      <c r="M57" s="46" t="n">
        <f aca="false">INDEX(Assumptions!$B$32:$B$44,MATCH(AG57,Assumptions!$A$32:$A$44,0))*(1+IF(UPPER(Assumptions!$B$27)="WORST",Assumptions!$B$24,IF(UPPER(Assumptions!$B$27)="BEST",Assumptions!$B$26,Assumptions!$B$25)))</f>
        <v>1375</v>
      </c>
      <c r="N57" s="47" t="n">
        <f aca="false">J57*M57</f>
        <v>3493875</v>
      </c>
      <c r="O57" s="47" t="n">
        <f aca="false">D57</f>
        <v>1395000</v>
      </c>
      <c r="P57" s="47" t="n">
        <f aca="false">J57*Assumptions!$B$4</f>
        <v>1778700</v>
      </c>
      <c r="Q57" s="47" t="n">
        <f aca="false">IF(H57="Yes",Assumptions!$B$6*(D57),(J57)*Assumptions!$B$5)</f>
        <v>190575</v>
      </c>
      <c r="R57" s="47" t="n">
        <f aca="false">AL57*(Assumptions!$B$8*L57*Assumptions!$B$9+Assumptions!$B$10)</f>
        <v>295215.13125</v>
      </c>
      <c r="S57" s="47" t="n">
        <f aca="false">O57*Assumptions!$B$11*L57</f>
        <v>33480</v>
      </c>
      <c r="T57" s="47" t="n">
        <f aca="false">N57*(Assumptions!$B$12+Assumptions!$B$13)</f>
        <v>194259.45</v>
      </c>
      <c r="U57" s="47" t="n">
        <f aca="false">N57*IF(N57&gt;=Assumptions!$B$16,Assumptions!$B$17,IF(N57&gt;=Assumptions!$B$14,Assumptions!$B$15,0))</f>
        <v>0</v>
      </c>
      <c r="V57" s="48" t="n">
        <f aca="false">SUM(O57:U57)</f>
        <v>3887229.58125</v>
      </c>
      <c r="W57" s="48" t="n">
        <f aca="false">N57-V57</f>
        <v>-393354.58125</v>
      </c>
      <c r="X57" s="49" t="n">
        <f aca="false">IF(V57=0,0,W57/V57)</f>
        <v>-0.101191497190529</v>
      </c>
      <c r="Y57" s="47" t="n">
        <f aca="false">MAX(0,(N57/(1+Assumptions!$B$23)-(J57*(Assumptions!$B$4+IF(H57="Yes",0,Assumptions!$B$5)))*(1+(Assumptions!$B$7*(Assumptions!$B$8*L57*Assumptions!$B$9+Assumptions!$B$10)))-N57*(Assumptions!$B$12+Assumptions!$B$13+IF(N57&gt;=Assumptions!$B$16,Assumptions!$B$17,IF(N57&gt;=Assumptions!$B$14,Assumptions!$B$15,0))))/((1+IF(H57="Yes",Assumptions!$B$6,0))*(1+(Assumptions!$B$7*(Assumptions!$B$8*L57*Assumptions!$B$9+Assumptions!$B$10)))+Assumptions!$B$11*L57))</f>
        <v>631269.478446633</v>
      </c>
      <c r="Z57" s="50" t="n">
        <f aca="false">IF(Y57&lt;=0,"no price works",D57/Y57)</f>
        <v>2.20983280140944</v>
      </c>
      <c r="AA57" s="46" t="n">
        <f aca="false">INDEX(Assumptions!$B$32:$B$44,MATCH(AG57,Assumptions!$A$32:$A$44,0))*(1+Assumptions!$B$24)</f>
        <v>1250</v>
      </c>
      <c r="AB57" s="47" t="n">
        <f aca="false">(J57)*AA57-(((D57)+(J57)*Assumptions!$B$4+IF(H57="Yes",Assumptions!$B$6*(D57),(J57)*Assumptions!$B$5))*(1+Assumptions!$B$7*(Assumptions!$B$8*(L57)*Assumptions!$B$9+Assumptions!$B$10))+(D57)*Assumptions!$B$11*(L57)+(J57)*AA57*(Assumptions!$B$12+Assumptions!$B$13+IF((J57)*AA57&gt;=Assumptions!$B$16,Assumptions!$B$17,IF((J57)*AA57&gt;=Assumptions!$B$14,Assumptions!$B$15,0))))</f>
        <v>-693319.63125</v>
      </c>
      <c r="AC57" s="46" t="n">
        <f aca="false">INDEX(Assumptions!$B$32:$B$44,MATCH(AG57,Assumptions!$A$32:$A$44,0))*(1+Assumptions!$B$25)</f>
        <v>1375</v>
      </c>
      <c r="AD57" s="47" t="n">
        <f aca="false">(J57)*AC57-(((D57)+(J57)*Assumptions!$B$4+IF(H57="Yes",Assumptions!$B$6*(D57),(J57)*Assumptions!$B$5))*(1+Assumptions!$B$7*(Assumptions!$B$8*(L57)*Assumptions!$B$9+Assumptions!$B$10))+(D57)*Assumptions!$B$11*(L57)+(J57)*AC57*(Assumptions!$B$12+Assumptions!$B$13+IF((J57)*AC57&gt;=Assumptions!$B$16,Assumptions!$B$17,IF((J57)*AC57&gt;=Assumptions!$B$14,Assumptions!$B$15,0))))</f>
        <v>-393354.58125</v>
      </c>
      <c r="AE57" s="46" t="n">
        <f aca="false">INDEX(Assumptions!$B$32:$B$44,MATCH(AG57,Assumptions!$A$32:$A$44,0))*(1+Assumptions!$B$26)</f>
        <v>1500</v>
      </c>
      <c r="AF57" s="47" t="n">
        <f aca="false">(J57)*AE57-(((D57)+(J57)*Assumptions!$B$4+IF(H57="Yes",Assumptions!$B$6*(D57),(J57)*Assumptions!$B$5))*(1+Assumptions!$B$7*(Assumptions!$B$8*(L57)*Assumptions!$B$9+Assumptions!$B$10))+(D57)*Assumptions!$B$11*(L57)+(J57)*AE57*(Assumptions!$B$12+Assumptions!$B$13+IF((J57)*AE57&gt;=Assumptions!$B$16,Assumptions!$B$17,IF((J57)*AE57&gt;=Assumptions!$B$14,Assumptions!$B$15,0))))</f>
        <v>-93389.53125</v>
      </c>
      <c r="AG57" s="40" t="s">
        <v>100</v>
      </c>
      <c r="AH57" s="45" t="n">
        <f aca="false">IF(G57&gt;0,G57,ROUND(F57*Assumptions!$B$18,0))</f>
        <v>2541</v>
      </c>
      <c r="AI57" s="45" t="n">
        <f aca="false">IF(H57="Yes",AH57,MAX(AH57,MIN(Assumptions!$B$20,ROUND(E57*Assumptions!$B$19,0))))</f>
        <v>2541</v>
      </c>
      <c r="AJ57" s="47" t="n">
        <f aca="false">(AH57)*AC57-(((D57)+(AH57)*Assumptions!$B$4+IF(H57="Yes",Assumptions!$B$6*(D57),(AH57)*Assumptions!$B$5))*(1+Assumptions!$B$7*(Assumptions!$B$8*(Assumptions!$B$21)*Assumptions!$B$9+Assumptions!$B$10))+(D57)*Assumptions!$B$11*(Assumptions!$B$21)+(AH57)*AC57*(Assumptions!$B$12+Assumptions!$B$13+IF((AH57)*AC57&gt;=Assumptions!$B$16,Assumptions!$B$17,IF((AH57)*AC57&gt;=Assumptions!$B$14,Assumptions!$B$15,0))))</f>
        <v>-393354.58125</v>
      </c>
      <c r="AK57" s="47" t="n">
        <f aca="false">(AI57)*AC57-(((D57)+(AI57)*Assumptions!$B$4+IF(H57="Yes",Assumptions!$B$6*(D57),(AI57)*Assumptions!$B$5))*(1+Assumptions!$B$7*(Assumptions!$B$8*(IF(AI57&gt;AH57,Assumptions!$B$22,Assumptions!$B$21))*Assumptions!$B$9+Assumptions!$B$10))+(D57)*Assumptions!$B$11*(IF(AI57&gt;AH57,Assumptions!$B$22,Assumptions!$B$21))+(AI57)*AC57*(Assumptions!$B$12+Assumptions!$B$13+IF((AI57)*AC57&gt;=Assumptions!$B$16,Assumptions!$B$17,IF((AI57)*AC57&gt;=Assumptions!$B$14,Assumptions!$B$15,0))))</f>
        <v>-393354.58125</v>
      </c>
      <c r="AL57" s="47" t="n">
        <f aca="false">Assumptions!$B$7*(O57+P57+Q57)</f>
        <v>2186778.75</v>
      </c>
    </row>
    <row r="58" customFormat="false" ht="15" hidden="false" customHeight="false" outlineLevel="0" collapsed="false">
      <c r="A58" s="40" t="n">
        <v>56</v>
      </c>
      <c r="B58" s="40" t="s">
        <v>175</v>
      </c>
      <c r="C58" s="40" t="s">
        <v>107</v>
      </c>
      <c r="D58" s="41" t="n">
        <v>2850000</v>
      </c>
      <c r="E58" s="42" t="n">
        <v>19493</v>
      </c>
      <c r="F58" s="42" t="n">
        <v>2891</v>
      </c>
      <c r="G58" s="42"/>
      <c r="H58" s="43" t="s">
        <v>67</v>
      </c>
      <c r="I58" s="44"/>
      <c r="J58" s="45" t="n">
        <f aca="false">IF(AK58&gt;AJ58,AI58,AH58)</f>
        <v>7797</v>
      </c>
      <c r="K58" s="40" t="str">
        <f aca="false">IF(AK58&gt;AJ58,"Zoning estimate",IF(H58="Yes","Approved plans",IF(G58&gt;0,"Listing claim","110% old house")))</f>
        <v>Zoning estimate</v>
      </c>
      <c r="L58" s="45" t="n">
        <f aca="false">IF(AK58&gt;AJ58,IF(AI58&gt;AH58,Assumptions!$B$22,Assumptions!$B$21),Assumptions!$B$21)</f>
        <v>3</v>
      </c>
      <c r="M58" s="46" t="n">
        <f aca="false">INDEX(Assumptions!$B$32:$B$44,MATCH(AG58,Assumptions!$A$32:$A$44,0))*(1+IF(UPPER(Assumptions!$B$27)="WORST",Assumptions!$B$24,IF(UPPER(Assumptions!$B$27)="BEST",Assumptions!$B$26,Assumptions!$B$25)))</f>
        <v>1375</v>
      </c>
      <c r="N58" s="47" t="n">
        <f aca="false">J58*M58</f>
        <v>10720875</v>
      </c>
      <c r="O58" s="47" t="n">
        <f aca="false">D58</f>
        <v>2850000</v>
      </c>
      <c r="P58" s="47" t="n">
        <f aca="false">J58*Assumptions!$B$4</f>
        <v>5457900</v>
      </c>
      <c r="Q58" s="47" t="n">
        <f aca="false">IF(H58="Yes",Assumptions!$B$6*(D58),(J58)*Assumptions!$B$5)</f>
        <v>584775</v>
      </c>
      <c r="R58" s="47" t="n">
        <f aca="false">AL58*(Assumptions!$B$8*L58*Assumptions!$B$9+Assumptions!$B$10)</f>
        <v>1127146.55625</v>
      </c>
      <c r="S58" s="47" t="n">
        <f aca="false">O58*Assumptions!$B$11*L58</f>
        <v>102600</v>
      </c>
      <c r="T58" s="47" t="n">
        <f aca="false">N58*(Assumptions!$B$12+Assumptions!$B$13)</f>
        <v>596080.65</v>
      </c>
      <c r="U58" s="47" t="n">
        <f aca="false">N58*IF(N58&gt;=Assumptions!$B$16,Assumptions!$B$17,IF(N58&gt;=Assumptions!$B$14,Assumptions!$B$15,0))</f>
        <v>428835</v>
      </c>
      <c r="V58" s="48" t="n">
        <f aca="false">SUM(O58:U58)</f>
        <v>11147337.20625</v>
      </c>
      <c r="W58" s="48" t="n">
        <f aca="false">N58-V58</f>
        <v>-426462.206250001</v>
      </c>
      <c r="X58" s="49" t="n">
        <f aca="false">IF(V58=0,0,W58/V58)</f>
        <v>-0.0382568678384373</v>
      </c>
      <c r="Y58" s="47" t="n">
        <f aca="false">MAX(0,(N58/(1+Assumptions!$B$23)-(J58*(Assumptions!$B$4+IF(H58="Yes",0,Assumptions!$B$5)))*(1+(Assumptions!$B$7*(Assumptions!$B$8*L58*Assumptions!$B$9+Assumptions!$B$10)))-N58*(Assumptions!$B$12+Assumptions!$B$13+IF(N58&gt;=Assumptions!$B$16,Assumptions!$B$17,IF(N58&gt;=Assumptions!$B$14,Assumptions!$B$15,0))))/((1+IF(H58="Yes",Assumptions!$B$6,0))*(1+(Assumptions!$B$7*(Assumptions!$B$8*L58*Assumptions!$B$9+Assumptions!$B$10)))+Assumptions!$B$11*L58))</f>
        <v>1280585.07310256</v>
      </c>
      <c r="Z58" s="50" t="n">
        <f aca="false">IF(Y58&lt;=0,"no price works",D58/Y58)</f>
        <v>2.22554522917803</v>
      </c>
      <c r="AA58" s="46" t="n">
        <f aca="false">INDEX(Assumptions!$B$32:$B$44,MATCH(AG58,Assumptions!$A$32:$A$44,0))*(1+Assumptions!$B$24)</f>
        <v>1250</v>
      </c>
      <c r="AB58" s="47" t="n">
        <f aca="false">(J58)*AA58-(((D58)+(J58)*Assumptions!$B$4+IF(H58="Yes",Assumptions!$B$6*(D58),(J58)*Assumptions!$B$5))*(1+Assumptions!$B$7*(Assumptions!$B$8*(L58)*Assumptions!$B$9+Assumptions!$B$10))+(D58)*Assumptions!$B$11*(L58)+(J58)*AA58*(Assumptions!$B$12+Assumptions!$B$13+IF((J58)*AA58&gt;=Assumptions!$B$16,Assumptions!$B$17,IF((J58)*AA58&gt;=Assumptions!$B$14,Assumptions!$B$15,0))))</f>
        <v>-1307913.05625</v>
      </c>
      <c r="AC58" s="46" t="n">
        <f aca="false">INDEX(Assumptions!$B$32:$B$44,MATCH(AG58,Assumptions!$A$32:$A$44,0))*(1+Assumptions!$B$25)</f>
        <v>1375</v>
      </c>
      <c r="AD58" s="47" t="n">
        <f aca="false">(J58)*AC58-(((D58)+(J58)*Assumptions!$B$4+IF(H58="Yes",Assumptions!$B$6*(D58),(J58)*Assumptions!$B$5))*(1+Assumptions!$B$7*(Assumptions!$B$8*(L58)*Assumptions!$B$9+Assumptions!$B$10))+(D58)*Assumptions!$B$11*(L58)+(J58)*AC58*(Assumptions!$B$12+Assumptions!$B$13+IF((J58)*AC58&gt;=Assumptions!$B$16,Assumptions!$B$17,IF((J58)*AC58&gt;=Assumptions!$B$14,Assumptions!$B$15,0))))</f>
        <v>-426462.206249999</v>
      </c>
      <c r="AE58" s="46" t="n">
        <f aca="false">INDEX(Assumptions!$B$32:$B$44,MATCH(AG58,Assumptions!$A$32:$A$44,0))*(1+Assumptions!$B$26)</f>
        <v>1500</v>
      </c>
      <c r="AF58" s="47" t="n">
        <f aca="false">(J58)*AE58-(((D58)+(J58)*Assumptions!$B$4+IF(H58="Yes",Assumptions!$B$6*(D58),(J58)*Assumptions!$B$5))*(1+Assumptions!$B$7*(Assumptions!$B$8*(L58)*Assumptions!$B$9+Assumptions!$B$10))+(D58)*Assumptions!$B$11*(L58)+(J58)*AE58*(Assumptions!$B$12+Assumptions!$B$13+IF((J58)*AE58&gt;=Assumptions!$B$16,Assumptions!$B$17,IF((J58)*AE58&gt;=Assumptions!$B$14,Assumptions!$B$15,0))))</f>
        <v>279556.143750001</v>
      </c>
      <c r="AG58" s="40" t="s">
        <v>109</v>
      </c>
      <c r="AH58" s="45" t="n">
        <f aca="false">IF(G58&gt;0,G58,ROUND(F58*Assumptions!$B$18,0))</f>
        <v>3180</v>
      </c>
      <c r="AI58" s="45" t="n">
        <f aca="false">IF(H58="Yes",AH58,MAX(AH58,MIN(Assumptions!$B$20,ROUND(E58*Assumptions!$B$19,0))))</f>
        <v>7797</v>
      </c>
      <c r="AJ58" s="47" t="n">
        <f aca="false">(AH58)*AC58-(((D58)+(AH58)*Assumptions!$B$4+IF(H58="Yes",Assumptions!$B$6*(D58),(AH58)*Assumptions!$B$5))*(1+Assumptions!$B$7*(Assumptions!$B$8*(Assumptions!$B$21)*Assumptions!$B$9+Assumptions!$B$10))+(D58)*Assumptions!$B$11*(Assumptions!$B$21)+(AH58)*AC58*(Assumptions!$B$12+Assumptions!$B$13+IF((AH58)*AC58&gt;=Assumptions!$B$16,Assumptions!$B$17,IF((AH58)*AC58&gt;=Assumptions!$B$14,Assumptions!$B$15,0))))</f>
        <v>-1719858.375</v>
      </c>
      <c r="AK58" s="47" t="n">
        <f aca="false">(AI58)*AC58-(((D58)+(AI58)*Assumptions!$B$4+IF(H58="Yes",Assumptions!$B$6*(D58),(AI58)*Assumptions!$B$5))*(1+Assumptions!$B$7*(Assumptions!$B$8*(IF(AI58&gt;AH58,Assumptions!$B$22,Assumptions!$B$21))*Assumptions!$B$9+Assumptions!$B$10))+(D58)*Assumptions!$B$11*(IF(AI58&gt;AH58,Assumptions!$B$22,Assumptions!$B$21))+(AI58)*AC58*(Assumptions!$B$12+Assumptions!$B$13+IF((AI58)*AC58&gt;=Assumptions!$B$16,Assumptions!$B$17,IF((AI58)*AC58&gt;=Assumptions!$B$14,Assumptions!$B$15,0))))</f>
        <v>-426462.206249999</v>
      </c>
      <c r="AL58" s="47" t="n">
        <f aca="false">Assumptions!$B$7*(O58+P58+Q58)</f>
        <v>5780238.75</v>
      </c>
    </row>
    <row r="59" customFormat="false" ht="15" hidden="false" customHeight="false" outlineLevel="0" collapsed="false">
      <c r="A59" s="40" t="n">
        <v>57</v>
      </c>
      <c r="B59" s="40" t="s">
        <v>176</v>
      </c>
      <c r="C59" s="40" t="s">
        <v>107</v>
      </c>
      <c r="D59" s="41" t="n">
        <v>2198000</v>
      </c>
      <c r="E59" s="42" t="n">
        <v>14840</v>
      </c>
      <c r="F59" s="42" t="n">
        <v>1967</v>
      </c>
      <c r="G59" s="42"/>
      <c r="H59" s="43" t="s">
        <v>67</v>
      </c>
      <c r="I59" s="44"/>
      <c r="J59" s="45" t="n">
        <f aca="false">IF(AK59&gt;AJ59,AI59,AH59)</f>
        <v>5936</v>
      </c>
      <c r="K59" s="40" t="str">
        <f aca="false">IF(AK59&gt;AJ59,"Zoning estimate",IF(H59="Yes","Approved plans",IF(G59&gt;0,"Listing claim","110% old house")))</f>
        <v>Zoning estimate</v>
      </c>
      <c r="L59" s="45" t="n">
        <f aca="false">IF(AK59&gt;AJ59,IF(AI59&gt;AH59,Assumptions!$B$22,Assumptions!$B$21),Assumptions!$B$21)</f>
        <v>3</v>
      </c>
      <c r="M59" s="46" t="n">
        <f aca="false">INDEX(Assumptions!$B$32:$B$44,MATCH(AG59,Assumptions!$A$32:$A$44,0))*(1+IF(UPPER(Assumptions!$B$27)="WORST",Assumptions!$B$24,IF(UPPER(Assumptions!$B$27)="BEST",Assumptions!$B$26,Assumptions!$B$25)))</f>
        <v>1375</v>
      </c>
      <c r="N59" s="47" t="n">
        <f aca="false">J59*M59</f>
        <v>8162000</v>
      </c>
      <c r="O59" s="47" t="n">
        <f aca="false">D59</f>
        <v>2198000</v>
      </c>
      <c r="P59" s="47" t="n">
        <f aca="false">J59*Assumptions!$B$4</f>
        <v>4155200</v>
      </c>
      <c r="Q59" s="47" t="n">
        <f aca="false">IF(H59="Yes",Assumptions!$B$6*(D59),(J59)*Assumptions!$B$5)</f>
        <v>445200</v>
      </c>
      <c r="R59" s="47" t="n">
        <f aca="false">AL59*(Assumptions!$B$8*L59*Assumptions!$B$9+Assumptions!$B$10)</f>
        <v>861697.2</v>
      </c>
      <c r="S59" s="47" t="n">
        <f aca="false">O59*Assumptions!$B$11*L59</f>
        <v>79128</v>
      </c>
      <c r="T59" s="47" t="n">
        <f aca="false">N59*(Assumptions!$B$12+Assumptions!$B$13)</f>
        <v>453807.2</v>
      </c>
      <c r="U59" s="47" t="n">
        <f aca="false">N59*IF(N59&gt;=Assumptions!$B$16,Assumptions!$B$17,IF(N59&gt;=Assumptions!$B$14,Assumptions!$B$15,0))</f>
        <v>326480</v>
      </c>
      <c r="V59" s="48" t="n">
        <f aca="false">SUM(O59:U59)</f>
        <v>8519512.4</v>
      </c>
      <c r="W59" s="48" t="n">
        <f aca="false">N59-V59</f>
        <v>-357512.4</v>
      </c>
      <c r="X59" s="49" t="n">
        <f aca="false">IF(V59=0,0,W59/V59)</f>
        <v>-0.0419639508946545</v>
      </c>
      <c r="Y59" s="47" t="n">
        <f aca="false">MAX(0,(N59/(1+Assumptions!$B$23)-(J59*(Assumptions!$B$4+IF(H59="Yes",0,Assumptions!$B$5)))*(1+(Assumptions!$B$7*(Assumptions!$B$8*L59*Assumptions!$B$9+Assumptions!$B$10)))-N59*(Assumptions!$B$12+Assumptions!$B$13+IF(N59&gt;=Assumptions!$B$16,Assumptions!$B$17,IF(N59&gt;=Assumptions!$B$14,Assumptions!$B$15,0))))/((1+IF(H59="Yes",Assumptions!$B$6,0))*(1+(Assumptions!$B$7*(Assumptions!$B$8*L59*Assumptions!$B$9+Assumptions!$B$10)))+Assumptions!$B$11*L59))</f>
        <v>974933.050395896</v>
      </c>
      <c r="Z59" s="50" t="n">
        <f aca="false">IF(Y59&lt;=0,"no price works",D59/Y59)</f>
        <v>2.25451378339</v>
      </c>
      <c r="AA59" s="46" t="n">
        <f aca="false">INDEX(Assumptions!$B$32:$B$44,MATCH(AG59,Assumptions!$A$32:$A$44,0))*(1+Assumptions!$B$24)</f>
        <v>1250</v>
      </c>
      <c r="AB59" s="47" t="n">
        <f aca="false">(J59)*AA59-(((D59)+(J59)*Assumptions!$B$4+IF(H59="Yes",Assumptions!$B$6*(D59),(J59)*Assumptions!$B$5))*(1+Assumptions!$B$7*(Assumptions!$B$8*(L59)*Assumptions!$B$9+Assumptions!$B$10))+(D59)*Assumptions!$B$11*(L59)+(J59)*AA59*(Assumptions!$B$12+Assumptions!$B$13+IF((J59)*AA59&gt;=Assumptions!$B$16,Assumptions!$B$17,IF((J59)*AA59&gt;=Assumptions!$B$14,Assumptions!$B$15,0))))</f>
        <v>-1028577.2</v>
      </c>
      <c r="AC59" s="46" t="n">
        <f aca="false">INDEX(Assumptions!$B$32:$B$44,MATCH(AG59,Assumptions!$A$32:$A$44,0))*(1+Assumptions!$B$25)</f>
        <v>1375</v>
      </c>
      <c r="AD59" s="47" t="n">
        <f aca="false">(J59)*AC59-(((D59)+(J59)*Assumptions!$B$4+IF(H59="Yes",Assumptions!$B$6*(D59),(J59)*Assumptions!$B$5))*(1+Assumptions!$B$7*(Assumptions!$B$8*(L59)*Assumptions!$B$9+Assumptions!$B$10))+(D59)*Assumptions!$B$11*(L59)+(J59)*AC59*(Assumptions!$B$12+Assumptions!$B$13+IF((J59)*AC59&gt;=Assumptions!$B$16,Assumptions!$B$17,IF((J59)*AC59&gt;=Assumptions!$B$14,Assumptions!$B$15,0))))</f>
        <v>-357512.399999999</v>
      </c>
      <c r="AE59" s="46" t="n">
        <f aca="false">INDEX(Assumptions!$B$32:$B$44,MATCH(AG59,Assumptions!$A$32:$A$44,0))*(1+Assumptions!$B$26)</f>
        <v>1500</v>
      </c>
      <c r="AF59" s="47" t="n">
        <f aca="false">(J59)*AE59-(((D59)+(J59)*Assumptions!$B$4+IF(H59="Yes",Assumptions!$B$6*(D59),(J59)*Assumptions!$B$5))*(1+Assumptions!$B$7*(Assumptions!$B$8*(L59)*Assumptions!$B$9+Assumptions!$B$10))+(D59)*Assumptions!$B$11*(L59)+(J59)*AE59*(Assumptions!$B$12+Assumptions!$B$13+IF((J59)*AE59&gt;=Assumptions!$B$16,Assumptions!$B$17,IF((J59)*AE59&gt;=Assumptions!$B$14,Assumptions!$B$15,0))))</f>
        <v>313552.4</v>
      </c>
      <c r="AG59" s="40" t="s">
        <v>109</v>
      </c>
      <c r="AH59" s="45" t="n">
        <f aca="false">IF(G59&gt;0,G59,ROUND(F59*Assumptions!$B$18,0))</f>
        <v>2164</v>
      </c>
      <c r="AI59" s="45" t="n">
        <f aca="false">IF(H59="Yes",AH59,MAX(AH59,MIN(Assumptions!$B$20,ROUND(E59*Assumptions!$B$19,0))))</f>
        <v>5936</v>
      </c>
      <c r="AJ59" s="47" t="n">
        <f aca="false">(AH59)*AC59-(((D59)+(AH59)*Assumptions!$B$4+IF(H59="Yes",Assumptions!$B$6*(D59),(AH59)*Assumptions!$B$5))*(1+Assumptions!$B$7*(Assumptions!$B$8*(Assumptions!$B$21)*Assumptions!$B$9+Assumptions!$B$10))+(D59)*Assumptions!$B$11*(Assumptions!$B$21)+(AH59)*AC59*(Assumptions!$B$12+Assumptions!$B$13+IF((AH59)*AC59&gt;=Assumptions!$B$16,Assumptions!$B$17,IF((AH59)*AC59&gt;=Assumptions!$B$14,Assumptions!$B$15,0))))</f>
        <v>-1457829.825</v>
      </c>
      <c r="AK59" s="47" t="n">
        <f aca="false">(AI59)*AC59-(((D59)+(AI59)*Assumptions!$B$4+IF(H59="Yes",Assumptions!$B$6*(D59),(AI59)*Assumptions!$B$5))*(1+Assumptions!$B$7*(Assumptions!$B$8*(IF(AI59&gt;AH59,Assumptions!$B$22,Assumptions!$B$21))*Assumptions!$B$9+Assumptions!$B$10))+(D59)*Assumptions!$B$11*(IF(AI59&gt;AH59,Assumptions!$B$22,Assumptions!$B$21))+(AI59)*AC59*(Assumptions!$B$12+Assumptions!$B$13+IF((AI59)*AC59&gt;=Assumptions!$B$16,Assumptions!$B$17,IF((AI59)*AC59&gt;=Assumptions!$B$14,Assumptions!$B$15,0))))</f>
        <v>-357512.399999999</v>
      </c>
      <c r="AL59" s="47" t="n">
        <f aca="false">Assumptions!$B$7*(O59+P59+Q59)</f>
        <v>4418960</v>
      </c>
    </row>
    <row r="60" customFormat="false" ht="15" hidden="false" customHeight="false" outlineLevel="0" collapsed="false">
      <c r="A60" s="40" t="n">
        <v>58</v>
      </c>
      <c r="B60" s="40" t="s">
        <v>177</v>
      </c>
      <c r="C60" s="40" t="s">
        <v>115</v>
      </c>
      <c r="D60" s="41" t="n">
        <v>2395000</v>
      </c>
      <c r="E60" s="42" t="n">
        <v>7955</v>
      </c>
      <c r="F60" s="42" t="n">
        <v>1796</v>
      </c>
      <c r="G60" s="42"/>
      <c r="H60" s="43" t="s">
        <v>67</v>
      </c>
      <c r="I60" s="44"/>
      <c r="J60" s="45" t="n">
        <f aca="false">IF(AK60&gt;AJ60,AI60,AH60)</f>
        <v>3182</v>
      </c>
      <c r="K60" s="40" t="str">
        <f aca="false">IF(AK60&gt;AJ60,"Zoning estimate",IF(H60="Yes","Approved plans",IF(G60&gt;0,"Listing claim","110% old house")))</f>
        <v>Zoning estimate</v>
      </c>
      <c r="L60" s="45" t="n">
        <f aca="false">IF(AK60&gt;AJ60,IF(AI60&gt;AH60,Assumptions!$B$22,Assumptions!$B$21),Assumptions!$B$21)</f>
        <v>3</v>
      </c>
      <c r="M60" s="46" t="n">
        <f aca="false">INDEX(Assumptions!$B$32:$B$44,MATCH(AG60,Assumptions!$A$32:$A$44,0))*(1+IF(UPPER(Assumptions!$B$27)="WORST",Assumptions!$B$24,IF(UPPER(Assumptions!$B$27)="BEST",Assumptions!$B$26,Assumptions!$B$25)))</f>
        <v>1540</v>
      </c>
      <c r="N60" s="47" t="n">
        <f aca="false">J60*M60</f>
        <v>4900280</v>
      </c>
      <c r="O60" s="47" t="n">
        <f aca="false">D60</f>
        <v>2395000</v>
      </c>
      <c r="P60" s="47" t="n">
        <f aca="false">J60*Assumptions!$B$4</f>
        <v>2227400</v>
      </c>
      <c r="Q60" s="47" t="n">
        <f aca="false">IF(H60="Yes",Assumptions!$B$6*(D60),(J60)*Assumptions!$B$5)</f>
        <v>238650</v>
      </c>
      <c r="R60" s="47" t="n">
        <f aca="false">AL60*(Assumptions!$B$8*L60*Assumptions!$B$9+Assumptions!$B$10)</f>
        <v>616138.0875</v>
      </c>
      <c r="S60" s="47" t="n">
        <f aca="false">O60*Assumptions!$B$11*L60</f>
        <v>86220</v>
      </c>
      <c r="T60" s="47" t="n">
        <f aca="false">N60*(Assumptions!$B$12+Assumptions!$B$13)</f>
        <v>272455.568</v>
      </c>
      <c r="U60" s="47" t="n">
        <f aca="false">N60*IF(N60&gt;=Assumptions!$B$16,Assumptions!$B$17,IF(N60&gt;=Assumptions!$B$14,Assumptions!$B$15,0))</f>
        <v>0</v>
      </c>
      <c r="V60" s="48" t="n">
        <f aca="false">SUM(O60:U60)</f>
        <v>5835863.6555</v>
      </c>
      <c r="W60" s="48" t="n">
        <f aca="false">N60-V60</f>
        <v>-935583.655499999</v>
      </c>
      <c r="X60" s="49" t="n">
        <f aca="false">IF(V60=0,0,W60/V60)</f>
        <v>-0.160316229221404</v>
      </c>
      <c r="Y60" s="47" t="n">
        <f aca="false">MAX(0,(N60/(1+Assumptions!$B$23)-(J60*(Assumptions!$B$4+IF(H60="Yes",0,Assumptions!$B$5)))*(1+(Assumptions!$B$7*(Assumptions!$B$8*L60*Assumptions!$B$9+Assumptions!$B$10)))-N60*(Assumptions!$B$12+Assumptions!$B$13+IF(N60&gt;=Assumptions!$B$16,Assumptions!$B$17,IF(N60&gt;=Assumptions!$B$14,Assumptions!$B$15,0))))/((1+IF(H60="Yes",Assumptions!$B$6,0))*(1+(Assumptions!$B$7*(Assumptions!$B$8*L60*Assumptions!$B$9+Assumptions!$B$10)))+Assumptions!$B$11*L60))</f>
        <v>1040667.07200883</v>
      </c>
      <c r="Z60" s="50" t="n">
        <f aca="false">IF(Y60&lt;=0,"no price works",D60/Y60)</f>
        <v>2.30140845657475</v>
      </c>
      <c r="AA60" s="46" t="n">
        <f aca="false">INDEX(Assumptions!$B$32:$B$44,MATCH(AG60,Assumptions!$A$32:$A$44,0))*(1+Assumptions!$B$24)</f>
        <v>1400</v>
      </c>
      <c r="AB60" s="47" t="n">
        <f aca="false">(J60)*AA60-(((D60)+(J60)*Assumptions!$B$4+IF(H60="Yes",Assumptions!$B$6*(D60),(J60)*Assumptions!$B$5))*(1+Assumptions!$B$7*(Assumptions!$B$8*(L60)*Assumptions!$B$9+Assumptions!$B$10))+(D60)*Assumptions!$B$11*(L60)+(J60)*AA60*(Assumptions!$B$12+Assumptions!$B$13+IF((J60)*AA60&gt;=Assumptions!$B$16,Assumptions!$B$17,IF((J60)*AA60&gt;=Assumptions!$B$14,Assumptions!$B$15,0))))</f>
        <v>-1356294.9675</v>
      </c>
      <c r="AC60" s="46" t="n">
        <f aca="false">INDEX(Assumptions!$B$32:$B$44,MATCH(AG60,Assumptions!$A$32:$A$44,0))*(1+Assumptions!$B$25)</f>
        <v>1540</v>
      </c>
      <c r="AD60" s="47" t="n">
        <f aca="false">(J60)*AC60-(((D60)+(J60)*Assumptions!$B$4+IF(H60="Yes",Assumptions!$B$6*(D60),(J60)*Assumptions!$B$5))*(1+Assumptions!$B$7*(Assumptions!$B$8*(L60)*Assumptions!$B$9+Assumptions!$B$10))+(D60)*Assumptions!$B$11*(L60)+(J60)*AC60*(Assumptions!$B$12+Assumptions!$B$13+IF((J60)*AC60&gt;=Assumptions!$B$16,Assumptions!$B$17,IF((J60)*AC60&gt;=Assumptions!$B$14,Assumptions!$B$15,0))))</f>
        <v>-935583.655499999</v>
      </c>
      <c r="AE60" s="46" t="n">
        <f aca="false">INDEX(Assumptions!$B$32:$B$44,MATCH(AG60,Assumptions!$A$32:$A$44,0))*(1+Assumptions!$B$26)</f>
        <v>1680</v>
      </c>
      <c r="AF60" s="47" t="n">
        <f aca="false">(J60)*AE60-(((D60)+(J60)*Assumptions!$B$4+IF(H60="Yes",Assumptions!$B$6*(D60),(J60)*Assumptions!$B$5))*(1+Assumptions!$B$7*(Assumptions!$B$8*(L60)*Assumptions!$B$9+Assumptions!$B$10))+(D60)*Assumptions!$B$11*(L60)+(J60)*AE60*(Assumptions!$B$12+Assumptions!$B$13+IF((J60)*AE60&gt;=Assumptions!$B$16,Assumptions!$B$17,IF((J60)*AE60&gt;=Assumptions!$B$14,Assumptions!$B$15,0))))</f>
        <v>-514872.3435</v>
      </c>
      <c r="AG60" s="40" t="s">
        <v>117</v>
      </c>
      <c r="AH60" s="45" t="n">
        <f aca="false">IF(G60&gt;0,G60,ROUND(F60*Assumptions!$B$18,0))</f>
        <v>1976</v>
      </c>
      <c r="AI60" s="45" t="n">
        <f aca="false">IF(H60="Yes",AH60,MAX(AH60,MIN(Assumptions!$B$20,ROUND(E60*Assumptions!$B$19,0))))</f>
        <v>3182</v>
      </c>
      <c r="AJ60" s="47" t="n">
        <f aca="false">(AH60)*AC60-(((D60)+(AH60)*Assumptions!$B$4+IF(H60="Yes",Assumptions!$B$6*(D60),(AH60)*Assumptions!$B$5))*(1+Assumptions!$B$7*(Assumptions!$B$8*(Assumptions!$B$21)*Assumptions!$B$9+Assumptions!$B$10))+(D60)*Assumptions!$B$11*(Assumptions!$B$21)+(AH60)*AC60*(Assumptions!$B$12+Assumptions!$B$13+IF((AH60)*AC60&gt;=Assumptions!$B$16,Assumptions!$B$17,IF((AH60)*AC60&gt;=Assumptions!$B$14,Assumptions!$B$15,0))))</f>
        <v>-1454574.624</v>
      </c>
      <c r="AK60" s="47" t="n">
        <f aca="false">(AI60)*AC60-(((D60)+(AI60)*Assumptions!$B$4+IF(H60="Yes",Assumptions!$B$6*(D60),(AI60)*Assumptions!$B$5))*(1+Assumptions!$B$7*(Assumptions!$B$8*(IF(AI60&gt;AH60,Assumptions!$B$22,Assumptions!$B$21))*Assumptions!$B$9+Assumptions!$B$10))+(D60)*Assumptions!$B$11*(IF(AI60&gt;AH60,Assumptions!$B$22,Assumptions!$B$21))+(AI60)*AC60*(Assumptions!$B$12+Assumptions!$B$13+IF((AI60)*AC60&gt;=Assumptions!$B$16,Assumptions!$B$17,IF((AI60)*AC60&gt;=Assumptions!$B$14,Assumptions!$B$15,0))))</f>
        <v>-935583.655499999</v>
      </c>
      <c r="AL60" s="47" t="n">
        <f aca="false">Assumptions!$B$7*(O60+P60+Q60)</f>
        <v>3159682.5</v>
      </c>
    </row>
    <row r="61" customFormat="false" ht="15" hidden="false" customHeight="false" outlineLevel="0" collapsed="false">
      <c r="A61" s="40" t="n">
        <v>59</v>
      </c>
      <c r="B61" s="40" t="s">
        <v>178</v>
      </c>
      <c r="C61" s="40" t="s">
        <v>107</v>
      </c>
      <c r="D61" s="41" t="n">
        <v>2700000</v>
      </c>
      <c r="E61" s="42" t="n">
        <v>28532</v>
      </c>
      <c r="F61" s="42" t="n">
        <v>3568</v>
      </c>
      <c r="G61" s="42"/>
      <c r="H61" s="43" t="s">
        <v>67</v>
      </c>
      <c r="I61" s="44"/>
      <c r="J61" s="45" t="n">
        <f aca="false">IF(AK61&gt;AJ61,AI61,AH61)</f>
        <v>8000</v>
      </c>
      <c r="K61" s="40" t="str">
        <f aca="false">IF(AK61&gt;AJ61,"Zoning estimate",IF(H61="Yes","Approved plans",IF(G61&gt;0,"Listing claim","110% old house")))</f>
        <v>Zoning estimate</v>
      </c>
      <c r="L61" s="45" t="n">
        <f aca="false">IF(AK61&gt;AJ61,IF(AI61&gt;AH61,Assumptions!$B$22,Assumptions!$B$21),Assumptions!$B$21)</f>
        <v>3</v>
      </c>
      <c r="M61" s="46" t="n">
        <f aca="false">INDEX(Assumptions!$B$32:$B$44,MATCH(AG61,Assumptions!$A$32:$A$44,0))*(1+IF(UPPER(Assumptions!$B$27)="WORST",Assumptions!$B$24,IF(UPPER(Assumptions!$B$27)="BEST",Assumptions!$B$26,Assumptions!$B$25)))</f>
        <v>1375</v>
      </c>
      <c r="N61" s="47" t="n">
        <f aca="false">J61*M61</f>
        <v>11000000</v>
      </c>
      <c r="O61" s="47" t="n">
        <f aca="false">D61</f>
        <v>2700000</v>
      </c>
      <c r="P61" s="47" t="n">
        <f aca="false">J61*Assumptions!$B$4</f>
        <v>5600000</v>
      </c>
      <c r="Q61" s="47" t="n">
        <f aca="false">IF(H61="Yes",Assumptions!$B$6*(D61),(J61)*Assumptions!$B$5)</f>
        <v>600000</v>
      </c>
      <c r="R61" s="47" t="n">
        <f aca="false">AL61*(Assumptions!$B$8*L61*Assumptions!$B$9+Assumptions!$B$10)</f>
        <v>1128075</v>
      </c>
      <c r="S61" s="47" t="n">
        <f aca="false">O61*Assumptions!$B$11*L61</f>
        <v>97200</v>
      </c>
      <c r="T61" s="47" t="n">
        <f aca="false">N61*(Assumptions!$B$12+Assumptions!$B$13)</f>
        <v>611600</v>
      </c>
      <c r="U61" s="47" t="n">
        <f aca="false">N61*IF(N61&gt;=Assumptions!$B$16,Assumptions!$B$17,IF(N61&gt;=Assumptions!$B$14,Assumptions!$B$15,0))</f>
        <v>605000</v>
      </c>
      <c r="V61" s="48" t="n">
        <f aca="false">SUM(O61:U61)</f>
        <v>11341875</v>
      </c>
      <c r="W61" s="48" t="n">
        <f aca="false">N61-V61</f>
        <v>-341875</v>
      </c>
      <c r="X61" s="49" t="n">
        <f aca="false">IF(V61=0,0,W61/V61)</f>
        <v>-0.0301427233151485</v>
      </c>
      <c r="Y61" s="47" t="n">
        <f aca="false">MAX(0,(N61/(1+Assumptions!$B$23)-(J61*(Assumptions!$B$4+IF(H61="Yes",0,Assumptions!$B$5)))*(1+(Assumptions!$B$7*(Assumptions!$B$8*L61*Assumptions!$B$9+Assumptions!$B$10)))-N61*(Assumptions!$B$12+Assumptions!$B$13+IF(N61&gt;=Assumptions!$B$16,Assumptions!$B$17,IF(N61&gt;=Assumptions!$B$14,Assumptions!$B$15,0))))/((1+IF(H61="Yes",Assumptions!$B$6,0))*(1+(Assumptions!$B$7*(Assumptions!$B$8*L61*Assumptions!$B$9+Assumptions!$B$10)))+Assumptions!$B$11*L61))</f>
        <v>1172020.97725594</v>
      </c>
      <c r="Z61" s="50" t="n">
        <f aca="false">IF(Y61&lt;=0,"no price works",D61/Y61)</f>
        <v>2.30371303278335</v>
      </c>
      <c r="AA61" s="46" t="n">
        <f aca="false">INDEX(Assumptions!$B$32:$B$44,MATCH(AG61,Assumptions!$A$32:$A$44,0))*(1+Assumptions!$B$24)</f>
        <v>1250</v>
      </c>
      <c r="AB61" s="47" t="n">
        <f aca="false">(J61)*AA61-(((D61)+(J61)*Assumptions!$B$4+IF(H61="Yes",Assumptions!$B$6*(D61),(J61)*Assumptions!$B$5))*(1+Assumptions!$B$7*(Assumptions!$B$8*(L61)*Assumptions!$B$9+Assumptions!$B$10))+(D61)*Assumptions!$B$11*(L61)+(J61)*AA61*(Assumptions!$B$12+Assumptions!$B$13+IF((J61)*AA61&gt;=Assumptions!$B$16,Assumptions!$B$17,IF((J61)*AA61&gt;=Assumptions!$B$14,Assumptions!$B$15,0))))</f>
        <v>-1081275</v>
      </c>
      <c r="AC61" s="46" t="n">
        <f aca="false">INDEX(Assumptions!$B$32:$B$44,MATCH(AG61,Assumptions!$A$32:$A$44,0))*(1+Assumptions!$B$25)</f>
        <v>1375</v>
      </c>
      <c r="AD61" s="47" t="n">
        <f aca="false">(J61)*AC61-(((D61)+(J61)*Assumptions!$B$4+IF(H61="Yes",Assumptions!$B$6*(D61),(J61)*Assumptions!$B$5))*(1+Assumptions!$B$7*(Assumptions!$B$8*(L61)*Assumptions!$B$9+Assumptions!$B$10))+(D61)*Assumptions!$B$11*(L61)+(J61)*AC61*(Assumptions!$B$12+Assumptions!$B$13+IF((J61)*AC61&gt;=Assumptions!$B$16,Assumptions!$B$17,IF((J61)*AC61&gt;=Assumptions!$B$14,Assumptions!$B$15,0))))</f>
        <v>-341875</v>
      </c>
      <c r="AE61" s="46" t="n">
        <f aca="false">INDEX(Assumptions!$B$32:$B$44,MATCH(AG61,Assumptions!$A$32:$A$44,0))*(1+Assumptions!$B$26)</f>
        <v>1500</v>
      </c>
      <c r="AF61" s="47" t="n">
        <f aca="false">(J61)*AE61-(((D61)+(J61)*Assumptions!$B$4+IF(H61="Yes",Assumptions!$B$6*(D61),(J61)*Assumptions!$B$5))*(1+Assumptions!$B$7*(Assumptions!$B$8*(L61)*Assumptions!$B$9+Assumptions!$B$10))+(D61)*Assumptions!$B$11*(L61)+(J61)*AE61*(Assumptions!$B$12+Assumptions!$B$13+IF((J61)*AE61&gt;=Assumptions!$B$16,Assumptions!$B$17,IF((J61)*AE61&gt;=Assumptions!$B$14,Assumptions!$B$15,0))))</f>
        <v>547525</v>
      </c>
      <c r="AG61" s="40" t="s">
        <v>109</v>
      </c>
      <c r="AH61" s="45" t="n">
        <f aca="false">IF(G61&gt;0,G61,ROUND(F61*Assumptions!$B$18,0))</f>
        <v>3925</v>
      </c>
      <c r="AI61" s="45" t="n">
        <f aca="false">IF(H61="Yes",AH61,MAX(AH61,MIN(Assumptions!$B$20,ROUND(E61*Assumptions!$B$19,0))))</f>
        <v>8000</v>
      </c>
      <c r="AJ61" s="47" t="n">
        <f aca="false">(AH61)*AC61-(((D61)+(AH61)*Assumptions!$B$4+IF(H61="Yes",Assumptions!$B$6*(D61),(AH61)*Assumptions!$B$5))*(1+Assumptions!$B$7*(Assumptions!$B$8*(Assumptions!$B$21)*Assumptions!$B$9+Assumptions!$B$10))+(D61)*Assumptions!$B$11*(Assumptions!$B$21)+(AH61)*AC61*(Assumptions!$B$12+Assumptions!$B$13+IF((AH61)*AC61&gt;=Assumptions!$B$16,Assumptions!$B$17,IF((AH61)*AC61&gt;=Assumptions!$B$14,Assumptions!$B$15,0))))</f>
        <v>-1213715.78125</v>
      </c>
      <c r="AK61" s="47" t="n">
        <f aca="false">(AI61)*AC61-(((D61)+(AI61)*Assumptions!$B$4+IF(H61="Yes",Assumptions!$B$6*(D61),(AI61)*Assumptions!$B$5))*(1+Assumptions!$B$7*(Assumptions!$B$8*(IF(AI61&gt;AH61,Assumptions!$B$22,Assumptions!$B$21))*Assumptions!$B$9+Assumptions!$B$10))+(D61)*Assumptions!$B$11*(IF(AI61&gt;AH61,Assumptions!$B$22,Assumptions!$B$21))+(AI61)*AC61*(Assumptions!$B$12+Assumptions!$B$13+IF((AI61)*AC61&gt;=Assumptions!$B$16,Assumptions!$B$17,IF((AI61)*AC61&gt;=Assumptions!$B$14,Assumptions!$B$15,0))))</f>
        <v>-341875</v>
      </c>
      <c r="AL61" s="47" t="n">
        <f aca="false">Assumptions!$B$7*(O61+P61+Q61)</f>
        <v>5785000</v>
      </c>
    </row>
    <row r="62" customFormat="false" ht="15" hidden="false" customHeight="false" outlineLevel="0" collapsed="false">
      <c r="A62" s="40" t="n">
        <v>60</v>
      </c>
      <c r="B62" s="40" t="s">
        <v>179</v>
      </c>
      <c r="C62" s="40" t="s">
        <v>107</v>
      </c>
      <c r="D62" s="41" t="n">
        <v>1995000</v>
      </c>
      <c r="E62" s="42" t="n">
        <v>13146</v>
      </c>
      <c r="F62" s="42" t="n">
        <v>1683</v>
      </c>
      <c r="G62" s="42"/>
      <c r="H62" s="43" t="s">
        <v>67</v>
      </c>
      <c r="I62" s="44"/>
      <c r="J62" s="45" t="n">
        <f aca="false">IF(AK62&gt;AJ62,AI62,AH62)</f>
        <v>5258</v>
      </c>
      <c r="K62" s="40" t="str">
        <f aca="false">IF(AK62&gt;AJ62,"Zoning estimate",IF(H62="Yes","Approved plans",IF(G62&gt;0,"Listing claim","110% old house")))</f>
        <v>Zoning estimate</v>
      </c>
      <c r="L62" s="45" t="n">
        <f aca="false">IF(AK62&gt;AJ62,IF(AI62&gt;AH62,Assumptions!$B$22,Assumptions!$B$21),Assumptions!$B$21)</f>
        <v>3</v>
      </c>
      <c r="M62" s="46" t="n">
        <f aca="false">INDEX(Assumptions!$B$32:$B$44,MATCH(AG62,Assumptions!$A$32:$A$44,0))*(1+IF(UPPER(Assumptions!$B$27)="WORST",Assumptions!$B$24,IF(UPPER(Assumptions!$B$27)="BEST",Assumptions!$B$26,Assumptions!$B$25)))</f>
        <v>1375</v>
      </c>
      <c r="N62" s="47" t="n">
        <f aca="false">J62*M62</f>
        <v>7229750</v>
      </c>
      <c r="O62" s="47" t="n">
        <f aca="false">D62</f>
        <v>1995000</v>
      </c>
      <c r="P62" s="47" t="n">
        <f aca="false">J62*Assumptions!$B$4</f>
        <v>3680600</v>
      </c>
      <c r="Q62" s="47" t="n">
        <f aca="false">IF(H62="Yes",Assumptions!$B$6*(D62),(J62)*Assumptions!$B$5)</f>
        <v>394350</v>
      </c>
      <c r="R62" s="47" t="n">
        <f aca="false">AL62*(Assumptions!$B$8*L62*Assumptions!$B$9+Assumptions!$B$10)</f>
        <v>769366.1625</v>
      </c>
      <c r="S62" s="47" t="n">
        <f aca="false">O62*Assumptions!$B$11*L62</f>
        <v>71820</v>
      </c>
      <c r="T62" s="47" t="n">
        <f aca="false">N62*(Assumptions!$B$12+Assumptions!$B$13)</f>
        <v>401974.1</v>
      </c>
      <c r="U62" s="47" t="n">
        <f aca="false">N62*IF(N62&gt;=Assumptions!$B$16,Assumptions!$B$17,IF(N62&gt;=Assumptions!$B$14,Assumptions!$B$15,0))</f>
        <v>289190</v>
      </c>
      <c r="V62" s="48" t="n">
        <f aca="false">SUM(O62:U62)</f>
        <v>7602300.2625</v>
      </c>
      <c r="W62" s="48" t="n">
        <f aca="false">N62-V62</f>
        <v>-372550.2625</v>
      </c>
      <c r="X62" s="49" t="n">
        <f aca="false">IF(V62=0,0,W62/V62)</f>
        <v>-0.0490049392468337</v>
      </c>
      <c r="Y62" s="47" t="n">
        <f aca="false">MAX(0,(N62/(1+Assumptions!$B$23)-(J62*(Assumptions!$B$4+IF(H62="Yes",0,Assumptions!$B$5)))*(1+(Assumptions!$B$7*(Assumptions!$B$8*L62*Assumptions!$B$9+Assumptions!$B$10)))-N62*(Assumptions!$B$12+Assumptions!$B$13+IF(N62&gt;=Assumptions!$B$16,Assumptions!$B$17,IF(N62&gt;=Assumptions!$B$14,Assumptions!$B$15,0))))/((1+IF(H62="Yes",Assumptions!$B$6,0))*(1+(Assumptions!$B$7*(Assumptions!$B$8*L62*Assumptions!$B$9+Assumptions!$B$10)))+Assumptions!$B$11*L62))</f>
        <v>863577.826647847</v>
      </c>
      <c r="Z62" s="50" t="n">
        <f aca="false">IF(Y62&lt;=0,"no price works",D62/Y62)</f>
        <v>2.31015658165287</v>
      </c>
      <c r="AA62" s="46" t="n">
        <f aca="false">INDEX(Assumptions!$B$32:$B$44,MATCH(AG62,Assumptions!$A$32:$A$44,0))*(1+Assumptions!$B$24)</f>
        <v>1250</v>
      </c>
      <c r="AB62" s="47" t="n">
        <f aca="false">(J62)*AA62-(((D62)+(J62)*Assumptions!$B$4+IF(H62="Yes",Assumptions!$B$6*(D62),(J62)*Assumptions!$B$5))*(1+Assumptions!$B$7*(Assumptions!$B$8*(L62)*Assumptions!$B$9+Assumptions!$B$10))+(D62)*Assumptions!$B$11*(L62)+(J62)*AA62*(Assumptions!$B$12+Assumptions!$B$13+IF((J62)*AA62&gt;=Assumptions!$B$16,Assumptions!$B$17,IF((J62)*AA62&gt;=Assumptions!$B$14,Assumptions!$B$15,0))))</f>
        <v>-966967.1625</v>
      </c>
      <c r="AC62" s="46" t="n">
        <f aca="false">INDEX(Assumptions!$B$32:$B$44,MATCH(AG62,Assumptions!$A$32:$A$44,0))*(1+Assumptions!$B$25)</f>
        <v>1375</v>
      </c>
      <c r="AD62" s="47" t="n">
        <f aca="false">(J62)*AC62-(((D62)+(J62)*Assumptions!$B$4+IF(H62="Yes",Assumptions!$B$6*(D62),(J62)*Assumptions!$B$5))*(1+Assumptions!$B$7*(Assumptions!$B$8*(L62)*Assumptions!$B$9+Assumptions!$B$10))+(D62)*Assumptions!$B$11*(L62)+(J62)*AC62*(Assumptions!$B$12+Assumptions!$B$13+IF((J62)*AC62&gt;=Assumptions!$B$16,Assumptions!$B$17,IF((J62)*AC62&gt;=Assumptions!$B$14,Assumptions!$B$15,0))))</f>
        <v>-372550.262499999</v>
      </c>
      <c r="AE62" s="46" t="n">
        <f aca="false">INDEX(Assumptions!$B$32:$B$44,MATCH(AG62,Assumptions!$A$32:$A$44,0))*(1+Assumptions!$B$26)</f>
        <v>1500</v>
      </c>
      <c r="AF62" s="47" t="n">
        <f aca="false">(J62)*AE62-(((D62)+(J62)*Assumptions!$B$4+IF(H62="Yes",Assumptions!$B$6*(D62),(J62)*Assumptions!$B$5))*(1+Assumptions!$B$7*(Assumptions!$B$8*(L62)*Assumptions!$B$9+Assumptions!$B$10))+(D62)*Assumptions!$B$11*(L62)+(J62)*AE62*(Assumptions!$B$12+Assumptions!$B$13+IF((J62)*AE62&gt;=Assumptions!$B$16,Assumptions!$B$17,IF((J62)*AE62&gt;=Assumptions!$B$14,Assumptions!$B$15,0))))</f>
        <v>221866.6375</v>
      </c>
      <c r="AG62" s="40" t="s">
        <v>109</v>
      </c>
      <c r="AH62" s="45" t="n">
        <f aca="false">IF(G62&gt;0,G62,ROUND(F62*Assumptions!$B$18,0))</f>
        <v>1851</v>
      </c>
      <c r="AI62" s="45" t="n">
        <f aca="false">IF(H62="Yes",AH62,MAX(AH62,MIN(Assumptions!$B$20,ROUND(E62*Assumptions!$B$19,0))))</f>
        <v>5258</v>
      </c>
      <c r="AJ62" s="47" t="n">
        <f aca="false">(AH62)*AC62-(((D62)+(AH62)*Assumptions!$B$4+IF(H62="Yes",Assumptions!$B$6*(D62),(AH62)*Assumptions!$B$5))*(1+Assumptions!$B$7*(Assumptions!$B$8*(Assumptions!$B$21)*Assumptions!$B$9+Assumptions!$B$10))+(D62)*Assumptions!$B$11*(Assumptions!$B$21)+(AH62)*AC62*(Assumptions!$B$12+Assumptions!$B$13+IF((AH62)*AC62&gt;=Assumptions!$B$16,Assumptions!$B$17,IF((AH62)*AC62&gt;=Assumptions!$B$14,Assumptions!$B$15,0))))</f>
        <v>-1374729.76875</v>
      </c>
      <c r="AK62" s="47" t="n">
        <f aca="false">(AI62)*AC62-(((D62)+(AI62)*Assumptions!$B$4+IF(H62="Yes",Assumptions!$B$6*(D62),(AI62)*Assumptions!$B$5))*(1+Assumptions!$B$7*(Assumptions!$B$8*(IF(AI62&gt;AH62,Assumptions!$B$22,Assumptions!$B$21))*Assumptions!$B$9+Assumptions!$B$10))+(D62)*Assumptions!$B$11*(IF(AI62&gt;AH62,Assumptions!$B$22,Assumptions!$B$21))+(AI62)*AC62*(Assumptions!$B$12+Assumptions!$B$13+IF((AI62)*AC62&gt;=Assumptions!$B$16,Assumptions!$B$17,IF((AI62)*AC62&gt;=Assumptions!$B$14,Assumptions!$B$15,0))))</f>
        <v>-372550.262499999</v>
      </c>
      <c r="AL62" s="47" t="n">
        <f aca="false">Assumptions!$B$7*(O62+P62+Q62)</f>
        <v>3945467.5</v>
      </c>
    </row>
    <row r="63" customFormat="false" ht="15" hidden="false" customHeight="false" outlineLevel="0" collapsed="false">
      <c r="A63" s="40" t="n">
        <v>61</v>
      </c>
      <c r="B63" s="40" t="s">
        <v>180</v>
      </c>
      <c r="C63" s="40" t="s">
        <v>98</v>
      </c>
      <c r="D63" s="41" t="n">
        <v>2750000</v>
      </c>
      <c r="E63" s="42" t="n">
        <v>41181</v>
      </c>
      <c r="F63" s="42" t="n">
        <v>1950</v>
      </c>
      <c r="G63" s="42"/>
      <c r="H63" s="43" t="s">
        <v>67</v>
      </c>
      <c r="I63" s="44" t="s">
        <v>181</v>
      </c>
      <c r="J63" s="45" t="n">
        <f aca="false">IF(AK63&gt;AJ63,AI63,AH63)</f>
        <v>8000</v>
      </c>
      <c r="K63" s="40" t="str">
        <f aca="false">IF(AK63&gt;AJ63,"Zoning estimate",IF(H63="Yes","Approved plans",IF(G63&gt;0,"Listing claim","110% old house")))</f>
        <v>Zoning estimate</v>
      </c>
      <c r="L63" s="45" t="n">
        <f aca="false">IF(AK63&gt;AJ63,IF(AI63&gt;AH63,Assumptions!$B$22,Assumptions!$B$21),Assumptions!$B$21)</f>
        <v>3</v>
      </c>
      <c r="M63" s="46" t="n">
        <f aca="false">INDEX(Assumptions!$B$32:$B$44,MATCH(AG63,Assumptions!$A$32:$A$44,0))*(1+IF(UPPER(Assumptions!$B$27)="WORST",Assumptions!$B$24,IF(UPPER(Assumptions!$B$27)="BEST",Assumptions!$B$26,Assumptions!$B$25)))</f>
        <v>1375</v>
      </c>
      <c r="N63" s="47" t="n">
        <f aca="false">J63*M63</f>
        <v>11000000</v>
      </c>
      <c r="O63" s="47" t="n">
        <f aca="false">D63</f>
        <v>2750000</v>
      </c>
      <c r="P63" s="47" t="n">
        <f aca="false">J63*Assumptions!$B$4</f>
        <v>5600000</v>
      </c>
      <c r="Q63" s="47" t="n">
        <f aca="false">IF(H63="Yes",Assumptions!$B$6*(D63),(J63)*Assumptions!$B$5)</f>
        <v>600000</v>
      </c>
      <c r="R63" s="47" t="n">
        <f aca="false">AL63*(Assumptions!$B$8*L63*Assumptions!$B$9+Assumptions!$B$10)</f>
        <v>1134412.5</v>
      </c>
      <c r="S63" s="47" t="n">
        <f aca="false">O63*Assumptions!$B$11*L63</f>
        <v>99000</v>
      </c>
      <c r="T63" s="47" t="n">
        <f aca="false">N63*(Assumptions!$B$12+Assumptions!$B$13)</f>
        <v>611600</v>
      </c>
      <c r="U63" s="47" t="n">
        <f aca="false">N63*IF(N63&gt;=Assumptions!$B$16,Assumptions!$B$17,IF(N63&gt;=Assumptions!$B$14,Assumptions!$B$15,0))</f>
        <v>605000</v>
      </c>
      <c r="V63" s="48" t="n">
        <f aca="false">SUM(O63:U63)</f>
        <v>11400012.5</v>
      </c>
      <c r="W63" s="48" t="n">
        <f aca="false">N63-V63</f>
        <v>-400012.5</v>
      </c>
      <c r="X63" s="49" t="n">
        <f aca="false">IF(V63=0,0,W63/V63)</f>
        <v>-0.0350887773149372</v>
      </c>
      <c r="Y63" s="47" t="n">
        <f aca="false">MAX(0,(N63/(1+Assumptions!$B$23)-(J63*(Assumptions!$B$4+IF(H63="Yes",0,Assumptions!$B$5)))*(1+(Assumptions!$B$7*(Assumptions!$B$8*L63*Assumptions!$B$9+Assumptions!$B$10)))-N63*(Assumptions!$B$12+Assumptions!$B$13+IF(N63&gt;=Assumptions!$B$16,Assumptions!$B$17,IF(N63&gt;=Assumptions!$B$14,Assumptions!$B$15,0))))/((1+IF(H63="Yes",Assumptions!$B$6,0))*(1+(Assumptions!$B$7*(Assumptions!$B$8*L63*Assumptions!$B$9+Assumptions!$B$10)))+Assumptions!$B$11*L63))</f>
        <v>1172020.97725594</v>
      </c>
      <c r="Z63" s="50" t="n">
        <f aca="false">IF(Y63&lt;=0,"no price works",D63/Y63)</f>
        <v>2.3463743852423</v>
      </c>
      <c r="AA63" s="46" t="n">
        <f aca="false">INDEX(Assumptions!$B$32:$B$44,MATCH(AG63,Assumptions!$A$32:$A$44,0))*(1+Assumptions!$B$24)</f>
        <v>1250</v>
      </c>
      <c r="AB63" s="47" t="n">
        <f aca="false">(J63)*AA63-(((D63)+(J63)*Assumptions!$B$4+IF(H63="Yes",Assumptions!$B$6*(D63),(J63)*Assumptions!$B$5))*(1+Assumptions!$B$7*(Assumptions!$B$8*(L63)*Assumptions!$B$9+Assumptions!$B$10))+(D63)*Assumptions!$B$11*(L63)+(J63)*AA63*(Assumptions!$B$12+Assumptions!$B$13+IF((J63)*AA63&gt;=Assumptions!$B$16,Assumptions!$B$17,IF((J63)*AA63&gt;=Assumptions!$B$14,Assumptions!$B$15,0))))</f>
        <v>-1139412.5</v>
      </c>
      <c r="AC63" s="46" t="n">
        <f aca="false">INDEX(Assumptions!$B$32:$B$44,MATCH(AG63,Assumptions!$A$32:$A$44,0))*(1+Assumptions!$B$25)</f>
        <v>1375</v>
      </c>
      <c r="AD63" s="47" t="n">
        <f aca="false">(J63)*AC63-(((D63)+(J63)*Assumptions!$B$4+IF(H63="Yes",Assumptions!$B$6*(D63),(J63)*Assumptions!$B$5))*(1+Assumptions!$B$7*(Assumptions!$B$8*(L63)*Assumptions!$B$9+Assumptions!$B$10))+(D63)*Assumptions!$B$11*(L63)+(J63)*AC63*(Assumptions!$B$12+Assumptions!$B$13+IF((J63)*AC63&gt;=Assumptions!$B$16,Assumptions!$B$17,IF((J63)*AC63&gt;=Assumptions!$B$14,Assumptions!$B$15,0))))</f>
        <v>-400012.5</v>
      </c>
      <c r="AE63" s="46" t="n">
        <f aca="false">INDEX(Assumptions!$B$32:$B$44,MATCH(AG63,Assumptions!$A$32:$A$44,0))*(1+Assumptions!$B$26)</f>
        <v>1500</v>
      </c>
      <c r="AF63" s="47" t="n">
        <f aca="false">(J63)*AE63-(((D63)+(J63)*Assumptions!$B$4+IF(H63="Yes",Assumptions!$B$6*(D63),(J63)*Assumptions!$B$5))*(1+Assumptions!$B$7*(Assumptions!$B$8*(L63)*Assumptions!$B$9+Assumptions!$B$10))+(D63)*Assumptions!$B$11*(L63)+(J63)*AE63*(Assumptions!$B$12+Assumptions!$B$13+IF((J63)*AE63&gt;=Assumptions!$B$16,Assumptions!$B$17,IF((J63)*AE63&gt;=Assumptions!$B$14,Assumptions!$B$15,0))))</f>
        <v>489387.5</v>
      </c>
      <c r="AG63" s="40" t="s">
        <v>100</v>
      </c>
      <c r="AH63" s="45" t="n">
        <f aca="false">IF(G63&gt;0,G63,ROUND(F63*Assumptions!$B$18,0))</f>
        <v>2145</v>
      </c>
      <c r="AI63" s="45" t="n">
        <f aca="false">IF(H63="Yes",AH63,MAX(AH63,MIN(Assumptions!$B$20,ROUND(E63*Assumptions!$B$19,0))))</f>
        <v>8000</v>
      </c>
      <c r="AJ63" s="47" t="n">
        <f aca="false">(AH63)*AC63-(((D63)+(AH63)*Assumptions!$B$4+IF(H63="Yes",Assumptions!$B$6*(D63),(AH63)*Assumptions!$B$5))*(1+Assumptions!$B$7*(Assumptions!$B$8*(Assumptions!$B$21)*Assumptions!$B$9+Assumptions!$B$10))+(D63)*Assumptions!$B$11*(Assumptions!$B$21)+(AH63)*AC63*(Assumptions!$B$12+Assumptions!$B$13+IF((AH63)*AC63&gt;=Assumptions!$B$16,Assumptions!$B$17,IF((AH63)*AC63&gt;=Assumptions!$B$14,Assumptions!$B$15,0))))</f>
        <v>-2080171.15625</v>
      </c>
      <c r="AK63" s="47" t="n">
        <f aca="false">(AI63)*AC63-(((D63)+(AI63)*Assumptions!$B$4+IF(H63="Yes",Assumptions!$B$6*(D63),(AI63)*Assumptions!$B$5))*(1+Assumptions!$B$7*(Assumptions!$B$8*(IF(AI63&gt;AH63,Assumptions!$B$22,Assumptions!$B$21))*Assumptions!$B$9+Assumptions!$B$10))+(D63)*Assumptions!$B$11*(IF(AI63&gt;AH63,Assumptions!$B$22,Assumptions!$B$21))+(AI63)*AC63*(Assumptions!$B$12+Assumptions!$B$13+IF((AI63)*AC63&gt;=Assumptions!$B$16,Assumptions!$B$17,IF((AI63)*AC63&gt;=Assumptions!$B$14,Assumptions!$B$15,0))))</f>
        <v>-400012.5</v>
      </c>
      <c r="AL63" s="47" t="n">
        <f aca="false">Assumptions!$B$7*(O63+P63+Q63)</f>
        <v>5817500</v>
      </c>
    </row>
    <row r="64" customFormat="false" ht="15" hidden="false" customHeight="false" outlineLevel="0" collapsed="false">
      <c r="A64" s="40" t="n">
        <v>62</v>
      </c>
      <c r="B64" s="40" t="s">
        <v>182</v>
      </c>
      <c r="C64" s="40" t="s">
        <v>71</v>
      </c>
      <c r="D64" s="41" t="n">
        <v>1699000</v>
      </c>
      <c r="E64" s="42" t="n">
        <v>5381</v>
      </c>
      <c r="F64" s="42" t="n">
        <v>1397</v>
      </c>
      <c r="G64" s="42"/>
      <c r="H64" s="43" t="s">
        <v>67</v>
      </c>
      <c r="I64" s="44"/>
      <c r="J64" s="45" t="n">
        <f aca="false">IF(AK64&gt;AJ64,AI64,AH64)</f>
        <v>2152</v>
      </c>
      <c r="K64" s="40" t="str">
        <f aca="false">IF(AK64&gt;AJ64,"Zoning estimate",IF(H64="Yes","Approved plans",IF(G64&gt;0,"Listing claim","110% old house")))</f>
        <v>Zoning estimate</v>
      </c>
      <c r="L64" s="45" t="n">
        <f aca="false">IF(AK64&gt;AJ64,IF(AI64&gt;AH64,Assumptions!$B$22,Assumptions!$B$21),Assumptions!$B$21)</f>
        <v>3</v>
      </c>
      <c r="M64" s="46" t="n">
        <f aca="false">INDEX(Assumptions!$B$32:$B$44,MATCH(AG64,Assumptions!$A$32:$A$44,0))*(1+IF(UPPER(Assumptions!$B$27)="WORST",Assumptions!$B$24,IF(UPPER(Assumptions!$B$27)="BEST",Assumptions!$B$26,Assumptions!$B$25)))</f>
        <v>1540</v>
      </c>
      <c r="N64" s="47" t="n">
        <f aca="false">J64*M64</f>
        <v>3314080</v>
      </c>
      <c r="O64" s="47" t="n">
        <f aca="false">D64</f>
        <v>1699000</v>
      </c>
      <c r="P64" s="47" t="n">
        <f aca="false">J64*Assumptions!$B$4</f>
        <v>1506400</v>
      </c>
      <c r="Q64" s="47" t="n">
        <f aca="false">IF(H64="Yes",Assumptions!$B$6*(D64),(J64)*Assumptions!$B$5)</f>
        <v>161400</v>
      </c>
      <c r="R64" s="47" t="n">
        <f aca="false">AL64*(Assumptions!$B$8*L64*Assumptions!$B$9+Assumptions!$B$10)</f>
        <v>426741.9</v>
      </c>
      <c r="S64" s="47" t="n">
        <f aca="false">O64*Assumptions!$B$11*L64</f>
        <v>61164</v>
      </c>
      <c r="T64" s="47" t="n">
        <f aca="false">N64*(Assumptions!$B$12+Assumptions!$B$13)</f>
        <v>184262.848</v>
      </c>
      <c r="U64" s="47" t="n">
        <f aca="false">N64*IF(N64&gt;=Assumptions!$B$16,Assumptions!$B$17,IF(N64&gt;=Assumptions!$B$14,Assumptions!$B$15,0))</f>
        <v>0</v>
      </c>
      <c r="V64" s="48" t="n">
        <f aca="false">SUM(O64:U64)</f>
        <v>4038968.748</v>
      </c>
      <c r="W64" s="48" t="n">
        <f aca="false">N64-V64</f>
        <v>-724888.748</v>
      </c>
      <c r="X64" s="49" t="n">
        <f aca="false">IF(V64=0,0,W64/V64)</f>
        <v>-0.179473720453754</v>
      </c>
      <c r="Y64" s="47" t="n">
        <f aca="false">MAX(0,(N64/(1+Assumptions!$B$23)-(J64*(Assumptions!$B$4+IF(H64="Yes",0,Assumptions!$B$5)))*(1+(Assumptions!$B$7*(Assumptions!$B$8*L64*Assumptions!$B$9+Assumptions!$B$10)))-N64*(Assumptions!$B$12+Assumptions!$B$13+IF(N64&gt;=Assumptions!$B$16,Assumptions!$B$17,IF(N64&gt;=Assumptions!$B$14,Assumptions!$B$15,0))))/((1+IF(H64="Yes",Assumptions!$B$6,0))*(1+(Assumptions!$B$7*(Assumptions!$B$8*L64*Assumptions!$B$9+Assumptions!$B$10)))+Assumptions!$B$11*L64))</f>
        <v>703807.523244184</v>
      </c>
      <c r="Z64" s="50" t="n">
        <f aca="false">IF(Y64&lt;=0,"no price works",D64/Y64)</f>
        <v>2.4140122745044</v>
      </c>
      <c r="AA64" s="46" t="n">
        <f aca="false">INDEX(Assumptions!$B$32:$B$44,MATCH(AG64,Assumptions!$A$32:$A$44,0))*(1+Assumptions!$B$24)</f>
        <v>1400</v>
      </c>
      <c r="AB64" s="47" t="n">
        <f aca="false">(J64)*AA64-(((D64)+(J64)*Assumptions!$B$4+IF(H64="Yes",Assumptions!$B$6*(D64),(J64)*Assumptions!$B$5))*(1+Assumptions!$B$7*(Assumptions!$B$8*(L64)*Assumptions!$B$9+Assumptions!$B$10))+(D64)*Assumptions!$B$11*(L64)+(J64)*AA64*(Assumptions!$B$12+Assumptions!$B$13+IF((J64)*AA64&gt;=Assumptions!$B$16,Assumptions!$B$17,IF((J64)*AA64&gt;=Assumptions!$B$14,Assumptions!$B$15,0))))</f>
        <v>-1009417.58</v>
      </c>
      <c r="AC64" s="46" t="n">
        <f aca="false">INDEX(Assumptions!$B$32:$B$44,MATCH(AG64,Assumptions!$A$32:$A$44,0))*(1+Assumptions!$B$25)</f>
        <v>1540</v>
      </c>
      <c r="AD64" s="47" t="n">
        <f aca="false">(J64)*AC64-(((D64)+(J64)*Assumptions!$B$4+IF(H64="Yes",Assumptions!$B$6*(D64),(J64)*Assumptions!$B$5))*(1+Assumptions!$B$7*(Assumptions!$B$8*(L64)*Assumptions!$B$9+Assumptions!$B$10))+(D64)*Assumptions!$B$11*(L64)+(J64)*AC64*(Assumptions!$B$12+Assumptions!$B$13+IF((J64)*AC64&gt;=Assumptions!$B$16,Assumptions!$B$17,IF((J64)*AC64&gt;=Assumptions!$B$14,Assumptions!$B$15,0))))</f>
        <v>-724888.748</v>
      </c>
      <c r="AE64" s="46" t="n">
        <f aca="false">INDEX(Assumptions!$B$32:$B$44,MATCH(AG64,Assumptions!$A$32:$A$44,0))*(1+Assumptions!$B$26)</f>
        <v>1680</v>
      </c>
      <c r="AF64" s="47" t="n">
        <f aca="false">(J64)*AE64-(((D64)+(J64)*Assumptions!$B$4+IF(H64="Yes",Assumptions!$B$6*(D64),(J64)*Assumptions!$B$5))*(1+Assumptions!$B$7*(Assumptions!$B$8*(L64)*Assumptions!$B$9+Assumptions!$B$10))+(D64)*Assumptions!$B$11*(L64)+(J64)*AE64*(Assumptions!$B$12+Assumptions!$B$13+IF((J64)*AE64&gt;=Assumptions!$B$16,Assumptions!$B$17,IF((J64)*AE64&gt;=Assumptions!$B$14,Assumptions!$B$15,0))))</f>
        <v>-440359.916</v>
      </c>
      <c r="AG64" s="40" t="s">
        <v>73</v>
      </c>
      <c r="AH64" s="45" t="n">
        <f aca="false">IF(G64&gt;0,G64,ROUND(F64*Assumptions!$B$18,0))</f>
        <v>1537</v>
      </c>
      <c r="AI64" s="45" t="n">
        <f aca="false">IF(H64="Yes",AH64,MAX(AH64,MIN(Assumptions!$B$20,ROUND(E64*Assumptions!$B$19,0))))</f>
        <v>2152</v>
      </c>
      <c r="AJ64" s="47" t="n">
        <f aca="false">(AH64)*AC64-(((D64)+(AH64)*Assumptions!$B$4+IF(H64="Yes",Assumptions!$B$6*(D64),(AH64)*Assumptions!$B$5))*(1+Assumptions!$B$7*(Assumptions!$B$8*(Assumptions!$B$21)*Assumptions!$B$9+Assumptions!$B$10))+(D64)*Assumptions!$B$11*(Assumptions!$B$21)+(AH64)*AC64*(Assumptions!$B$12+Assumptions!$B$13+IF((AH64)*AC64&gt;=Assumptions!$B$16,Assumptions!$B$17,IF((AH64)*AC64&gt;=Assumptions!$B$14,Assumptions!$B$15,0))))</f>
        <v>-949187.94425</v>
      </c>
      <c r="AK64" s="47" t="n">
        <f aca="false">(AI64)*AC64-(((D64)+(AI64)*Assumptions!$B$4+IF(H64="Yes",Assumptions!$B$6*(D64),(AI64)*Assumptions!$B$5))*(1+Assumptions!$B$7*(Assumptions!$B$8*(IF(AI64&gt;AH64,Assumptions!$B$22,Assumptions!$B$21))*Assumptions!$B$9+Assumptions!$B$10))+(D64)*Assumptions!$B$11*(IF(AI64&gt;AH64,Assumptions!$B$22,Assumptions!$B$21))+(AI64)*AC64*(Assumptions!$B$12+Assumptions!$B$13+IF((AI64)*AC64&gt;=Assumptions!$B$16,Assumptions!$B$17,IF((AI64)*AC64&gt;=Assumptions!$B$14,Assumptions!$B$15,0))))</f>
        <v>-724888.748</v>
      </c>
      <c r="AL64" s="47" t="n">
        <f aca="false">Assumptions!$B$7*(O64+P64+Q64)</f>
        <v>2188420</v>
      </c>
    </row>
    <row r="65" customFormat="false" ht="15" hidden="false" customHeight="false" outlineLevel="0" collapsed="false">
      <c r="A65" s="40" t="n">
        <v>63</v>
      </c>
      <c r="B65" s="40" t="s">
        <v>183</v>
      </c>
      <c r="C65" s="40" t="s">
        <v>71</v>
      </c>
      <c r="D65" s="41" t="n">
        <v>1575000</v>
      </c>
      <c r="E65" s="42" t="n">
        <v>4984</v>
      </c>
      <c r="F65" s="42" t="n">
        <v>1409</v>
      </c>
      <c r="G65" s="42"/>
      <c r="H65" s="43" t="s">
        <v>67</v>
      </c>
      <c r="I65" s="44" t="s">
        <v>88</v>
      </c>
      <c r="J65" s="45" t="n">
        <f aca="false">IF(AK65&gt;AJ65,AI65,AH65)</f>
        <v>1994</v>
      </c>
      <c r="K65" s="40" t="str">
        <f aca="false">IF(AK65&gt;AJ65,"Zoning estimate",IF(H65="Yes","Approved plans",IF(G65&gt;0,"Listing claim","110% old house")))</f>
        <v>Zoning estimate</v>
      </c>
      <c r="L65" s="45" t="n">
        <f aca="false">IF(AK65&gt;AJ65,IF(AI65&gt;AH65,Assumptions!$B$22,Assumptions!$B$21),Assumptions!$B$21)</f>
        <v>3</v>
      </c>
      <c r="M65" s="46" t="n">
        <f aca="false">INDEX(Assumptions!$B$32:$B$44,MATCH(AG65,Assumptions!$A$32:$A$44,0))*(1+IF(UPPER(Assumptions!$B$27)="WORST",Assumptions!$B$24,IF(UPPER(Assumptions!$B$27)="BEST",Assumptions!$B$26,Assumptions!$B$25)))</f>
        <v>1540</v>
      </c>
      <c r="N65" s="47" t="n">
        <f aca="false">J65*M65</f>
        <v>3070760</v>
      </c>
      <c r="O65" s="47" t="n">
        <f aca="false">D65</f>
        <v>1575000</v>
      </c>
      <c r="P65" s="47" t="n">
        <f aca="false">J65*Assumptions!$B$4</f>
        <v>1395800</v>
      </c>
      <c r="Q65" s="47" t="n">
        <f aca="false">IF(H65="Yes",Assumptions!$B$6*(D65),(J65)*Assumptions!$B$5)</f>
        <v>149550</v>
      </c>
      <c r="R65" s="47" t="n">
        <f aca="false">AL65*(Assumptions!$B$8*L65*Assumptions!$B$9+Assumptions!$B$10)</f>
        <v>395504.3625</v>
      </c>
      <c r="S65" s="47" t="n">
        <f aca="false">O65*Assumptions!$B$11*L65</f>
        <v>56700</v>
      </c>
      <c r="T65" s="47" t="n">
        <f aca="false">N65*(Assumptions!$B$12+Assumptions!$B$13)</f>
        <v>170734.256</v>
      </c>
      <c r="U65" s="47" t="n">
        <f aca="false">N65*IF(N65&gt;=Assumptions!$B$16,Assumptions!$B$17,IF(N65&gt;=Assumptions!$B$14,Assumptions!$B$15,0))</f>
        <v>0</v>
      </c>
      <c r="V65" s="48" t="n">
        <f aca="false">SUM(O65:U65)</f>
        <v>3743288.6185</v>
      </c>
      <c r="W65" s="48" t="n">
        <f aca="false">N65-V65</f>
        <v>-672528.618499999</v>
      </c>
      <c r="X65" s="49" t="n">
        <f aca="false">IF(V65=0,0,W65/V65)</f>
        <v>-0.179662507233945</v>
      </c>
      <c r="Y65" s="47" t="n">
        <f aca="false">MAX(0,(N65/(1+Assumptions!$B$23)-(J65*(Assumptions!$B$4+IF(H65="Yes",0,Assumptions!$B$5)))*(1+(Assumptions!$B$7*(Assumptions!$B$8*L65*Assumptions!$B$9+Assumptions!$B$10)))-N65*(Assumptions!$B$12+Assumptions!$B$13+IF(N65&gt;=Assumptions!$B$16,Assumptions!$B$17,IF(N65&gt;=Assumptions!$B$14,Assumptions!$B$15,0))))/((1+IF(H65="Yes",Assumptions!$B$6,0))*(1+(Assumptions!$B$7*(Assumptions!$B$8*L65*Assumptions!$B$9+Assumptions!$B$10)))+Assumptions!$B$11*L65))</f>
        <v>652133.922559899</v>
      </c>
      <c r="Z65" s="50" t="n">
        <f aca="false">IF(Y65&lt;=0,"no price works",D65/Y65)</f>
        <v>2.41514809384162</v>
      </c>
      <c r="AA65" s="46" t="n">
        <f aca="false">INDEX(Assumptions!$B$32:$B$44,MATCH(AG65,Assumptions!$A$32:$A$44,0))*(1+Assumptions!$B$24)</f>
        <v>1400</v>
      </c>
      <c r="AB65" s="47" t="n">
        <f aca="false">(J65)*AA65-(((D65)+(J65)*Assumptions!$B$4+IF(H65="Yes",Assumptions!$B$6*(D65),(J65)*Assumptions!$B$5))*(1+Assumptions!$B$7*(Assumptions!$B$8*(L65)*Assumptions!$B$9+Assumptions!$B$10))+(D65)*Assumptions!$B$11*(L65)+(J65)*AA65*(Assumptions!$B$12+Assumptions!$B$13+IF((J65)*AA65&gt;=Assumptions!$B$16,Assumptions!$B$17,IF((J65)*AA65&gt;=Assumptions!$B$14,Assumptions!$B$15,0))))</f>
        <v>-936167.3225</v>
      </c>
      <c r="AC65" s="46" t="n">
        <f aca="false">INDEX(Assumptions!$B$32:$B$44,MATCH(AG65,Assumptions!$A$32:$A$44,0))*(1+Assumptions!$B$25)</f>
        <v>1540</v>
      </c>
      <c r="AD65" s="47" t="n">
        <f aca="false">(J65)*AC65-(((D65)+(J65)*Assumptions!$B$4+IF(H65="Yes",Assumptions!$B$6*(D65),(J65)*Assumptions!$B$5))*(1+Assumptions!$B$7*(Assumptions!$B$8*(L65)*Assumptions!$B$9+Assumptions!$B$10))+(D65)*Assumptions!$B$11*(L65)+(J65)*AC65*(Assumptions!$B$12+Assumptions!$B$13+IF((J65)*AC65&gt;=Assumptions!$B$16,Assumptions!$B$17,IF((J65)*AC65&gt;=Assumptions!$B$14,Assumptions!$B$15,0))))</f>
        <v>-672528.618499999</v>
      </c>
      <c r="AE65" s="46" t="n">
        <f aca="false">INDEX(Assumptions!$B$32:$B$44,MATCH(AG65,Assumptions!$A$32:$A$44,0))*(1+Assumptions!$B$26)</f>
        <v>1680</v>
      </c>
      <c r="AF65" s="47" t="n">
        <f aca="false">(J65)*AE65-(((D65)+(J65)*Assumptions!$B$4+IF(H65="Yes",Assumptions!$B$6*(D65),(J65)*Assumptions!$B$5))*(1+Assumptions!$B$7*(Assumptions!$B$8*(L65)*Assumptions!$B$9+Assumptions!$B$10))+(D65)*Assumptions!$B$11*(L65)+(J65)*AE65*(Assumptions!$B$12+Assumptions!$B$13+IF((J65)*AE65&gt;=Assumptions!$B$16,Assumptions!$B$17,IF((J65)*AE65&gt;=Assumptions!$B$14,Assumptions!$B$15,0))))</f>
        <v>-408889.9145</v>
      </c>
      <c r="AG65" s="40" t="s">
        <v>73</v>
      </c>
      <c r="AH65" s="45" t="n">
        <f aca="false">IF(G65&gt;0,G65,ROUND(F65*Assumptions!$B$18,0))</f>
        <v>1550</v>
      </c>
      <c r="AI65" s="45" t="n">
        <f aca="false">IF(H65="Yes",AH65,MAX(AH65,MIN(Assumptions!$B$20,ROUND(E65*Assumptions!$B$19,0))))</f>
        <v>1994</v>
      </c>
      <c r="AJ65" s="47" t="n">
        <f aca="false">(AH65)*AC65-(((D65)+(AH65)*Assumptions!$B$4+IF(H65="Yes",Assumptions!$B$6*(D65),(AH65)*Assumptions!$B$5))*(1+Assumptions!$B$7*(Assumptions!$B$8*(Assumptions!$B$21)*Assumptions!$B$9+Assumptions!$B$10))+(D65)*Assumptions!$B$11*(Assumptions!$B$21)+(AH65)*AC65*(Assumptions!$B$12+Assumptions!$B$13+IF((AH65)*AC65&gt;=Assumptions!$B$16,Assumptions!$B$17,IF((AH65)*AC65&gt;=Assumptions!$B$14,Assumptions!$B$15,0))))</f>
        <v>-803383.1375</v>
      </c>
      <c r="AK65" s="47" t="n">
        <f aca="false">(AI65)*AC65-(((D65)+(AI65)*Assumptions!$B$4+IF(H65="Yes",Assumptions!$B$6*(D65),(AI65)*Assumptions!$B$5))*(1+Assumptions!$B$7*(Assumptions!$B$8*(IF(AI65&gt;AH65,Assumptions!$B$22,Assumptions!$B$21))*Assumptions!$B$9+Assumptions!$B$10))+(D65)*Assumptions!$B$11*(IF(AI65&gt;AH65,Assumptions!$B$22,Assumptions!$B$21))+(AI65)*AC65*(Assumptions!$B$12+Assumptions!$B$13+IF((AI65)*AC65&gt;=Assumptions!$B$16,Assumptions!$B$17,IF((AI65)*AC65&gt;=Assumptions!$B$14,Assumptions!$B$15,0))))</f>
        <v>-672528.618499999</v>
      </c>
      <c r="AL65" s="47" t="n">
        <f aca="false">Assumptions!$B$7*(O65+P65+Q65)</f>
        <v>2028227.5</v>
      </c>
    </row>
    <row r="66" customFormat="false" ht="15" hidden="false" customHeight="false" outlineLevel="0" collapsed="false">
      <c r="A66" s="40" t="n">
        <v>64</v>
      </c>
      <c r="B66" s="40" t="s">
        <v>184</v>
      </c>
      <c r="C66" s="40" t="s">
        <v>98</v>
      </c>
      <c r="D66" s="41" t="n">
        <v>1250000</v>
      </c>
      <c r="E66" s="42" t="n">
        <v>6019</v>
      </c>
      <c r="F66" s="42" t="n">
        <v>1456</v>
      </c>
      <c r="G66" s="42"/>
      <c r="H66" s="43" t="s">
        <v>67</v>
      </c>
      <c r="I66" s="44"/>
      <c r="J66" s="45" t="n">
        <f aca="false">IF(AK66&gt;AJ66,AI66,AH66)</f>
        <v>2408</v>
      </c>
      <c r="K66" s="40" t="str">
        <f aca="false">IF(AK66&gt;AJ66,"Zoning estimate",IF(H66="Yes","Approved plans",IF(G66&gt;0,"Listing claim","110% old house")))</f>
        <v>Zoning estimate</v>
      </c>
      <c r="L66" s="45" t="n">
        <f aca="false">IF(AK66&gt;AJ66,IF(AI66&gt;AH66,Assumptions!$B$22,Assumptions!$B$21),Assumptions!$B$21)</f>
        <v>3</v>
      </c>
      <c r="M66" s="46" t="n">
        <f aca="false">INDEX(Assumptions!$B$32:$B$44,MATCH(AG66,Assumptions!$A$32:$A$44,0))*(1+IF(UPPER(Assumptions!$B$27)="WORST",Assumptions!$B$24,IF(UPPER(Assumptions!$B$27)="BEST",Assumptions!$B$26,Assumptions!$B$25)))</f>
        <v>1375</v>
      </c>
      <c r="N66" s="47" t="n">
        <f aca="false">J66*M66</f>
        <v>3311000</v>
      </c>
      <c r="O66" s="47" t="n">
        <f aca="false">D66</f>
        <v>1250000</v>
      </c>
      <c r="P66" s="47" t="n">
        <f aca="false">J66*Assumptions!$B$4</f>
        <v>1685600</v>
      </c>
      <c r="Q66" s="47" t="n">
        <f aca="false">IF(H66="Yes",Assumptions!$B$6*(D66),(J66)*Assumptions!$B$5)</f>
        <v>180600</v>
      </c>
      <c r="R66" s="47" t="n">
        <f aca="false">AL66*(Assumptions!$B$8*L66*Assumptions!$B$9+Assumptions!$B$10)</f>
        <v>394978.35</v>
      </c>
      <c r="S66" s="47" t="n">
        <f aca="false">O66*Assumptions!$B$11*L66</f>
        <v>45000</v>
      </c>
      <c r="T66" s="47" t="n">
        <f aca="false">N66*(Assumptions!$B$12+Assumptions!$B$13)</f>
        <v>184091.6</v>
      </c>
      <c r="U66" s="47" t="n">
        <f aca="false">N66*IF(N66&gt;=Assumptions!$B$16,Assumptions!$B$17,IF(N66&gt;=Assumptions!$B$14,Assumptions!$B$15,0))</f>
        <v>0</v>
      </c>
      <c r="V66" s="48" t="n">
        <f aca="false">SUM(O66:U66)</f>
        <v>3740269.95</v>
      </c>
      <c r="W66" s="48" t="n">
        <f aca="false">N66-V66</f>
        <v>-429269.95</v>
      </c>
      <c r="X66" s="49" t="n">
        <f aca="false">IF(V66=0,0,W66/V66)</f>
        <v>-0.114769777512984</v>
      </c>
      <c r="Y66" s="47" t="n">
        <f aca="false">MAX(0,(N66/(1+Assumptions!$B$23)-(J66*(Assumptions!$B$4+IF(H66="Yes",0,Assumptions!$B$5)))*(1+(Assumptions!$B$7*(Assumptions!$B$8*L66*Assumptions!$B$9+Assumptions!$B$10)))-N66*(Assumptions!$B$12+Assumptions!$B$13+IF(N66&gt;=Assumptions!$B$16,Assumptions!$B$17,IF(N66&gt;=Assumptions!$B$14,Assumptions!$B$15,0))))/((1+IF(H66="Yes",Assumptions!$B$6,0))*(1+(Assumptions!$B$7*(Assumptions!$B$8*L66*Assumptions!$B$9+Assumptions!$B$10)))+Assumptions!$B$11*L66))</f>
        <v>509394.095706394</v>
      </c>
      <c r="Z66" s="50" t="n">
        <f aca="false">IF(Y66&lt;=0,"no price works",D66/Y66)</f>
        <v>2.45389573718279</v>
      </c>
      <c r="AA66" s="46" t="n">
        <f aca="false">INDEX(Assumptions!$B$32:$B$44,MATCH(AG66,Assumptions!$A$32:$A$44,0))*(1+Assumptions!$B$24)</f>
        <v>1250</v>
      </c>
      <c r="AB66" s="47" t="n">
        <f aca="false">(J66)*AA66-(((D66)+(J66)*Assumptions!$B$4+IF(H66="Yes",Assumptions!$B$6*(D66),(J66)*Assumptions!$B$5))*(1+Assumptions!$B$7*(Assumptions!$B$8*(L66)*Assumptions!$B$9+Assumptions!$B$10))+(D66)*Assumptions!$B$11*(L66)+(J66)*AA66*(Assumptions!$B$12+Assumptions!$B$13+IF((J66)*AA66&gt;=Assumptions!$B$16,Assumptions!$B$17,IF((J66)*AA66&gt;=Assumptions!$B$14,Assumptions!$B$15,0))))</f>
        <v>-713534.35</v>
      </c>
      <c r="AC66" s="46" t="n">
        <f aca="false">INDEX(Assumptions!$B$32:$B$44,MATCH(AG66,Assumptions!$A$32:$A$44,0))*(1+Assumptions!$B$25)</f>
        <v>1375</v>
      </c>
      <c r="AD66" s="47" t="n">
        <f aca="false">(J66)*AC66-(((D66)+(J66)*Assumptions!$B$4+IF(H66="Yes",Assumptions!$B$6*(D66),(J66)*Assumptions!$B$5))*(1+Assumptions!$B$7*(Assumptions!$B$8*(L66)*Assumptions!$B$9+Assumptions!$B$10))+(D66)*Assumptions!$B$11*(L66)+(J66)*AC66*(Assumptions!$B$12+Assumptions!$B$13+IF((J66)*AC66&gt;=Assumptions!$B$16,Assumptions!$B$17,IF((J66)*AC66&gt;=Assumptions!$B$14,Assumptions!$B$15,0))))</f>
        <v>-429269.95</v>
      </c>
      <c r="AE66" s="46" t="n">
        <f aca="false">INDEX(Assumptions!$B$32:$B$44,MATCH(AG66,Assumptions!$A$32:$A$44,0))*(1+Assumptions!$B$26)</f>
        <v>1500</v>
      </c>
      <c r="AF66" s="47" t="n">
        <f aca="false">(J66)*AE66-(((D66)+(J66)*Assumptions!$B$4+IF(H66="Yes",Assumptions!$B$6*(D66),(J66)*Assumptions!$B$5))*(1+Assumptions!$B$7*(Assumptions!$B$8*(L66)*Assumptions!$B$9+Assumptions!$B$10))+(D66)*Assumptions!$B$11*(L66)+(J66)*AE66*(Assumptions!$B$12+Assumptions!$B$13+IF((J66)*AE66&gt;=Assumptions!$B$16,Assumptions!$B$17,IF((J66)*AE66&gt;=Assumptions!$B$14,Assumptions!$B$15,0))))</f>
        <v>-145005.55</v>
      </c>
      <c r="AG66" s="40" t="s">
        <v>100</v>
      </c>
      <c r="AH66" s="45" t="n">
        <f aca="false">IF(G66&gt;0,G66,ROUND(F66*Assumptions!$B$18,0))</f>
        <v>1602</v>
      </c>
      <c r="AI66" s="45" t="n">
        <f aca="false">IF(H66="Yes",AH66,MAX(AH66,MIN(Assumptions!$B$20,ROUND(E66*Assumptions!$B$19,0))))</f>
        <v>2408</v>
      </c>
      <c r="AJ66" s="47" t="n">
        <f aca="false">(AH66)*AC66-(((D66)+(AH66)*Assumptions!$B$4+IF(H66="Yes",Assumptions!$B$6*(D66),(AH66)*Assumptions!$B$5))*(1+Assumptions!$B$7*(Assumptions!$B$8*(Assumptions!$B$21)*Assumptions!$B$9+Assumptions!$B$10))+(D66)*Assumptions!$B$11*(Assumptions!$B$21)+(AH66)*AC66*(Assumptions!$B$12+Assumptions!$B$13+IF((AH66)*AC66&gt;=Assumptions!$B$16,Assumptions!$B$17,IF((AH66)*AC66&gt;=Assumptions!$B$14,Assumptions!$B$15,0))))</f>
        <v>-659906.4125</v>
      </c>
      <c r="AK66" s="47" t="n">
        <f aca="false">(AI66)*AC66-(((D66)+(AI66)*Assumptions!$B$4+IF(H66="Yes",Assumptions!$B$6*(D66),(AI66)*Assumptions!$B$5))*(1+Assumptions!$B$7*(Assumptions!$B$8*(IF(AI66&gt;AH66,Assumptions!$B$22,Assumptions!$B$21))*Assumptions!$B$9+Assumptions!$B$10))+(D66)*Assumptions!$B$11*(IF(AI66&gt;AH66,Assumptions!$B$22,Assumptions!$B$21))+(AI66)*AC66*(Assumptions!$B$12+Assumptions!$B$13+IF((AI66)*AC66&gt;=Assumptions!$B$16,Assumptions!$B$17,IF((AI66)*AC66&gt;=Assumptions!$B$14,Assumptions!$B$15,0))))</f>
        <v>-429269.95</v>
      </c>
      <c r="AL66" s="47" t="n">
        <f aca="false">Assumptions!$B$7*(O66+P66+Q66)</f>
        <v>2025530</v>
      </c>
    </row>
    <row r="67" customFormat="false" ht="15" hidden="false" customHeight="false" outlineLevel="0" collapsed="false">
      <c r="A67" s="40" t="n">
        <v>65</v>
      </c>
      <c r="B67" s="40" t="s">
        <v>185</v>
      </c>
      <c r="C67" s="40" t="s">
        <v>130</v>
      </c>
      <c r="D67" s="41" t="n">
        <v>3490000</v>
      </c>
      <c r="E67" s="42" t="n">
        <v>43994</v>
      </c>
      <c r="F67" s="42" t="n">
        <v>6437</v>
      </c>
      <c r="G67" s="42"/>
      <c r="H67" s="43" t="s">
        <v>67</v>
      </c>
      <c r="I67" s="44"/>
      <c r="J67" s="45" t="n">
        <f aca="false">IF(AK67&gt;AJ67,AI67,AH67)</f>
        <v>7081</v>
      </c>
      <c r="K67" s="40" t="str">
        <f aca="false">IF(AK67&gt;AJ67,"Zoning estimate",IF(H67="Yes","Approved plans",IF(G67&gt;0,"Listing claim","110% old house")))</f>
        <v>110% old house</v>
      </c>
      <c r="L67" s="45" t="n">
        <f aca="false">IF(AK67&gt;AJ67,IF(AI67&gt;AH67,Assumptions!$B$22,Assumptions!$B$21),Assumptions!$B$21)</f>
        <v>2</v>
      </c>
      <c r="M67" s="46" t="n">
        <f aca="false">INDEX(Assumptions!$B$32:$B$44,MATCH(AG67,Assumptions!$A$32:$A$44,0))*(1+IF(UPPER(Assumptions!$B$27)="WORST",Assumptions!$B$24,IF(UPPER(Assumptions!$B$27)="BEST",Assumptions!$B$26,Assumptions!$B$25)))</f>
        <v>1375</v>
      </c>
      <c r="N67" s="47" t="n">
        <f aca="false">J67*M67</f>
        <v>9736375</v>
      </c>
      <c r="O67" s="47" t="n">
        <f aca="false">D67</f>
        <v>3490000</v>
      </c>
      <c r="P67" s="47" t="n">
        <f aca="false">J67*Assumptions!$B$4</f>
        <v>4956700</v>
      </c>
      <c r="Q67" s="47" t="n">
        <f aca="false">IF(H67="Yes",Assumptions!$B$6*(D67),(J67)*Assumptions!$B$5)</f>
        <v>531075</v>
      </c>
      <c r="R67" s="47" t="n">
        <f aca="false">AL67*(Assumptions!$B$8*L67*Assumptions!$B$9+Assumptions!$B$10)</f>
        <v>787799.75625</v>
      </c>
      <c r="S67" s="47" t="n">
        <f aca="false">O67*Assumptions!$B$11*L67</f>
        <v>83760</v>
      </c>
      <c r="T67" s="47" t="n">
        <f aca="false">N67*(Assumptions!$B$12+Assumptions!$B$13)</f>
        <v>541342.45</v>
      </c>
      <c r="U67" s="47" t="n">
        <f aca="false">N67*IF(N67&gt;=Assumptions!$B$16,Assumptions!$B$17,IF(N67&gt;=Assumptions!$B$14,Assumptions!$B$15,0))</f>
        <v>389455</v>
      </c>
      <c r="V67" s="48" t="n">
        <f aca="false">SUM(O67:U67)</f>
        <v>10780132.20625</v>
      </c>
      <c r="W67" s="48" t="n">
        <f aca="false">N67-V67</f>
        <v>-1043757.20625</v>
      </c>
      <c r="X67" s="49" t="n">
        <f aca="false">IF(V67=0,0,W67/V67)</f>
        <v>-0.0968223010887437</v>
      </c>
      <c r="Y67" s="47" t="n">
        <f aca="false">MAX(0,(N67/(1+Assumptions!$B$23)-(J67*(Assumptions!$B$4+IF(H67="Yes",0,Assumptions!$B$5)))*(1+(Assumptions!$B$7*(Assumptions!$B$8*L67*Assumptions!$B$9+Assumptions!$B$10)))-N67*(Assumptions!$B$12+Assumptions!$B$13+IF(N67&gt;=Assumptions!$B$16,Assumptions!$B$17,IF(N67&gt;=Assumptions!$B$14,Assumptions!$B$15,0))))/((1+IF(H67="Yes",Assumptions!$B$6,0))*(1+(Assumptions!$B$7*(Assumptions!$B$8*L67*Assumptions!$B$9+Assumptions!$B$10)))+Assumptions!$B$11*L67))</f>
        <v>1408849.41509176</v>
      </c>
      <c r="Z67" s="50" t="n">
        <f aca="false">IF(Y67&lt;=0,"no price works",D67/Y67)</f>
        <v>2.4771987428995</v>
      </c>
      <c r="AA67" s="46" t="n">
        <f aca="false">INDEX(Assumptions!$B$32:$B$44,MATCH(AG67,Assumptions!$A$32:$A$44,0))*(1+Assumptions!$B$24)</f>
        <v>1250</v>
      </c>
      <c r="AB67" s="47" t="n">
        <f aca="false">(J67)*AA67-(((D67)+(J67)*Assumptions!$B$4+IF(H67="Yes",Assumptions!$B$6*(D67),(J67)*Assumptions!$B$5))*(1+Assumptions!$B$7*(Assumptions!$B$8*(L67)*Assumptions!$B$9+Assumptions!$B$10))+(D67)*Assumptions!$B$11*(L67)+(J67)*AA67*(Assumptions!$B$12+Assumptions!$B$13+IF((J67)*AA67&gt;=Assumptions!$B$16,Assumptions!$B$17,IF((J67)*AA67&gt;=Assumptions!$B$14,Assumptions!$B$15,0))))</f>
        <v>-1844264.25625</v>
      </c>
      <c r="AC67" s="46" t="n">
        <f aca="false">INDEX(Assumptions!$B$32:$B$44,MATCH(AG67,Assumptions!$A$32:$A$44,0))*(1+Assumptions!$B$25)</f>
        <v>1375</v>
      </c>
      <c r="AD67" s="47" t="n">
        <f aca="false">(J67)*AC67-(((D67)+(J67)*Assumptions!$B$4+IF(H67="Yes",Assumptions!$B$6*(D67),(J67)*Assumptions!$B$5))*(1+Assumptions!$B$7*(Assumptions!$B$8*(L67)*Assumptions!$B$9+Assumptions!$B$10))+(D67)*Assumptions!$B$11*(L67)+(J67)*AC67*(Assumptions!$B$12+Assumptions!$B$13+IF((J67)*AC67&gt;=Assumptions!$B$16,Assumptions!$B$17,IF((J67)*AC67&gt;=Assumptions!$B$14,Assumptions!$B$15,0))))</f>
        <v>-1043757.20625</v>
      </c>
      <c r="AE67" s="46" t="n">
        <f aca="false">INDEX(Assumptions!$B$32:$B$44,MATCH(AG67,Assumptions!$A$32:$A$44,0))*(1+Assumptions!$B$26)</f>
        <v>1500</v>
      </c>
      <c r="AF67" s="47" t="n">
        <f aca="false">(J67)*AE67-(((D67)+(J67)*Assumptions!$B$4+IF(H67="Yes",Assumptions!$B$6*(D67),(J67)*Assumptions!$B$5))*(1+Assumptions!$B$7*(Assumptions!$B$8*(L67)*Assumptions!$B$9+Assumptions!$B$10))+(D67)*Assumptions!$B$11*(L67)+(J67)*AE67*(Assumptions!$B$12+Assumptions!$B$13+IF((J67)*AE67&gt;=Assumptions!$B$16,Assumptions!$B$17,IF((J67)*AE67&gt;=Assumptions!$B$14,Assumptions!$B$15,0))))</f>
        <v>-243250.15625</v>
      </c>
      <c r="AG67" s="40" t="s">
        <v>132</v>
      </c>
      <c r="AH67" s="45" t="n">
        <f aca="false">IF(G67&gt;0,G67,ROUND(F67*Assumptions!$B$18,0))</f>
        <v>7081</v>
      </c>
      <c r="AI67" s="45" t="n">
        <f aca="false">IF(H67="Yes",AH67,MAX(AH67,MIN(Assumptions!$B$20,ROUND(E67*Assumptions!$B$19,0))))</f>
        <v>8000</v>
      </c>
      <c r="AJ67" s="47" t="n">
        <f aca="false">(AH67)*AC67-(((D67)+(AH67)*Assumptions!$B$4+IF(H67="Yes",Assumptions!$B$6*(D67),(AH67)*Assumptions!$B$5))*(1+Assumptions!$B$7*(Assumptions!$B$8*(Assumptions!$B$21)*Assumptions!$B$9+Assumptions!$B$10))+(D67)*Assumptions!$B$11*(Assumptions!$B$21)+(AH67)*AC67*(Assumptions!$B$12+Assumptions!$B$13+IF((AH67)*AC67&gt;=Assumptions!$B$16,Assumptions!$B$17,IF((AH67)*AC67&gt;=Assumptions!$B$14,Assumptions!$B$15,0))))</f>
        <v>-1043757.20625</v>
      </c>
      <c r="AK67" s="47" t="n">
        <f aca="false">(AI67)*AC67-(((D67)+(AI67)*Assumptions!$B$4+IF(H67="Yes",Assumptions!$B$6*(D67),(AI67)*Assumptions!$B$5))*(1+Assumptions!$B$7*(Assumptions!$B$8*(IF(AI67&gt;AH67,Assumptions!$B$22,Assumptions!$B$21))*Assumptions!$B$9+Assumptions!$B$10))+(D67)*Assumptions!$B$11*(IF(AI67&gt;AH67,Assumptions!$B$22,Assumptions!$B$21))+(AI67)*AC67*(Assumptions!$B$12+Assumptions!$B$13+IF((AI67)*AC67&gt;=Assumptions!$B$16,Assumptions!$B$17,IF((AI67)*AC67&gt;=Assumptions!$B$14,Assumptions!$B$15,0))))</f>
        <v>-1260447.5</v>
      </c>
      <c r="AL67" s="47" t="n">
        <f aca="false">Assumptions!$B$7*(O67+P67+Q67)</f>
        <v>5835553.75</v>
      </c>
    </row>
    <row r="68" customFormat="false" ht="15" hidden="false" customHeight="false" outlineLevel="0" collapsed="false">
      <c r="A68" s="40" t="n">
        <v>66</v>
      </c>
      <c r="B68" s="40" t="s">
        <v>186</v>
      </c>
      <c r="C68" s="40" t="s">
        <v>115</v>
      </c>
      <c r="D68" s="41" t="n">
        <v>2995000</v>
      </c>
      <c r="E68" s="42" t="n">
        <v>10990</v>
      </c>
      <c r="F68" s="42" t="n">
        <v>3472</v>
      </c>
      <c r="G68" s="42"/>
      <c r="H68" s="43" t="s">
        <v>67</v>
      </c>
      <c r="I68" s="44" t="s">
        <v>187</v>
      </c>
      <c r="J68" s="45" t="n">
        <f aca="false">IF(AK68&gt;AJ68,AI68,AH68)</f>
        <v>4396</v>
      </c>
      <c r="K68" s="40" t="str">
        <f aca="false">IF(AK68&gt;AJ68,"Zoning estimate",IF(H68="Yes","Approved plans",IF(G68&gt;0,"Listing claim","110% old house")))</f>
        <v>Zoning estimate</v>
      </c>
      <c r="L68" s="45" t="n">
        <f aca="false">IF(AK68&gt;AJ68,IF(AI68&gt;AH68,Assumptions!$B$22,Assumptions!$B$21),Assumptions!$B$21)</f>
        <v>3</v>
      </c>
      <c r="M68" s="46" t="n">
        <f aca="false">INDEX(Assumptions!$B$32:$B$44,MATCH(AG68,Assumptions!$A$32:$A$44,0))*(1+IF(UPPER(Assumptions!$B$27)="WORST",Assumptions!$B$24,IF(UPPER(Assumptions!$B$27)="BEST",Assumptions!$B$26,Assumptions!$B$25)))</f>
        <v>1540</v>
      </c>
      <c r="N68" s="47" t="n">
        <f aca="false">J68*M68</f>
        <v>6769840</v>
      </c>
      <c r="O68" s="47" t="n">
        <f aca="false">D68</f>
        <v>2995000</v>
      </c>
      <c r="P68" s="47" t="n">
        <f aca="false">J68*Assumptions!$B$4</f>
        <v>3077200</v>
      </c>
      <c r="Q68" s="47" t="n">
        <f aca="false">IF(H68="Yes",Assumptions!$B$6*(D68),(J68)*Assumptions!$B$5)</f>
        <v>329700</v>
      </c>
      <c r="R68" s="47" t="n">
        <f aca="false">AL68*(Assumptions!$B$8*L68*Assumptions!$B$9+Assumptions!$B$10)</f>
        <v>811440.825</v>
      </c>
      <c r="S68" s="47" t="n">
        <f aca="false">O68*Assumptions!$B$11*L68</f>
        <v>107820</v>
      </c>
      <c r="T68" s="47" t="n">
        <f aca="false">N68*(Assumptions!$B$12+Assumptions!$B$13)</f>
        <v>376403.104</v>
      </c>
      <c r="U68" s="47" t="n">
        <f aca="false">N68*IF(N68&gt;=Assumptions!$B$16,Assumptions!$B$17,IF(N68&gt;=Assumptions!$B$14,Assumptions!$B$15,0))</f>
        <v>270793.6</v>
      </c>
      <c r="V68" s="48" t="n">
        <f aca="false">SUM(O68:U68)</f>
        <v>7968357.529</v>
      </c>
      <c r="W68" s="48" t="n">
        <f aca="false">N68-V68</f>
        <v>-1198517.529</v>
      </c>
      <c r="X68" s="49" t="n">
        <f aca="false">IF(V68=0,0,W68/V68)</f>
        <v>-0.150409607580749</v>
      </c>
      <c r="Y68" s="47" t="n">
        <f aca="false">MAX(0,(N68/(1+Assumptions!$B$23)-(J68*(Assumptions!$B$4+IF(H68="Yes",0,Assumptions!$B$5)))*(1+(Assumptions!$B$7*(Assumptions!$B$8*L68*Assumptions!$B$9+Assumptions!$B$10)))-N68*(Assumptions!$B$12+Assumptions!$B$13+IF(N68&gt;=Assumptions!$B$16,Assumptions!$B$17,IF(N68&gt;=Assumptions!$B$14,Assumptions!$B$15,0))))/((1+IF(H68="Yes",Assumptions!$B$6,0))*(1+(Assumptions!$B$7*(Assumptions!$B$8*L68*Assumptions!$B$9+Assumptions!$B$10)))+Assumptions!$B$11*L68))</f>
        <v>1204812.82503062</v>
      </c>
      <c r="Z68" s="50" t="n">
        <f aca="false">IF(Y68&lt;=0,"no price works",D68/Y68)</f>
        <v>2.48586331235633</v>
      </c>
      <c r="AA68" s="46" t="n">
        <f aca="false">INDEX(Assumptions!$B$32:$B$44,MATCH(AG68,Assumptions!$A$32:$A$44,0))*(1+Assumptions!$B$24)</f>
        <v>1400</v>
      </c>
      <c r="AB68" s="47" t="n">
        <f aca="false">(J68)*AA68-(((D68)+(J68)*Assumptions!$B$4+IF(H68="Yes",Assumptions!$B$6*(D68),(J68)*Assumptions!$B$5))*(1+Assumptions!$B$7*(Assumptions!$B$8*(L68)*Assumptions!$B$9+Assumptions!$B$10))+(D68)*Assumptions!$B$11*(L68)+(J68)*AA68*(Assumptions!$B$12+Assumptions!$B$13+IF((J68)*AA68&gt;=Assumptions!$B$16,Assumptions!$B$17,IF((J68)*AA68&gt;=Assumptions!$B$14,Assumptions!$B$15,0))))</f>
        <v>-1755121.465</v>
      </c>
      <c r="AC68" s="46" t="n">
        <f aca="false">INDEX(Assumptions!$B$32:$B$44,MATCH(AG68,Assumptions!$A$32:$A$44,0))*(1+Assumptions!$B$25)</f>
        <v>1540</v>
      </c>
      <c r="AD68" s="47" t="n">
        <f aca="false">(J68)*AC68-(((D68)+(J68)*Assumptions!$B$4+IF(H68="Yes",Assumptions!$B$6*(D68),(J68)*Assumptions!$B$5))*(1+Assumptions!$B$7*(Assumptions!$B$8*(L68)*Assumptions!$B$9+Assumptions!$B$10))+(D68)*Assumptions!$B$11*(L68)+(J68)*AC68*(Assumptions!$B$12+Assumptions!$B$13+IF((J68)*AC68&gt;=Assumptions!$B$16,Assumptions!$B$17,IF((J68)*AC68&gt;=Assumptions!$B$14,Assumptions!$B$15,0))))</f>
        <v>-1198517.529</v>
      </c>
      <c r="AE68" s="46" t="n">
        <f aca="false">INDEX(Assumptions!$B$32:$B$44,MATCH(AG68,Assumptions!$A$32:$A$44,0))*(1+Assumptions!$B$26)</f>
        <v>1680</v>
      </c>
      <c r="AF68" s="47" t="n">
        <f aca="false">(J68)*AE68-(((D68)+(J68)*Assumptions!$B$4+IF(H68="Yes",Assumptions!$B$6*(D68),(J68)*Assumptions!$B$5))*(1+Assumptions!$B$7*(Assumptions!$B$8*(L68)*Assumptions!$B$9+Assumptions!$B$10))+(D68)*Assumptions!$B$11*(L68)+(J68)*AE68*(Assumptions!$B$12+Assumptions!$B$13+IF((J68)*AE68&gt;=Assumptions!$B$16,Assumptions!$B$17,IF((J68)*AE68&gt;=Assumptions!$B$14,Assumptions!$B$15,0))))</f>
        <v>-641913.592999999</v>
      </c>
      <c r="AG68" s="40" t="s">
        <v>117</v>
      </c>
      <c r="AH68" s="45" t="n">
        <f aca="false">IF(G68&gt;0,G68,ROUND(F68*Assumptions!$B$18,0))</f>
        <v>3819</v>
      </c>
      <c r="AI68" s="45" t="n">
        <f aca="false">IF(H68="Yes",AH68,MAX(AH68,MIN(Assumptions!$B$20,ROUND(E68*Assumptions!$B$19,0))))</f>
        <v>4396</v>
      </c>
      <c r="AJ68" s="47" t="n">
        <f aca="false">(AH68)*AC68-(((D68)+(AH68)*Assumptions!$B$4+IF(H68="Yes",Assumptions!$B$6*(D68),(AH68)*Assumptions!$B$5))*(1+Assumptions!$B$7*(Assumptions!$B$8*(Assumptions!$B$21)*Assumptions!$B$9+Assumptions!$B$10))+(D68)*Assumptions!$B$11*(Assumptions!$B$21)+(AH68)*AC68*(Assumptions!$B$12+Assumptions!$B$13+IF((AH68)*AC68&gt;=Assumptions!$B$16,Assumptions!$B$17,IF((AH68)*AC68&gt;=Assumptions!$B$14,Assumptions!$B$15,0))))</f>
        <v>-1230120.57475</v>
      </c>
      <c r="AK68" s="47" t="n">
        <f aca="false">(AI68)*AC68-(((D68)+(AI68)*Assumptions!$B$4+IF(H68="Yes",Assumptions!$B$6*(D68),(AI68)*Assumptions!$B$5))*(1+Assumptions!$B$7*(Assumptions!$B$8*(IF(AI68&gt;AH68,Assumptions!$B$22,Assumptions!$B$21))*Assumptions!$B$9+Assumptions!$B$10))+(D68)*Assumptions!$B$11*(IF(AI68&gt;AH68,Assumptions!$B$22,Assumptions!$B$21))+(AI68)*AC68*(Assumptions!$B$12+Assumptions!$B$13+IF((AI68)*AC68&gt;=Assumptions!$B$16,Assumptions!$B$17,IF((AI68)*AC68&gt;=Assumptions!$B$14,Assumptions!$B$15,0))))</f>
        <v>-1198517.529</v>
      </c>
      <c r="AL68" s="47" t="n">
        <f aca="false">Assumptions!$B$7*(O68+P68+Q68)</f>
        <v>4161235</v>
      </c>
    </row>
    <row r="69" customFormat="false" ht="15" hidden="false" customHeight="false" outlineLevel="0" collapsed="false">
      <c r="A69" s="40" t="n">
        <v>67</v>
      </c>
      <c r="B69" s="40" t="s">
        <v>188</v>
      </c>
      <c r="C69" s="40" t="s">
        <v>98</v>
      </c>
      <c r="D69" s="41" t="n">
        <v>2300000</v>
      </c>
      <c r="E69" s="42" t="n">
        <v>7744</v>
      </c>
      <c r="F69" s="42" t="n">
        <v>2600</v>
      </c>
      <c r="G69" s="42" t="n">
        <v>3008</v>
      </c>
      <c r="H69" s="43" t="s">
        <v>76</v>
      </c>
      <c r="I69" s="44" t="s">
        <v>189</v>
      </c>
      <c r="J69" s="45" t="n">
        <f aca="false">IF(AK69&gt;AJ69,AI69,AH69)</f>
        <v>3008</v>
      </c>
      <c r="K69" s="40" t="str">
        <f aca="false">IF(AK69&gt;AJ69,"Zoning estimate",IF(H69="Yes","Approved plans",IF(G69&gt;0,"Listing claim","110% old house")))</f>
        <v>Approved plans</v>
      </c>
      <c r="L69" s="45" t="n">
        <f aca="false">IF(AK69&gt;AJ69,IF(AI69&gt;AH69,Assumptions!$B$22,Assumptions!$B$21),Assumptions!$B$21)</f>
        <v>2</v>
      </c>
      <c r="M69" s="46" t="n">
        <f aca="false">INDEX(Assumptions!$B$32:$B$44,MATCH(AG69,Assumptions!$A$32:$A$44,0))*(1+IF(UPPER(Assumptions!$B$27)="WORST",Assumptions!$B$24,IF(UPPER(Assumptions!$B$27)="BEST",Assumptions!$B$26,Assumptions!$B$25)))</f>
        <v>1375</v>
      </c>
      <c r="N69" s="47" t="n">
        <f aca="false">J69*M69</f>
        <v>4136000</v>
      </c>
      <c r="O69" s="47" t="n">
        <f aca="false">D69</f>
        <v>2300000</v>
      </c>
      <c r="P69" s="47" t="n">
        <f aca="false">J69*Assumptions!$B$4</f>
        <v>2105600</v>
      </c>
      <c r="Q69" s="47" t="n">
        <f aca="false">IF(H69="Yes",Assumptions!$B$6*(D69),(J69)*Assumptions!$B$5)</f>
        <v>115000</v>
      </c>
      <c r="R69" s="47" t="n">
        <f aca="false">AL69*(Assumptions!$B$8*L69*Assumptions!$B$9+Assumptions!$B$10)</f>
        <v>396682.65</v>
      </c>
      <c r="S69" s="47" t="n">
        <f aca="false">O69*Assumptions!$B$11*L69</f>
        <v>55200</v>
      </c>
      <c r="T69" s="47" t="n">
        <f aca="false">N69*(Assumptions!$B$12+Assumptions!$B$13)</f>
        <v>229961.6</v>
      </c>
      <c r="U69" s="47" t="n">
        <f aca="false">N69*IF(N69&gt;=Assumptions!$B$16,Assumptions!$B$17,IF(N69&gt;=Assumptions!$B$14,Assumptions!$B$15,0))</f>
        <v>0</v>
      </c>
      <c r="V69" s="48" t="n">
        <f aca="false">SUM(O69:U69)</f>
        <v>5202444.25</v>
      </c>
      <c r="W69" s="48" t="n">
        <f aca="false">N69-V69</f>
        <v>-1066444.25</v>
      </c>
      <c r="X69" s="49" t="n">
        <f aca="false">IF(V69=0,0,W69/V69)</f>
        <v>-0.204989077970417</v>
      </c>
      <c r="Y69" s="47" t="n">
        <f aca="false">MAX(0,(N69/(1+Assumptions!$B$23)-(J69*(Assumptions!$B$4+IF(H69="Yes",0,Assumptions!$B$5)))*(1+(Assumptions!$B$7*(Assumptions!$B$8*L69*Assumptions!$B$9+Assumptions!$B$10)))-N69*(Assumptions!$B$12+Assumptions!$B$13+IF(N69&gt;=Assumptions!$B$16,Assumptions!$B$17,IF(N69&gt;=Assumptions!$B$14,Assumptions!$B$15,0))))/((1+IF(H69="Yes",Assumptions!$B$6,0))*(1+(Assumptions!$B$7*(Assumptions!$B$8*L69*Assumptions!$B$9+Assumptions!$B$10)))+Assumptions!$B$11*L69))</f>
        <v>922870.364026914</v>
      </c>
      <c r="Z69" s="50" t="n">
        <f aca="false">IF(Y69&lt;=0,"no price works",D69/Y69)</f>
        <v>2.49222435745366</v>
      </c>
      <c r="AA69" s="46" t="n">
        <f aca="false">INDEX(Assumptions!$B$32:$B$44,MATCH(AG69,Assumptions!$A$32:$A$44,0))*(1+Assumptions!$B$24)</f>
        <v>1250</v>
      </c>
      <c r="AB69" s="47" t="n">
        <f aca="false">(J69)*AA69-(((D69)+(J69)*Assumptions!$B$4+IF(H69="Yes",Assumptions!$B$6*(D69),(J69)*Assumptions!$B$5))*(1+Assumptions!$B$7*(Assumptions!$B$8*(L69)*Assumptions!$B$9+Assumptions!$B$10))+(D69)*Assumptions!$B$11*(L69)+(J69)*AA69*(Assumptions!$B$12+Assumptions!$B$13+IF((J69)*AA69&gt;=Assumptions!$B$16,Assumptions!$B$17,IF((J69)*AA69&gt;=Assumptions!$B$14,Assumptions!$B$15,0))))</f>
        <v>-1421538.65</v>
      </c>
      <c r="AC69" s="46" t="n">
        <f aca="false">INDEX(Assumptions!$B$32:$B$44,MATCH(AG69,Assumptions!$A$32:$A$44,0))*(1+Assumptions!$B$25)</f>
        <v>1375</v>
      </c>
      <c r="AD69" s="47" t="n">
        <f aca="false">(J69)*AC69-(((D69)+(J69)*Assumptions!$B$4+IF(H69="Yes",Assumptions!$B$6*(D69),(J69)*Assumptions!$B$5))*(1+Assumptions!$B$7*(Assumptions!$B$8*(L69)*Assumptions!$B$9+Assumptions!$B$10))+(D69)*Assumptions!$B$11*(L69)+(J69)*AC69*(Assumptions!$B$12+Assumptions!$B$13+IF((J69)*AC69&gt;=Assumptions!$B$16,Assumptions!$B$17,IF((J69)*AC69&gt;=Assumptions!$B$14,Assumptions!$B$15,0))))</f>
        <v>-1066444.25</v>
      </c>
      <c r="AE69" s="46" t="n">
        <f aca="false">INDEX(Assumptions!$B$32:$B$44,MATCH(AG69,Assumptions!$A$32:$A$44,0))*(1+Assumptions!$B$26)</f>
        <v>1500</v>
      </c>
      <c r="AF69" s="47" t="n">
        <f aca="false">(J69)*AE69-(((D69)+(J69)*Assumptions!$B$4+IF(H69="Yes",Assumptions!$B$6*(D69),(J69)*Assumptions!$B$5))*(1+Assumptions!$B$7*(Assumptions!$B$8*(L69)*Assumptions!$B$9+Assumptions!$B$10))+(D69)*Assumptions!$B$11*(L69)+(J69)*AE69*(Assumptions!$B$12+Assumptions!$B$13+IF((J69)*AE69&gt;=Assumptions!$B$16,Assumptions!$B$17,IF((J69)*AE69&gt;=Assumptions!$B$14,Assumptions!$B$15,0))))</f>
        <v>-711349.850000001</v>
      </c>
      <c r="AG69" s="40" t="s">
        <v>100</v>
      </c>
      <c r="AH69" s="45" t="n">
        <f aca="false">IF(G69&gt;0,G69,ROUND(F69*Assumptions!$B$18,0))</f>
        <v>3008</v>
      </c>
      <c r="AI69" s="45" t="n">
        <f aca="false">IF(H69="Yes",AH69,MAX(AH69,MIN(Assumptions!$B$20,ROUND(E69*Assumptions!$B$19,0))))</f>
        <v>3008</v>
      </c>
      <c r="AJ69" s="47" t="n">
        <f aca="false">(AH69)*AC69-(((D69)+(AH69)*Assumptions!$B$4+IF(H69="Yes",Assumptions!$B$6*(D69),(AH69)*Assumptions!$B$5))*(1+Assumptions!$B$7*(Assumptions!$B$8*(Assumptions!$B$21)*Assumptions!$B$9+Assumptions!$B$10))+(D69)*Assumptions!$B$11*(Assumptions!$B$21)+(AH69)*AC69*(Assumptions!$B$12+Assumptions!$B$13+IF((AH69)*AC69&gt;=Assumptions!$B$16,Assumptions!$B$17,IF((AH69)*AC69&gt;=Assumptions!$B$14,Assumptions!$B$15,0))))</f>
        <v>-1066444.25</v>
      </c>
      <c r="AK69" s="47" t="n">
        <f aca="false">(AI69)*AC69-(((D69)+(AI69)*Assumptions!$B$4+IF(H69="Yes",Assumptions!$B$6*(D69),(AI69)*Assumptions!$B$5))*(1+Assumptions!$B$7*(Assumptions!$B$8*(IF(AI69&gt;AH69,Assumptions!$B$22,Assumptions!$B$21))*Assumptions!$B$9+Assumptions!$B$10))+(D69)*Assumptions!$B$11*(IF(AI69&gt;AH69,Assumptions!$B$22,Assumptions!$B$21))+(AI69)*AC69*(Assumptions!$B$12+Assumptions!$B$13+IF((AI69)*AC69&gt;=Assumptions!$B$16,Assumptions!$B$17,IF((AI69)*AC69&gt;=Assumptions!$B$14,Assumptions!$B$15,0))))</f>
        <v>-1066444.25</v>
      </c>
      <c r="AL69" s="47" t="n">
        <f aca="false">Assumptions!$B$7*(O69+P69+Q69)</f>
        <v>2938390</v>
      </c>
    </row>
    <row r="70" customFormat="false" ht="15" hidden="false" customHeight="false" outlineLevel="0" collapsed="false">
      <c r="A70" s="40" t="n">
        <v>68</v>
      </c>
      <c r="B70" s="40" t="s">
        <v>190</v>
      </c>
      <c r="C70" s="40" t="s">
        <v>107</v>
      </c>
      <c r="D70" s="41" t="n">
        <v>2300000</v>
      </c>
      <c r="E70" s="42" t="n">
        <v>13939</v>
      </c>
      <c r="F70" s="42" t="n">
        <v>2128</v>
      </c>
      <c r="G70" s="42"/>
      <c r="H70" s="43" t="s">
        <v>67</v>
      </c>
      <c r="I70" s="44"/>
      <c r="J70" s="45" t="n">
        <f aca="false">IF(AK70&gt;AJ70,AI70,AH70)</f>
        <v>5576</v>
      </c>
      <c r="K70" s="40" t="str">
        <f aca="false">IF(AK70&gt;AJ70,"Zoning estimate",IF(H70="Yes","Approved plans",IF(G70&gt;0,"Listing claim","110% old house")))</f>
        <v>Zoning estimate</v>
      </c>
      <c r="L70" s="45" t="n">
        <f aca="false">IF(AK70&gt;AJ70,IF(AI70&gt;AH70,Assumptions!$B$22,Assumptions!$B$21),Assumptions!$B$21)</f>
        <v>3</v>
      </c>
      <c r="M70" s="46" t="n">
        <f aca="false">INDEX(Assumptions!$B$32:$B$44,MATCH(AG70,Assumptions!$A$32:$A$44,0))*(1+IF(UPPER(Assumptions!$B$27)="WORST",Assumptions!$B$24,IF(UPPER(Assumptions!$B$27)="BEST",Assumptions!$B$26,Assumptions!$B$25)))</f>
        <v>1375</v>
      </c>
      <c r="N70" s="47" t="n">
        <f aca="false">J70*M70</f>
        <v>7667000</v>
      </c>
      <c r="O70" s="47" t="n">
        <f aca="false">D70</f>
        <v>2300000</v>
      </c>
      <c r="P70" s="47" t="n">
        <f aca="false">J70*Assumptions!$B$4</f>
        <v>3903200</v>
      </c>
      <c r="Q70" s="47" t="n">
        <f aca="false">IF(H70="Yes",Assumptions!$B$6*(D70),(J70)*Assumptions!$B$5)</f>
        <v>418200</v>
      </c>
      <c r="R70" s="47" t="n">
        <f aca="false">AL70*(Assumptions!$B$8*L70*Assumptions!$B$9+Assumptions!$B$10)</f>
        <v>839262.45</v>
      </c>
      <c r="S70" s="47" t="n">
        <f aca="false">O70*Assumptions!$B$11*L70</f>
        <v>82800</v>
      </c>
      <c r="T70" s="47" t="n">
        <f aca="false">N70*(Assumptions!$B$12+Assumptions!$B$13)</f>
        <v>426285.2</v>
      </c>
      <c r="U70" s="47" t="n">
        <f aca="false">N70*IF(N70&gt;=Assumptions!$B$16,Assumptions!$B$17,IF(N70&gt;=Assumptions!$B$14,Assumptions!$B$15,0))</f>
        <v>306680</v>
      </c>
      <c r="V70" s="48" t="n">
        <f aca="false">SUM(O70:U70)</f>
        <v>8276427.65</v>
      </c>
      <c r="W70" s="48" t="n">
        <f aca="false">N70-V70</f>
        <v>-609427.65</v>
      </c>
      <c r="X70" s="49" t="n">
        <f aca="false">IF(V70=0,0,W70/V70)</f>
        <v>-0.0736341421410239</v>
      </c>
      <c r="Y70" s="47" t="n">
        <f aca="false">MAX(0,(N70/(1+Assumptions!$B$23)-(J70*(Assumptions!$B$4+IF(H70="Yes",0,Assumptions!$B$5)))*(1+(Assumptions!$B$7*(Assumptions!$B$8*L70*Assumptions!$B$9+Assumptions!$B$10)))-N70*(Assumptions!$B$12+Assumptions!$B$13+IF(N70&gt;=Assumptions!$B$16,Assumptions!$B$17,IF(N70&gt;=Assumptions!$B$14,Assumptions!$B$15,0))))/((1+IF(H70="Yes",Assumptions!$B$6,0))*(1+(Assumptions!$B$7*(Assumptions!$B$8*L70*Assumptions!$B$9+Assumptions!$B$10)))+Assumptions!$B$11*L70))</f>
        <v>915806.382919055</v>
      </c>
      <c r="Z70" s="50" t="n">
        <f aca="false">IF(Y70&lt;=0,"no price works",D70/Y70)</f>
        <v>2.51144788123112</v>
      </c>
      <c r="AA70" s="46" t="n">
        <f aca="false">INDEX(Assumptions!$B$32:$B$44,MATCH(AG70,Assumptions!$A$32:$A$44,0))*(1+Assumptions!$B$24)</f>
        <v>1250</v>
      </c>
      <c r="AB70" s="47" t="n">
        <f aca="false">(J70)*AA70-(((D70)+(J70)*Assumptions!$B$4+IF(H70="Yes",Assumptions!$B$6*(D70),(J70)*Assumptions!$B$5))*(1+Assumptions!$B$7*(Assumptions!$B$8*(L70)*Assumptions!$B$9+Assumptions!$B$10))+(D70)*Assumptions!$B$11*(L70)+(J70)*AA70*(Assumptions!$B$12+Assumptions!$B$13+IF((J70)*AA70&gt;=Assumptions!$B$16,Assumptions!$B$17,IF((J70)*AA70&gt;=Assumptions!$B$14,Assumptions!$B$15,0))))</f>
        <v>-1239794.45</v>
      </c>
      <c r="AC70" s="46" t="n">
        <f aca="false">INDEX(Assumptions!$B$32:$B$44,MATCH(AG70,Assumptions!$A$32:$A$44,0))*(1+Assumptions!$B$25)</f>
        <v>1375</v>
      </c>
      <c r="AD70" s="47" t="n">
        <f aca="false">(J70)*AC70-(((D70)+(J70)*Assumptions!$B$4+IF(H70="Yes",Assumptions!$B$6*(D70),(J70)*Assumptions!$B$5))*(1+Assumptions!$B$7*(Assumptions!$B$8*(L70)*Assumptions!$B$9+Assumptions!$B$10))+(D70)*Assumptions!$B$11*(L70)+(J70)*AC70*(Assumptions!$B$12+Assumptions!$B$13+IF((J70)*AC70&gt;=Assumptions!$B$16,Assumptions!$B$17,IF((J70)*AC70&gt;=Assumptions!$B$14,Assumptions!$B$15,0))))</f>
        <v>-609427.649999999</v>
      </c>
      <c r="AE70" s="46" t="n">
        <f aca="false">INDEX(Assumptions!$B$32:$B$44,MATCH(AG70,Assumptions!$A$32:$A$44,0))*(1+Assumptions!$B$26)</f>
        <v>1500</v>
      </c>
      <c r="AF70" s="47" t="n">
        <f aca="false">(J70)*AE70-(((D70)+(J70)*Assumptions!$B$4+IF(H70="Yes",Assumptions!$B$6*(D70),(J70)*Assumptions!$B$5))*(1+Assumptions!$B$7*(Assumptions!$B$8*(L70)*Assumptions!$B$9+Assumptions!$B$10))+(D70)*Assumptions!$B$11*(L70)+(J70)*AE70*(Assumptions!$B$12+Assumptions!$B$13+IF((J70)*AE70&gt;=Assumptions!$B$16,Assumptions!$B$17,IF((J70)*AE70&gt;=Assumptions!$B$14,Assumptions!$B$15,0))))</f>
        <v>20939.1500000004</v>
      </c>
      <c r="AG70" s="40" t="s">
        <v>109</v>
      </c>
      <c r="AH70" s="45" t="n">
        <f aca="false">IF(G70&gt;0,G70,ROUND(F70*Assumptions!$B$18,0))</f>
        <v>2341</v>
      </c>
      <c r="AI70" s="45" t="n">
        <f aca="false">IF(H70="Yes",AH70,MAX(AH70,MIN(Assumptions!$B$20,ROUND(E70*Assumptions!$B$19,0))))</f>
        <v>5576</v>
      </c>
      <c r="AJ70" s="47" t="n">
        <f aca="false">(AH70)*AC70-(((D70)+(AH70)*Assumptions!$B$4+IF(H70="Yes",Assumptions!$B$6*(D70),(AH70)*Assumptions!$B$5))*(1+Assumptions!$B$7*(Assumptions!$B$8*(Assumptions!$B$21)*Assumptions!$B$9+Assumptions!$B$10))+(D70)*Assumptions!$B$11*(Assumptions!$B$21)+(AH70)*AC70*(Assumptions!$B$12+Assumptions!$B$13+IF((AH70)*AC70&gt;=Assumptions!$B$16,Assumptions!$B$17,IF((AH70)*AC70&gt;=Assumptions!$B$14,Assumptions!$B$15,0))))</f>
        <v>-1490597.08125</v>
      </c>
      <c r="AK70" s="47" t="n">
        <f aca="false">(AI70)*AC70-(((D70)+(AI70)*Assumptions!$B$4+IF(H70="Yes",Assumptions!$B$6*(D70),(AI70)*Assumptions!$B$5))*(1+Assumptions!$B$7*(Assumptions!$B$8*(IF(AI70&gt;AH70,Assumptions!$B$22,Assumptions!$B$21))*Assumptions!$B$9+Assumptions!$B$10))+(D70)*Assumptions!$B$11*(IF(AI70&gt;AH70,Assumptions!$B$22,Assumptions!$B$21))+(AI70)*AC70*(Assumptions!$B$12+Assumptions!$B$13+IF((AI70)*AC70&gt;=Assumptions!$B$16,Assumptions!$B$17,IF((AI70)*AC70&gt;=Assumptions!$B$14,Assumptions!$B$15,0))))</f>
        <v>-609427.649999999</v>
      </c>
      <c r="AL70" s="47" t="n">
        <f aca="false">Assumptions!$B$7*(O70+P70+Q70)</f>
        <v>4303910</v>
      </c>
    </row>
    <row r="71" customFormat="false" ht="15" hidden="false" customHeight="false" outlineLevel="0" collapsed="false">
      <c r="A71" s="40" t="n">
        <v>69</v>
      </c>
      <c r="B71" s="40" t="s">
        <v>191</v>
      </c>
      <c r="C71" s="40" t="s">
        <v>124</v>
      </c>
      <c r="D71" s="41" t="n">
        <v>4500000</v>
      </c>
      <c r="E71" s="42" t="n">
        <v>9410</v>
      </c>
      <c r="F71" s="42" t="n">
        <v>6785</v>
      </c>
      <c r="G71" s="42" t="n">
        <v>7500</v>
      </c>
      <c r="H71" s="43" t="s">
        <v>67</v>
      </c>
      <c r="I71" s="44" t="s">
        <v>192</v>
      </c>
      <c r="J71" s="45" t="n">
        <f aca="false">IF(AK71&gt;AJ71,AI71,AH71)</f>
        <v>7500</v>
      </c>
      <c r="K71" s="40" t="str">
        <f aca="false">IF(AK71&gt;AJ71,"Zoning estimate",IF(H71="Yes","Approved plans",IF(G71&gt;0,"Listing claim","110% old house")))</f>
        <v>Listing claim</v>
      </c>
      <c r="L71" s="45" t="n">
        <f aca="false">IF(AK71&gt;AJ71,IF(AI71&gt;AH71,Assumptions!$B$22,Assumptions!$B$21),Assumptions!$B$21)</f>
        <v>2</v>
      </c>
      <c r="M71" s="46" t="n">
        <f aca="false">INDEX(Assumptions!$B$32:$B$44,MATCH(AG71,Assumptions!$A$32:$A$44,0))*(1+IF(UPPER(Assumptions!$B$27)="WORST",Assumptions!$B$24,IF(UPPER(Assumptions!$B$27)="BEST",Assumptions!$B$26,Assumptions!$B$25)))</f>
        <v>1430</v>
      </c>
      <c r="N71" s="47" t="n">
        <f aca="false">J71*M71</f>
        <v>10725000</v>
      </c>
      <c r="O71" s="47" t="n">
        <f aca="false">D71</f>
        <v>4500000</v>
      </c>
      <c r="P71" s="47" t="n">
        <f aca="false">J71*Assumptions!$B$4</f>
        <v>5250000</v>
      </c>
      <c r="Q71" s="47" t="n">
        <f aca="false">IF(H71="Yes",Assumptions!$B$6*(D71),(J71)*Assumptions!$B$5)</f>
        <v>562500</v>
      </c>
      <c r="R71" s="47" t="n">
        <f aca="false">AL71*(Assumptions!$B$8*L71*Assumptions!$B$9+Assumptions!$B$10)</f>
        <v>904921.875</v>
      </c>
      <c r="S71" s="47" t="n">
        <f aca="false">O71*Assumptions!$B$11*L71</f>
        <v>108000</v>
      </c>
      <c r="T71" s="47" t="n">
        <f aca="false">N71*(Assumptions!$B$12+Assumptions!$B$13)</f>
        <v>596310</v>
      </c>
      <c r="U71" s="47" t="n">
        <f aca="false">N71*IF(N71&gt;=Assumptions!$B$16,Assumptions!$B$17,IF(N71&gt;=Assumptions!$B$14,Assumptions!$B$15,0))</f>
        <v>429000</v>
      </c>
      <c r="V71" s="48" t="n">
        <f aca="false">SUM(O71:U71)</f>
        <v>12350731.875</v>
      </c>
      <c r="W71" s="48" t="n">
        <f aca="false">N71-V71</f>
        <v>-1625731.875</v>
      </c>
      <c r="X71" s="49" t="n">
        <f aca="false">IF(V71=0,0,W71/V71)</f>
        <v>-0.131630407934833</v>
      </c>
      <c r="Y71" s="47" t="n">
        <f aca="false">MAX(0,(N71/(1+Assumptions!$B$23)-(J71*(Assumptions!$B$4+IF(H71="Yes",0,Assumptions!$B$5)))*(1+(Assumptions!$B$7*(Assumptions!$B$8*L71*Assumptions!$B$9+Assumptions!$B$10)))-N71*(Assumptions!$B$12+Assumptions!$B$13+IF(N71&gt;=Assumptions!$B$16,Assumptions!$B$17,IF(N71&gt;=Assumptions!$B$14,Assumptions!$B$15,0))))/((1+IF(H71="Yes",Assumptions!$B$6,0))*(1+(Assumptions!$B$7*(Assumptions!$B$8*L71*Assumptions!$B$9+Assumptions!$B$10)))+Assumptions!$B$11*L71))</f>
        <v>1779383.92761119</v>
      </c>
      <c r="Z71" s="50" t="n">
        <f aca="false">IF(Y71&lt;=0,"no price works",D71/Y71)</f>
        <v>2.52896518293341</v>
      </c>
      <c r="AA71" s="46" t="n">
        <f aca="false">INDEX(Assumptions!$B$32:$B$44,MATCH(AG71,Assumptions!$A$32:$A$44,0))*(1+Assumptions!$B$24)</f>
        <v>1300</v>
      </c>
      <c r="AB71" s="47" t="n">
        <f aca="false">(J71)*AA71-(((D71)+(J71)*Assumptions!$B$4+IF(H71="Yes",Assumptions!$B$6*(D71),(J71)*Assumptions!$B$5))*(1+Assumptions!$B$7*(Assumptions!$B$8*(L71)*Assumptions!$B$9+Assumptions!$B$10))+(D71)*Assumptions!$B$11*(L71)+(J71)*AA71*(Assumptions!$B$12+Assumptions!$B$13+IF((J71)*AA71&gt;=Assumptions!$B$16,Assumptions!$B$17,IF((J71)*AA71&gt;=Assumptions!$B$14,Assumptions!$B$15,0))))</f>
        <v>-2507521.875</v>
      </c>
      <c r="AC71" s="46" t="n">
        <f aca="false">INDEX(Assumptions!$B$32:$B$44,MATCH(AG71,Assumptions!$A$32:$A$44,0))*(1+Assumptions!$B$25)</f>
        <v>1430</v>
      </c>
      <c r="AD71" s="47" t="n">
        <f aca="false">(J71)*AC71-(((D71)+(J71)*Assumptions!$B$4+IF(H71="Yes",Assumptions!$B$6*(D71),(J71)*Assumptions!$B$5))*(1+Assumptions!$B$7*(Assumptions!$B$8*(L71)*Assumptions!$B$9+Assumptions!$B$10))+(D71)*Assumptions!$B$11*(L71)+(J71)*AC71*(Assumptions!$B$12+Assumptions!$B$13+IF((J71)*AC71&gt;=Assumptions!$B$16,Assumptions!$B$17,IF((J71)*AC71&gt;=Assumptions!$B$14,Assumptions!$B$15,0))))</f>
        <v>-1625731.875</v>
      </c>
      <c r="AE71" s="46" t="n">
        <f aca="false">INDEX(Assumptions!$B$32:$B$44,MATCH(AG71,Assumptions!$A$32:$A$44,0))*(1+Assumptions!$B$26)</f>
        <v>1560</v>
      </c>
      <c r="AF71" s="47" t="n">
        <f aca="false">(J71)*AE71-(((D71)+(J71)*Assumptions!$B$4+IF(H71="Yes",Assumptions!$B$6*(D71),(J71)*Assumptions!$B$5))*(1+Assumptions!$B$7*(Assumptions!$B$8*(L71)*Assumptions!$B$9+Assumptions!$B$10))+(D71)*Assumptions!$B$11*(L71)+(J71)*AE71*(Assumptions!$B$12+Assumptions!$B$13+IF((J71)*AE71&gt;=Assumptions!$B$16,Assumptions!$B$17,IF((J71)*AE71&gt;=Assumptions!$B$14,Assumptions!$B$15,0))))</f>
        <v>-919441.875</v>
      </c>
      <c r="AG71" s="40" t="s">
        <v>126</v>
      </c>
      <c r="AH71" s="45" t="n">
        <f aca="false">IF(G71&gt;0,G71,ROUND(F71*Assumptions!$B$18,0))</f>
        <v>7500</v>
      </c>
      <c r="AI71" s="45" t="n">
        <f aca="false">IF(H71="Yes",AH71,MAX(AH71,MIN(Assumptions!$B$20,ROUND(E71*Assumptions!$B$19,0))))</f>
        <v>7500</v>
      </c>
      <c r="AJ71" s="47" t="n">
        <f aca="false">(AH71)*AC71-(((D71)+(AH71)*Assumptions!$B$4+IF(H71="Yes",Assumptions!$B$6*(D71),(AH71)*Assumptions!$B$5))*(1+Assumptions!$B$7*(Assumptions!$B$8*(Assumptions!$B$21)*Assumptions!$B$9+Assumptions!$B$10))+(D71)*Assumptions!$B$11*(Assumptions!$B$21)+(AH71)*AC71*(Assumptions!$B$12+Assumptions!$B$13+IF((AH71)*AC71&gt;=Assumptions!$B$16,Assumptions!$B$17,IF((AH71)*AC71&gt;=Assumptions!$B$14,Assumptions!$B$15,0))))</f>
        <v>-1625731.875</v>
      </c>
      <c r="AK71" s="47" t="n">
        <f aca="false">(AI71)*AC71-(((D71)+(AI71)*Assumptions!$B$4+IF(H71="Yes",Assumptions!$B$6*(D71),(AI71)*Assumptions!$B$5))*(1+Assumptions!$B$7*(Assumptions!$B$8*(IF(AI71&gt;AH71,Assumptions!$B$22,Assumptions!$B$21))*Assumptions!$B$9+Assumptions!$B$10))+(D71)*Assumptions!$B$11*(IF(AI71&gt;AH71,Assumptions!$B$22,Assumptions!$B$21))+(AI71)*AC71*(Assumptions!$B$12+Assumptions!$B$13+IF((AI71)*AC71&gt;=Assumptions!$B$16,Assumptions!$B$17,IF((AI71)*AC71&gt;=Assumptions!$B$14,Assumptions!$B$15,0))))</f>
        <v>-1625731.875</v>
      </c>
      <c r="AL71" s="47" t="n">
        <f aca="false">Assumptions!$B$7*(O71+P71+Q71)</f>
        <v>6703125</v>
      </c>
    </row>
    <row r="72" customFormat="false" ht="15" hidden="false" customHeight="false" outlineLevel="0" collapsed="false">
      <c r="A72" s="40" t="n">
        <v>70</v>
      </c>
      <c r="B72" s="40" t="s">
        <v>193</v>
      </c>
      <c r="C72" s="40" t="s">
        <v>124</v>
      </c>
      <c r="D72" s="41" t="n">
        <v>2399000</v>
      </c>
      <c r="E72" s="42" t="n">
        <v>7251</v>
      </c>
      <c r="F72" s="42" t="n">
        <v>2986</v>
      </c>
      <c r="G72" s="42"/>
      <c r="H72" s="43" t="s">
        <v>67</v>
      </c>
      <c r="I72" s="44" t="s">
        <v>194</v>
      </c>
      <c r="J72" s="45" t="n">
        <f aca="false">IF(AK72&gt;AJ72,AI72,AH72)</f>
        <v>3285</v>
      </c>
      <c r="K72" s="40" t="str">
        <f aca="false">IF(AK72&gt;AJ72,"Zoning estimate",IF(H72="Yes","Approved plans",IF(G72&gt;0,"Listing claim","110% old house")))</f>
        <v>110% old house</v>
      </c>
      <c r="L72" s="45" t="n">
        <f aca="false">IF(AK72&gt;AJ72,IF(AI72&gt;AH72,Assumptions!$B$22,Assumptions!$B$21),Assumptions!$B$21)</f>
        <v>2</v>
      </c>
      <c r="M72" s="46" t="n">
        <f aca="false">INDEX(Assumptions!$B$32:$B$44,MATCH(AG72,Assumptions!$A$32:$A$44,0))*(1+IF(UPPER(Assumptions!$B$27)="WORST",Assumptions!$B$24,IF(UPPER(Assumptions!$B$27)="BEST",Assumptions!$B$26,Assumptions!$B$25)))</f>
        <v>1430</v>
      </c>
      <c r="N72" s="47" t="n">
        <f aca="false">J72*M72</f>
        <v>4697550</v>
      </c>
      <c r="O72" s="47" t="n">
        <f aca="false">D72</f>
        <v>2399000</v>
      </c>
      <c r="P72" s="47" t="n">
        <f aca="false">J72*Assumptions!$B$4</f>
        <v>2299500</v>
      </c>
      <c r="Q72" s="47" t="n">
        <f aca="false">IF(H72="Yes",Assumptions!$B$6*(D72),(J72)*Assumptions!$B$5)</f>
        <v>246375</v>
      </c>
      <c r="R72" s="47" t="n">
        <f aca="false">AL72*(Assumptions!$B$8*L72*Assumptions!$B$9+Assumptions!$B$10)</f>
        <v>433912.78125</v>
      </c>
      <c r="S72" s="47" t="n">
        <f aca="false">O72*Assumptions!$B$11*L72</f>
        <v>57576</v>
      </c>
      <c r="T72" s="47" t="n">
        <f aca="false">N72*(Assumptions!$B$12+Assumptions!$B$13)</f>
        <v>261183.78</v>
      </c>
      <c r="U72" s="47" t="n">
        <f aca="false">N72*IF(N72&gt;=Assumptions!$B$16,Assumptions!$B$17,IF(N72&gt;=Assumptions!$B$14,Assumptions!$B$15,0))</f>
        <v>0</v>
      </c>
      <c r="V72" s="48" t="n">
        <f aca="false">SUM(O72:U72)</f>
        <v>5697547.56125</v>
      </c>
      <c r="W72" s="48" t="n">
        <f aca="false">N72-V72</f>
        <v>-999997.561249999</v>
      </c>
      <c r="X72" s="49" t="n">
        <f aca="false">IF(V72=0,0,W72/V72)</f>
        <v>-0.175513683826205</v>
      </c>
      <c r="Y72" s="47" t="n">
        <f aca="false">MAX(0,(N72/(1+Assumptions!$B$23)-(J72*(Assumptions!$B$4+IF(H72="Yes",0,Assumptions!$B$5)))*(1+(Assumptions!$B$7*(Assumptions!$B$8*L72*Assumptions!$B$9+Assumptions!$B$10)))-N72*(Assumptions!$B$12+Assumptions!$B$13+IF(N72&gt;=Assumptions!$B$16,Assumptions!$B$17,IF(N72&gt;=Assumptions!$B$14,Assumptions!$B$15,0))))/((1+IF(H72="Yes",Assumptions!$B$6,0))*(1+(Assumptions!$B$7*(Assumptions!$B$8*L72*Assumptions!$B$9+Assumptions!$B$10)))+Assumptions!$B$11*L72))</f>
        <v>948384.776889159</v>
      </c>
      <c r="Z72" s="50" t="n">
        <f aca="false">IF(Y72&lt;=0,"no price works",D72/Y72)</f>
        <v>2.52956401079008</v>
      </c>
      <c r="AA72" s="46" t="n">
        <f aca="false">INDEX(Assumptions!$B$32:$B$44,MATCH(AG72,Assumptions!$A$32:$A$44,0))*(1+Assumptions!$B$24)</f>
        <v>1300</v>
      </c>
      <c r="AB72" s="47" t="n">
        <f aca="false">(J72)*AA72-(((D72)+(J72)*Assumptions!$B$4+IF(H72="Yes",Assumptions!$B$6*(D72),(J72)*Assumptions!$B$5))*(1+Assumptions!$B$7*(Assumptions!$B$8*(L72)*Assumptions!$B$9+Assumptions!$B$10))+(D72)*Assumptions!$B$11*(L72)+(J72)*AA72*(Assumptions!$B$12+Assumptions!$B$13+IF((J72)*AA72&gt;=Assumptions!$B$16,Assumptions!$B$17,IF((J72)*AA72&gt;=Assumptions!$B$14,Assumptions!$B$15,0))))</f>
        <v>-1403303.58125</v>
      </c>
      <c r="AC72" s="46" t="n">
        <f aca="false">INDEX(Assumptions!$B$32:$B$44,MATCH(AG72,Assumptions!$A$32:$A$44,0))*(1+Assumptions!$B$25)</f>
        <v>1430</v>
      </c>
      <c r="AD72" s="47" t="n">
        <f aca="false">(J72)*AC72-(((D72)+(J72)*Assumptions!$B$4+IF(H72="Yes",Assumptions!$B$6*(D72),(J72)*Assumptions!$B$5))*(1+Assumptions!$B$7*(Assumptions!$B$8*(L72)*Assumptions!$B$9+Assumptions!$B$10))+(D72)*Assumptions!$B$11*(L72)+(J72)*AC72*(Assumptions!$B$12+Assumptions!$B$13+IF((J72)*AC72&gt;=Assumptions!$B$16,Assumptions!$B$17,IF((J72)*AC72&gt;=Assumptions!$B$14,Assumptions!$B$15,0))))</f>
        <v>-999997.561249999</v>
      </c>
      <c r="AE72" s="46" t="n">
        <f aca="false">INDEX(Assumptions!$B$32:$B$44,MATCH(AG72,Assumptions!$A$32:$A$44,0))*(1+Assumptions!$B$26)</f>
        <v>1560</v>
      </c>
      <c r="AF72" s="47" t="n">
        <f aca="false">(J72)*AE72-(((D72)+(J72)*Assumptions!$B$4+IF(H72="Yes",Assumptions!$B$6*(D72),(J72)*Assumptions!$B$5))*(1+Assumptions!$B$7*(Assumptions!$B$8*(L72)*Assumptions!$B$9+Assumptions!$B$10))+(D72)*Assumptions!$B$11*(L72)+(J72)*AE72*(Assumptions!$B$12+Assumptions!$B$13+IF((J72)*AE72&gt;=Assumptions!$B$16,Assumptions!$B$17,IF((J72)*AE72&gt;=Assumptions!$B$14,Assumptions!$B$15,0))))</f>
        <v>-596691.54125</v>
      </c>
      <c r="AG72" s="40" t="s">
        <v>126</v>
      </c>
      <c r="AH72" s="45" t="n">
        <f aca="false">IF(G72&gt;0,G72,ROUND(F72*Assumptions!$B$18,0))</f>
        <v>3285</v>
      </c>
      <c r="AI72" s="45" t="n">
        <f aca="false">IF(H72="Yes",AH72,MAX(AH72,MIN(Assumptions!$B$20,ROUND(E72*Assumptions!$B$19,0))))</f>
        <v>3285</v>
      </c>
      <c r="AJ72" s="47" t="n">
        <f aca="false">(AH72)*AC72-(((D72)+(AH72)*Assumptions!$B$4+IF(H72="Yes",Assumptions!$B$6*(D72),(AH72)*Assumptions!$B$5))*(1+Assumptions!$B$7*(Assumptions!$B$8*(Assumptions!$B$21)*Assumptions!$B$9+Assumptions!$B$10))+(D72)*Assumptions!$B$11*(Assumptions!$B$21)+(AH72)*AC72*(Assumptions!$B$12+Assumptions!$B$13+IF((AH72)*AC72&gt;=Assumptions!$B$16,Assumptions!$B$17,IF((AH72)*AC72&gt;=Assumptions!$B$14,Assumptions!$B$15,0))))</f>
        <v>-999997.561249999</v>
      </c>
      <c r="AK72" s="47" t="n">
        <f aca="false">(AI72)*AC72-(((D72)+(AI72)*Assumptions!$B$4+IF(H72="Yes",Assumptions!$B$6*(D72),(AI72)*Assumptions!$B$5))*(1+Assumptions!$B$7*(Assumptions!$B$8*(IF(AI72&gt;AH72,Assumptions!$B$22,Assumptions!$B$21))*Assumptions!$B$9+Assumptions!$B$10))+(D72)*Assumptions!$B$11*(IF(AI72&gt;AH72,Assumptions!$B$22,Assumptions!$B$21))+(AI72)*AC72*(Assumptions!$B$12+Assumptions!$B$13+IF((AI72)*AC72&gt;=Assumptions!$B$16,Assumptions!$B$17,IF((AI72)*AC72&gt;=Assumptions!$B$14,Assumptions!$B$15,0))))</f>
        <v>-999997.561249999</v>
      </c>
      <c r="AL72" s="47" t="n">
        <f aca="false">Assumptions!$B$7*(O72+P72+Q72)</f>
        <v>3214168.75</v>
      </c>
    </row>
    <row r="73" customFormat="false" ht="15" hidden="false" customHeight="false" outlineLevel="0" collapsed="false">
      <c r="A73" s="40" t="n">
        <v>71</v>
      </c>
      <c r="B73" s="40" t="s">
        <v>195</v>
      </c>
      <c r="C73" s="40" t="s">
        <v>71</v>
      </c>
      <c r="D73" s="41" t="n">
        <v>1650000</v>
      </c>
      <c r="E73" s="42" t="n">
        <v>4944</v>
      </c>
      <c r="F73" s="42" t="n">
        <v>1262</v>
      </c>
      <c r="G73" s="42"/>
      <c r="H73" s="43" t="s">
        <v>67</v>
      </c>
      <c r="I73" s="44"/>
      <c r="J73" s="45" t="n">
        <f aca="false">IF(AK73&gt;AJ73,AI73,AH73)</f>
        <v>1978</v>
      </c>
      <c r="K73" s="40" t="str">
        <f aca="false">IF(AK73&gt;AJ73,"Zoning estimate",IF(H73="Yes","Approved plans",IF(G73&gt;0,"Listing claim","110% old house")))</f>
        <v>Zoning estimate</v>
      </c>
      <c r="L73" s="45" t="n">
        <f aca="false">IF(AK73&gt;AJ73,IF(AI73&gt;AH73,Assumptions!$B$22,Assumptions!$B$21),Assumptions!$B$21)</f>
        <v>3</v>
      </c>
      <c r="M73" s="46" t="n">
        <f aca="false">INDEX(Assumptions!$B$32:$B$44,MATCH(AG73,Assumptions!$A$32:$A$44,0))*(1+IF(UPPER(Assumptions!$B$27)="WORST",Assumptions!$B$24,IF(UPPER(Assumptions!$B$27)="BEST",Assumptions!$B$26,Assumptions!$B$25)))</f>
        <v>1540</v>
      </c>
      <c r="N73" s="47" t="n">
        <f aca="false">J73*M73</f>
        <v>3046120</v>
      </c>
      <c r="O73" s="47" t="n">
        <f aca="false">D73</f>
        <v>1650000</v>
      </c>
      <c r="P73" s="47" t="n">
        <f aca="false">J73*Assumptions!$B$4</f>
        <v>1384600</v>
      </c>
      <c r="Q73" s="47" t="n">
        <f aca="false">IF(H73="Yes",Assumptions!$B$6*(D73),(J73)*Assumptions!$B$5)</f>
        <v>148350</v>
      </c>
      <c r="R73" s="47" t="n">
        <f aca="false">AL73*(Assumptions!$B$8*L73*Assumptions!$B$9+Assumptions!$B$10)</f>
        <v>403438.9125</v>
      </c>
      <c r="S73" s="47" t="n">
        <f aca="false">O73*Assumptions!$B$11*L73</f>
        <v>59400</v>
      </c>
      <c r="T73" s="47" t="n">
        <f aca="false">N73*(Assumptions!$B$12+Assumptions!$B$13)</f>
        <v>169364.272</v>
      </c>
      <c r="U73" s="47" t="n">
        <f aca="false">N73*IF(N73&gt;=Assumptions!$B$16,Assumptions!$B$17,IF(N73&gt;=Assumptions!$B$14,Assumptions!$B$15,0))</f>
        <v>0</v>
      </c>
      <c r="V73" s="48" t="n">
        <f aca="false">SUM(O73:U73)</f>
        <v>3815153.1845</v>
      </c>
      <c r="W73" s="48" t="n">
        <f aca="false">N73-V73</f>
        <v>-769033.1845</v>
      </c>
      <c r="X73" s="49" t="n">
        <f aca="false">IF(V73=0,0,W73/V73)</f>
        <v>-0.201573343797671</v>
      </c>
      <c r="Y73" s="47" t="n">
        <f aca="false">MAX(0,(N73/(1+Assumptions!$B$23)-(J73*(Assumptions!$B$4+IF(H73="Yes",0,Assumptions!$B$5)))*(1+(Assumptions!$B$7*(Assumptions!$B$8*L73*Assumptions!$B$9+Assumptions!$B$10)))-N73*(Assumptions!$B$12+Assumptions!$B$13+IF(N73&gt;=Assumptions!$B$16,Assumptions!$B$17,IF(N73&gt;=Assumptions!$B$14,Assumptions!$B$15,0))))/((1+IF(H73="Yes",Assumptions!$B$6,0))*(1+(Assumptions!$B$7*(Assumptions!$B$8*L73*Assumptions!$B$9+Assumptions!$B$10)))+Assumptions!$B$11*L73))</f>
        <v>646901.152870351</v>
      </c>
      <c r="Z73" s="50" t="n">
        <f aca="false">IF(Y73&lt;=0,"no price works",D73/Y73)</f>
        <v>2.55062151718052</v>
      </c>
      <c r="AA73" s="46" t="n">
        <f aca="false">INDEX(Assumptions!$B$32:$B$44,MATCH(AG73,Assumptions!$A$32:$A$44,0))*(1+Assumptions!$B$24)</f>
        <v>1400</v>
      </c>
      <c r="AB73" s="47" t="n">
        <f aca="false">(J73)*AA73-(((D73)+(J73)*Assumptions!$B$4+IF(H73="Yes",Assumptions!$B$6*(D73),(J73)*Assumptions!$B$5))*(1+Assumptions!$B$7*(Assumptions!$B$8*(L73)*Assumptions!$B$9+Assumptions!$B$10))+(D73)*Assumptions!$B$11*(L73)+(J73)*AA73*(Assumptions!$B$12+Assumptions!$B$13+IF((J73)*AA73&gt;=Assumptions!$B$16,Assumptions!$B$17,IF((J73)*AA73&gt;=Assumptions!$B$14,Assumptions!$B$15,0))))</f>
        <v>-1030556.4325</v>
      </c>
      <c r="AC73" s="46" t="n">
        <f aca="false">INDEX(Assumptions!$B$32:$B$44,MATCH(AG73,Assumptions!$A$32:$A$44,0))*(1+Assumptions!$B$25)</f>
        <v>1540</v>
      </c>
      <c r="AD73" s="47" t="n">
        <f aca="false">(J73)*AC73-(((D73)+(J73)*Assumptions!$B$4+IF(H73="Yes",Assumptions!$B$6*(D73),(J73)*Assumptions!$B$5))*(1+Assumptions!$B$7*(Assumptions!$B$8*(L73)*Assumptions!$B$9+Assumptions!$B$10))+(D73)*Assumptions!$B$11*(L73)+(J73)*AC73*(Assumptions!$B$12+Assumptions!$B$13+IF((J73)*AC73&gt;=Assumptions!$B$16,Assumptions!$B$17,IF((J73)*AC73&gt;=Assumptions!$B$14,Assumptions!$B$15,0))))</f>
        <v>-769033.184499999</v>
      </c>
      <c r="AE73" s="46" t="n">
        <f aca="false">INDEX(Assumptions!$B$32:$B$44,MATCH(AG73,Assumptions!$A$32:$A$44,0))*(1+Assumptions!$B$26)</f>
        <v>1680</v>
      </c>
      <c r="AF73" s="47" t="n">
        <f aca="false">(J73)*AE73-(((D73)+(J73)*Assumptions!$B$4+IF(H73="Yes",Assumptions!$B$6*(D73),(J73)*Assumptions!$B$5))*(1+Assumptions!$B$7*(Assumptions!$B$8*(L73)*Assumptions!$B$9+Assumptions!$B$10))+(D73)*Assumptions!$B$11*(L73)+(J73)*AE73*(Assumptions!$B$12+Assumptions!$B$13+IF((J73)*AE73&gt;=Assumptions!$B$16,Assumptions!$B$17,IF((J73)*AE73&gt;=Assumptions!$B$14,Assumptions!$B$15,0))))</f>
        <v>-507509.9365</v>
      </c>
      <c r="AG73" s="40" t="s">
        <v>73</v>
      </c>
      <c r="AH73" s="45" t="n">
        <f aca="false">IF(G73&gt;0,G73,ROUND(F73*Assumptions!$B$18,0))</f>
        <v>1388</v>
      </c>
      <c r="AI73" s="45" t="n">
        <f aca="false">IF(H73="Yes",AH73,MAX(AH73,MIN(Assumptions!$B$20,ROUND(E73*Assumptions!$B$19,0))))</f>
        <v>1978</v>
      </c>
      <c r="AJ73" s="47" t="n">
        <f aca="false">(AH73)*AC73-(((D73)+(AH73)*Assumptions!$B$4+IF(H73="Yes",Assumptions!$B$6*(D73),(AH73)*Assumptions!$B$5))*(1+Assumptions!$B$7*(Assumptions!$B$8*(Assumptions!$B$21)*Assumptions!$B$9+Assumptions!$B$10))+(D73)*Assumptions!$B$11*(Assumptions!$B$21)+(AH73)*AC73*(Assumptions!$B$12+Assumptions!$B$13+IF((AH73)*AC73&gt;=Assumptions!$B$16,Assumptions!$B$17,IF((AH73)*AC73&gt;=Assumptions!$B$14,Assumptions!$B$15,0))))</f>
        <v>-985806.287</v>
      </c>
      <c r="AK73" s="47" t="n">
        <f aca="false">(AI73)*AC73-(((D73)+(AI73)*Assumptions!$B$4+IF(H73="Yes",Assumptions!$B$6*(D73),(AI73)*Assumptions!$B$5))*(1+Assumptions!$B$7*(Assumptions!$B$8*(IF(AI73&gt;AH73,Assumptions!$B$22,Assumptions!$B$21))*Assumptions!$B$9+Assumptions!$B$10))+(D73)*Assumptions!$B$11*(IF(AI73&gt;AH73,Assumptions!$B$22,Assumptions!$B$21))+(AI73)*AC73*(Assumptions!$B$12+Assumptions!$B$13+IF((AI73)*AC73&gt;=Assumptions!$B$16,Assumptions!$B$17,IF((AI73)*AC73&gt;=Assumptions!$B$14,Assumptions!$B$15,0))))</f>
        <v>-769033.184499999</v>
      </c>
      <c r="AL73" s="47" t="n">
        <f aca="false">Assumptions!$B$7*(O73+P73+Q73)</f>
        <v>2068917.5</v>
      </c>
    </row>
    <row r="74" customFormat="false" ht="15" hidden="false" customHeight="false" outlineLevel="0" collapsed="false">
      <c r="A74" s="40" t="n">
        <v>72</v>
      </c>
      <c r="B74" s="40" t="s">
        <v>196</v>
      </c>
      <c r="C74" s="40" t="s">
        <v>98</v>
      </c>
      <c r="D74" s="41" t="n">
        <v>2000000</v>
      </c>
      <c r="E74" s="42" t="n">
        <v>9239</v>
      </c>
      <c r="F74" s="42" t="n">
        <v>1873</v>
      </c>
      <c r="G74" s="42"/>
      <c r="H74" s="43" t="s">
        <v>67</v>
      </c>
      <c r="I74" s="44" t="s">
        <v>197</v>
      </c>
      <c r="J74" s="45" t="n">
        <f aca="false">IF(AK74&gt;AJ74,AI74,AH74)</f>
        <v>3696</v>
      </c>
      <c r="K74" s="40" t="str">
        <f aca="false">IF(AK74&gt;AJ74,"Zoning estimate",IF(H74="Yes","Approved plans",IF(G74&gt;0,"Listing claim","110% old house")))</f>
        <v>Zoning estimate</v>
      </c>
      <c r="L74" s="45" t="n">
        <f aca="false">IF(AK74&gt;AJ74,IF(AI74&gt;AH74,Assumptions!$B$22,Assumptions!$B$21),Assumptions!$B$21)</f>
        <v>3</v>
      </c>
      <c r="M74" s="46" t="n">
        <f aca="false">INDEX(Assumptions!$B$32:$B$44,MATCH(AG74,Assumptions!$A$32:$A$44,0))*(1+IF(UPPER(Assumptions!$B$27)="WORST",Assumptions!$B$24,IF(UPPER(Assumptions!$B$27)="BEST",Assumptions!$B$26,Assumptions!$B$25)))</f>
        <v>1375</v>
      </c>
      <c r="N74" s="47" t="n">
        <f aca="false">J74*M74</f>
        <v>5082000</v>
      </c>
      <c r="O74" s="47" t="n">
        <f aca="false">D74</f>
        <v>2000000</v>
      </c>
      <c r="P74" s="47" t="n">
        <f aca="false">J74*Assumptions!$B$4</f>
        <v>2587200</v>
      </c>
      <c r="Q74" s="47" t="n">
        <f aca="false">IF(H74="Yes",Assumptions!$B$6*(D74),(J74)*Assumptions!$B$5)</f>
        <v>277200</v>
      </c>
      <c r="R74" s="47" t="n">
        <f aca="false">AL74*(Assumptions!$B$8*L74*Assumptions!$B$9+Assumptions!$B$10)</f>
        <v>616562.7</v>
      </c>
      <c r="S74" s="47" t="n">
        <f aca="false">O74*Assumptions!$B$11*L74</f>
        <v>72000</v>
      </c>
      <c r="T74" s="47" t="n">
        <f aca="false">N74*(Assumptions!$B$12+Assumptions!$B$13)</f>
        <v>282559.2</v>
      </c>
      <c r="U74" s="47" t="n">
        <f aca="false">N74*IF(N74&gt;=Assumptions!$B$16,Assumptions!$B$17,IF(N74&gt;=Assumptions!$B$14,Assumptions!$B$15,0))</f>
        <v>0</v>
      </c>
      <c r="V74" s="48" t="n">
        <f aca="false">SUM(O74:U74)</f>
        <v>5835521.9</v>
      </c>
      <c r="W74" s="48" t="n">
        <f aca="false">N74-V74</f>
        <v>-753521.9</v>
      </c>
      <c r="X74" s="49" t="n">
        <f aca="false">IF(V74=0,0,W74/V74)</f>
        <v>-0.129126736719127</v>
      </c>
      <c r="Y74" s="47" t="n">
        <f aca="false">MAX(0,(N74/(1+Assumptions!$B$23)-(J74*(Assumptions!$B$4+IF(H74="Yes",0,Assumptions!$B$5)))*(1+(Assumptions!$B$7*(Assumptions!$B$8*L74*Assumptions!$B$9+Assumptions!$B$10)))-N74*(Assumptions!$B$12+Assumptions!$B$13+IF(N74&gt;=Assumptions!$B$16,Assumptions!$B$17,IF(N74&gt;=Assumptions!$B$14,Assumptions!$B$15,0))))/((1+IF(H74="Yes",Assumptions!$B$6,0))*(1+(Assumptions!$B$7*(Assumptions!$B$8*L74*Assumptions!$B$9+Assumptions!$B$10)))+Assumptions!$B$11*L74))</f>
        <v>781860.705037721</v>
      </c>
      <c r="Z74" s="50" t="n">
        <f aca="false">IF(Y74&lt;=0,"no price works",D74/Y74)</f>
        <v>2.55800040482084</v>
      </c>
      <c r="AA74" s="46" t="n">
        <f aca="false">INDEX(Assumptions!$B$32:$B$44,MATCH(AG74,Assumptions!$A$32:$A$44,0))*(1+Assumptions!$B$24)</f>
        <v>1250</v>
      </c>
      <c r="AB74" s="47" t="n">
        <f aca="false">(J74)*AA74-(((D74)+(J74)*Assumptions!$B$4+IF(H74="Yes",Assumptions!$B$6*(D74),(J74)*Assumptions!$B$5))*(1+Assumptions!$B$7*(Assumptions!$B$8*(L74)*Assumptions!$B$9+Assumptions!$B$10))+(D74)*Assumptions!$B$11*(L74)+(J74)*AA74*(Assumptions!$B$12+Assumptions!$B$13+IF((J74)*AA74&gt;=Assumptions!$B$16,Assumptions!$B$17,IF((J74)*AA74&gt;=Assumptions!$B$14,Assumptions!$B$15,0))))</f>
        <v>-1189834.7</v>
      </c>
      <c r="AC74" s="46" t="n">
        <f aca="false">INDEX(Assumptions!$B$32:$B$44,MATCH(AG74,Assumptions!$A$32:$A$44,0))*(1+Assumptions!$B$25)</f>
        <v>1375</v>
      </c>
      <c r="AD74" s="47" t="n">
        <f aca="false">(J74)*AC74-(((D74)+(J74)*Assumptions!$B$4+IF(H74="Yes",Assumptions!$B$6*(D74),(J74)*Assumptions!$B$5))*(1+Assumptions!$B$7*(Assumptions!$B$8*(L74)*Assumptions!$B$9+Assumptions!$B$10))+(D74)*Assumptions!$B$11*(L74)+(J74)*AC74*(Assumptions!$B$12+Assumptions!$B$13+IF((J74)*AC74&gt;=Assumptions!$B$16,Assumptions!$B$17,IF((J74)*AC74&gt;=Assumptions!$B$14,Assumptions!$B$15,0))))</f>
        <v>-753521.899999999</v>
      </c>
      <c r="AE74" s="46" t="n">
        <f aca="false">INDEX(Assumptions!$B$32:$B$44,MATCH(AG74,Assumptions!$A$32:$A$44,0))*(1+Assumptions!$B$26)</f>
        <v>1500</v>
      </c>
      <c r="AF74" s="47" t="n">
        <f aca="false">(J74)*AE74-(((D74)+(J74)*Assumptions!$B$4+IF(H74="Yes",Assumptions!$B$6*(D74),(J74)*Assumptions!$B$5))*(1+Assumptions!$B$7*(Assumptions!$B$8*(L74)*Assumptions!$B$9+Assumptions!$B$10))+(D74)*Assumptions!$B$11*(L74)+(J74)*AE74*(Assumptions!$B$12+Assumptions!$B$13+IF((J74)*AE74&gt;=Assumptions!$B$16,Assumptions!$B$17,IF((J74)*AE74&gt;=Assumptions!$B$14,Assumptions!$B$15,0))))</f>
        <v>-538969.1</v>
      </c>
      <c r="AG74" s="40" t="s">
        <v>100</v>
      </c>
      <c r="AH74" s="45" t="n">
        <f aca="false">IF(G74&gt;0,G74,ROUND(F74*Assumptions!$B$18,0))</f>
        <v>2060</v>
      </c>
      <c r="AI74" s="45" t="n">
        <f aca="false">IF(H74="Yes",AH74,MAX(AH74,MIN(Assumptions!$B$20,ROUND(E74*Assumptions!$B$19,0))))</f>
        <v>3696</v>
      </c>
      <c r="AJ74" s="47" t="n">
        <f aca="false">(AH74)*AC74-(((D74)+(AH74)*Assumptions!$B$4+IF(H74="Yes",Assumptions!$B$6*(D74),(AH74)*Assumptions!$B$5))*(1+Assumptions!$B$7*(Assumptions!$B$8*(Assumptions!$B$21)*Assumptions!$B$9+Assumptions!$B$10))+(D74)*Assumptions!$B$11*(Assumptions!$B$21)+(AH74)*AC74*(Assumptions!$B$12+Assumptions!$B$13+IF((AH74)*AC74&gt;=Assumptions!$B$16,Assumptions!$B$17,IF((AH74)*AC74&gt;=Assumptions!$B$14,Assumptions!$B$15,0))))</f>
        <v>-1285079.875</v>
      </c>
      <c r="AK74" s="47" t="n">
        <f aca="false">(AI74)*AC74-(((D74)+(AI74)*Assumptions!$B$4+IF(H74="Yes",Assumptions!$B$6*(D74),(AI74)*Assumptions!$B$5))*(1+Assumptions!$B$7*(Assumptions!$B$8*(IF(AI74&gt;AH74,Assumptions!$B$22,Assumptions!$B$21))*Assumptions!$B$9+Assumptions!$B$10))+(D74)*Assumptions!$B$11*(IF(AI74&gt;AH74,Assumptions!$B$22,Assumptions!$B$21))+(AI74)*AC74*(Assumptions!$B$12+Assumptions!$B$13+IF((AI74)*AC74&gt;=Assumptions!$B$16,Assumptions!$B$17,IF((AI74)*AC74&gt;=Assumptions!$B$14,Assumptions!$B$15,0))))</f>
        <v>-753521.899999999</v>
      </c>
      <c r="AL74" s="47" t="n">
        <f aca="false">Assumptions!$B$7*(O74+P74+Q74)</f>
        <v>3161860</v>
      </c>
    </row>
    <row r="75" customFormat="false" ht="15" hidden="false" customHeight="false" outlineLevel="0" collapsed="false">
      <c r="A75" s="40" t="n">
        <v>73</v>
      </c>
      <c r="B75" s="40" t="s">
        <v>198</v>
      </c>
      <c r="C75" s="40" t="s">
        <v>107</v>
      </c>
      <c r="D75" s="41" t="n">
        <v>2050000</v>
      </c>
      <c r="E75" s="42" t="n">
        <v>12083</v>
      </c>
      <c r="F75" s="42" t="n">
        <v>2647</v>
      </c>
      <c r="G75" s="42"/>
      <c r="H75" s="43" t="s">
        <v>67</v>
      </c>
      <c r="I75" s="44"/>
      <c r="J75" s="45" t="n">
        <f aca="false">IF(AK75&gt;AJ75,AI75,AH75)</f>
        <v>4833</v>
      </c>
      <c r="K75" s="40" t="str">
        <f aca="false">IF(AK75&gt;AJ75,"Zoning estimate",IF(H75="Yes","Approved plans",IF(G75&gt;0,"Listing claim","110% old house")))</f>
        <v>Zoning estimate</v>
      </c>
      <c r="L75" s="45" t="n">
        <f aca="false">IF(AK75&gt;AJ75,IF(AI75&gt;AH75,Assumptions!$B$22,Assumptions!$B$21),Assumptions!$B$21)</f>
        <v>3</v>
      </c>
      <c r="M75" s="46" t="n">
        <f aca="false">INDEX(Assumptions!$B$32:$B$44,MATCH(AG75,Assumptions!$A$32:$A$44,0))*(1+IF(UPPER(Assumptions!$B$27)="WORST",Assumptions!$B$24,IF(UPPER(Assumptions!$B$27)="BEST",Assumptions!$B$26,Assumptions!$B$25)))</f>
        <v>1375</v>
      </c>
      <c r="N75" s="47" t="n">
        <f aca="false">J75*M75</f>
        <v>6645375</v>
      </c>
      <c r="O75" s="47" t="n">
        <f aca="false">D75</f>
        <v>2050000</v>
      </c>
      <c r="P75" s="47" t="n">
        <f aca="false">J75*Assumptions!$B$4</f>
        <v>3383100</v>
      </c>
      <c r="Q75" s="47" t="n">
        <f aca="false">IF(H75="Yes",Assumptions!$B$6*(D75),(J75)*Assumptions!$B$5)</f>
        <v>362475</v>
      </c>
      <c r="R75" s="47" t="n">
        <f aca="false">AL75*(Assumptions!$B$8*L75*Assumptions!$B$9+Assumptions!$B$10)</f>
        <v>734589.13125</v>
      </c>
      <c r="S75" s="47" t="n">
        <f aca="false">O75*Assumptions!$B$11*L75</f>
        <v>73800</v>
      </c>
      <c r="T75" s="47" t="n">
        <f aca="false">N75*(Assumptions!$B$12+Assumptions!$B$13)</f>
        <v>369482.85</v>
      </c>
      <c r="U75" s="47" t="n">
        <f aca="false">N75*IF(N75&gt;=Assumptions!$B$16,Assumptions!$B$17,IF(N75&gt;=Assumptions!$B$14,Assumptions!$B$15,0))</f>
        <v>265815</v>
      </c>
      <c r="V75" s="48" t="n">
        <f aca="false">SUM(O75:U75)</f>
        <v>7239261.98125</v>
      </c>
      <c r="W75" s="48" t="n">
        <f aca="false">N75-V75</f>
        <v>-593886.98125</v>
      </c>
      <c r="X75" s="49" t="n">
        <f aca="false">IF(V75=0,0,W75/V75)</f>
        <v>-0.0820369511129992</v>
      </c>
      <c r="Y75" s="47" t="n">
        <f aca="false">MAX(0,(N75/(1+Assumptions!$B$23)-(J75*(Assumptions!$B$4+IF(H75="Yes",0,Assumptions!$B$5)))*(1+(Assumptions!$B$7*(Assumptions!$B$8*L75*Assumptions!$B$9+Assumptions!$B$10)))-N75*(Assumptions!$B$12+Assumptions!$B$13+IF(N75&gt;=Assumptions!$B$16,Assumptions!$B$17,IF(N75&gt;=Assumptions!$B$14,Assumptions!$B$15,0))))/((1+IF(H75="Yes",Assumptions!$B$6,0))*(1+(Assumptions!$B$7*(Assumptions!$B$8*L75*Assumptions!$B$9+Assumptions!$B$10)))+Assumptions!$B$11*L75))</f>
        <v>793775.510876577</v>
      </c>
      <c r="Z75" s="50" t="n">
        <f aca="false">IF(Y75&lt;=0,"no price works",D75/Y75)</f>
        <v>2.58259416158626</v>
      </c>
      <c r="AA75" s="46" t="n">
        <f aca="false">INDEX(Assumptions!$B$32:$B$44,MATCH(AG75,Assumptions!$A$32:$A$44,0))*(1+Assumptions!$B$24)</f>
        <v>1250</v>
      </c>
      <c r="AB75" s="47" t="n">
        <f aca="false">(J75)*AA75-(((D75)+(J75)*Assumptions!$B$4+IF(H75="Yes",Assumptions!$B$6*(D75),(J75)*Assumptions!$B$5))*(1+Assumptions!$B$7*(Assumptions!$B$8*(L75)*Assumptions!$B$9+Assumptions!$B$10))+(D75)*Assumptions!$B$11*(L75)+(J75)*AA75*(Assumptions!$B$12+Assumptions!$B$13+IF((J75)*AA75&gt;=Assumptions!$B$16,Assumptions!$B$17,IF((J75)*AA75&gt;=Assumptions!$B$14,Assumptions!$B$15,0))))</f>
        <v>-1140257.63125</v>
      </c>
      <c r="AC75" s="46" t="n">
        <f aca="false">INDEX(Assumptions!$B$32:$B$44,MATCH(AG75,Assumptions!$A$32:$A$44,0))*(1+Assumptions!$B$25)</f>
        <v>1375</v>
      </c>
      <c r="AD75" s="47" t="n">
        <f aca="false">(J75)*AC75-(((D75)+(J75)*Assumptions!$B$4+IF(H75="Yes",Assumptions!$B$6*(D75),(J75)*Assumptions!$B$5))*(1+Assumptions!$B$7*(Assumptions!$B$8*(L75)*Assumptions!$B$9+Assumptions!$B$10))+(D75)*Assumptions!$B$11*(L75)+(J75)*AC75*(Assumptions!$B$12+Assumptions!$B$13+IF((J75)*AC75&gt;=Assumptions!$B$16,Assumptions!$B$17,IF((J75)*AC75&gt;=Assumptions!$B$14,Assumptions!$B$15,0))))</f>
        <v>-593886.981249999</v>
      </c>
      <c r="AE75" s="46" t="n">
        <f aca="false">INDEX(Assumptions!$B$32:$B$44,MATCH(AG75,Assumptions!$A$32:$A$44,0))*(1+Assumptions!$B$26)</f>
        <v>1500</v>
      </c>
      <c r="AF75" s="47" t="n">
        <f aca="false">(J75)*AE75-(((D75)+(J75)*Assumptions!$B$4+IF(H75="Yes",Assumptions!$B$6*(D75),(J75)*Assumptions!$B$5))*(1+Assumptions!$B$7*(Assumptions!$B$8*(L75)*Assumptions!$B$9+Assumptions!$B$10))+(D75)*Assumptions!$B$11*(L75)+(J75)*AE75*(Assumptions!$B$12+Assumptions!$B$13+IF((J75)*AE75&gt;=Assumptions!$B$16,Assumptions!$B$17,IF((J75)*AE75&gt;=Assumptions!$B$14,Assumptions!$B$15,0))))</f>
        <v>-47516.3312499998</v>
      </c>
      <c r="AG75" s="40" t="s">
        <v>109</v>
      </c>
      <c r="AH75" s="45" t="n">
        <f aca="false">IF(G75&gt;0,G75,ROUND(F75*Assumptions!$B$18,0))</f>
        <v>2912</v>
      </c>
      <c r="AI75" s="45" t="n">
        <f aca="false">IF(H75="Yes",AH75,MAX(AH75,MIN(Assumptions!$B$20,ROUND(E75*Assumptions!$B$19,0))))</f>
        <v>4833</v>
      </c>
      <c r="AJ75" s="47" t="n">
        <f aca="false">(AH75)*AC75-(((D75)+(AH75)*Assumptions!$B$4+IF(H75="Yes",Assumptions!$B$6*(D75),(AH75)*Assumptions!$B$5))*(1+Assumptions!$B$7*(Assumptions!$B$8*(Assumptions!$B$21)*Assumptions!$B$9+Assumptions!$B$10))+(D75)*Assumptions!$B$11*(Assumptions!$B$21)+(AH75)*AC75*(Assumptions!$B$12+Assumptions!$B$13+IF((AH75)*AC75&gt;=Assumptions!$B$16,Assumptions!$B$17,IF((AH75)*AC75&gt;=Assumptions!$B$14,Assumptions!$B$15,0))))</f>
        <v>-952544.100000001</v>
      </c>
      <c r="AK75" s="47" t="n">
        <f aca="false">(AI75)*AC75-(((D75)+(AI75)*Assumptions!$B$4+IF(H75="Yes",Assumptions!$B$6*(D75),(AI75)*Assumptions!$B$5))*(1+Assumptions!$B$7*(Assumptions!$B$8*(IF(AI75&gt;AH75,Assumptions!$B$22,Assumptions!$B$21))*Assumptions!$B$9+Assumptions!$B$10))+(D75)*Assumptions!$B$11*(IF(AI75&gt;AH75,Assumptions!$B$22,Assumptions!$B$21))+(AI75)*AC75*(Assumptions!$B$12+Assumptions!$B$13+IF((AI75)*AC75&gt;=Assumptions!$B$16,Assumptions!$B$17,IF((AI75)*AC75&gt;=Assumptions!$B$14,Assumptions!$B$15,0))))</f>
        <v>-593886.981249999</v>
      </c>
      <c r="AL75" s="47" t="n">
        <f aca="false">Assumptions!$B$7*(O75+P75+Q75)</f>
        <v>3767123.75</v>
      </c>
    </row>
    <row r="76" customFormat="false" ht="15" hidden="false" customHeight="false" outlineLevel="0" collapsed="false">
      <c r="A76" s="40" t="n">
        <v>74</v>
      </c>
      <c r="B76" s="40" t="s">
        <v>199</v>
      </c>
      <c r="C76" s="40" t="s">
        <v>115</v>
      </c>
      <c r="D76" s="41" t="n">
        <v>2395000</v>
      </c>
      <c r="E76" s="42" t="n">
        <v>7042</v>
      </c>
      <c r="F76" s="42" t="n">
        <v>1713</v>
      </c>
      <c r="G76" s="42"/>
      <c r="H76" s="43" t="s">
        <v>67</v>
      </c>
      <c r="I76" s="44"/>
      <c r="J76" s="45" t="n">
        <f aca="false">IF(AK76&gt;AJ76,AI76,AH76)</f>
        <v>2817</v>
      </c>
      <c r="K76" s="40" t="str">
        <f aca="false">IF(AK76&gt;AJ76,"Zoning estimate",IF(H76="Yes","Approved plans",IF(G76&gt;0,"Listing claim","110% old house")))</f>
        <v>Zoning estimate</v>
      </c>
      <c r="L76" s="45" t="n">
        <f aca="false">IF(AK76&gt;AJ76,IF(AI76&gt;AH76,Assumptions!$B$22,Assumptions!$B$21),Assumptions!$B$21)</f>
        <v>3</v>
      </c>
      <c r="M76" s="46" t="n">
        <f aca="false">INDEX(Assumptions!$B$32:$B$44,MATCH(AG76,Assumptions!$A$32:$A$44,0))*(1+IF(UPPER(Assumptions!$B$27)="WORST",Assumptions!$B$24,IF(UPPER(Assumptions!$B$27)="BEST",Assumptions!$B$26,Assumptions!$B$25)))</f>
        <v>1540</v>
      </c>
      <c r="N76" s="47" t="n">
        <f aca="false">J76*M76</f>
        <v>4338180</v>
      </c>
      <c r="O76" s="47" t="n">
        <f aca="false">D76</f>
        <v>2395000</v>
      </c>
      <c r="P76" s="47" t="n">
        <f aca="false">J76*Assumptions!$B$4</f>
        <v>1971900</v>
      </c>
      <c r="Q76" s="47" t="n">
        <f aca="false">IF(H76="Yes",Assumptions!$B$6*(D76),(J76)*Assumptions!$B$5)</f>
        <v>211275</v>
      </c>
      <c r="R76" s="47" t="n">
        <f aca="false">AL76*(Assumptions!$B$8*L76*Assumptions!$B$9+Assumptions!$B$10)</f>
        <v>580283.68125</v>
      </c>
      <c r="S76" s="47" t="n">
        <f aca="false">O76*Assumptions!$B$11*L76</f>
        <v>86220</v>
      </c>
      <c r="T76" s="47" t="n">
        <f aca="false">N76*(Assumptions!$B$12+Assumptions!$B$13)</f>
        <v>241202.808</v>
      </c>
      <c r="U76" s="47" t="n">
        <f aca="false">N76*IF(N76&gt;=Assumptions!$B$16,Assumptions!$B$17,IF(N76&gt;=Assumptions!$B$14,Assumptions!$B$15,0))</f>
        <v>0</v>
      </c>
      <c r="V76" s="48" t="n">
        <f aca="false">SUM(O76:U76)</f>
        <v>5485881.48925</v>
      </c>
      <c r="W76" s="48" t="n">
        <f aca="false">N76-V76</f>
        <v>-1147701.48925</v>
      </c>
      <c r="X76" s="49" t="n">
        <f aca="false">IF(V76=0,0,W76/V76)</f>
        <v>-0.209210040628659</v>
      </c>
      <c r="Y76" s="47" t="n">
        <f aca="false">MAX(0,(N76/(1+Assumptions!$B$23)-(J76*(Assumptions!$B$4+IF(H76="Yes",0,Assumptions!$B$5)))*(1+(Assumptions!$B$7*(Assumptions!$B$8*L76*Assumptions!$B$9+Assumptions!$B$10)))-N76*(Assumptions!$B$12+Assumptions!$B$13+IF(N76&gt;=Assumptions!$B$16,Assumptions!$B$17,IF(N76&gt;=Assumptions!$B$14,Assumptions!$B$15,0))))/((1+IF(H76="Yes",Assumptions!$B$6,0))*(1+(Assumptions!$B$7*(Assumptions!$B$8*L76*Assumptions!$B$9+Assumptions!$B$10)))+Assumptions!$B$11*L76))</f>
        <v>921294.513466016</v>
      </c>
      <c r="Z76" s="50" t="n">
        <f aca="false">IF(Y76&lt;=0,"no price works",D76/Y76)</f>
        <v>2.59960302052569</v>
      </c>
      <c r="AA76" s="46" t="n">
        <f aca="false">INDEX(Assumptions!$B$32:$B$44,MATCH(AG76,Assumptions!$A$32:$A$44,0))*(1+Assumptions!$B$24)</f>
        <v>1400</v>
      </c>
      <c r="AB76" s="47" t="n">
        <f aca="false">(J76)*AA76-(((D76)+(J76)*Assumptions!$B$4+IF(H76="Yes",Assumptions!$B$6*(D76),(J76)*Assumptions!$B$5))*(1+Assumptions!$B$7*(Assumptions!$B$8*(L76)*Assumptions!$B$9+Assumptions!$B$10))+(D76)*Assumptions!$B$11*(L76)+(J76)*AA76*(Assumptions!$B$12+Assumptions!$B$13+IF((J76)*AA76&gt;=Assumptions!$B$16,Assumptions!$B$17,IF((J76)*AA76&gt;=Assumptions!$B$14,Assumptions!$B$15,0))))</f>
        <v>-1520153.96125</v>
      </c>
      <c r="AC76" s="46" t="n">
        <f aca="false">INDEX(Assumptions!$B$32:$B$44,MATCH(AG76,Assumptions!$A$32:$A$44,0))*(1+Assumptions!$B$25)</f>
        <v>1540</v>
      </c>
      <c r="AD76" s="47" t="n">
        <f aca="false">(J76)*AC76-(((D76)+(J76)*Assumptions!$B$4+IF(H76="Yes",Assumptions!$B$6*(D76),(J76)*Assumptions!$B$5))*(1+Assumptions!$B$7*(Assumptions!$B$8*(L76)*Assumptions!$B$9+Assumptions!$B$10))+(D76)*Assumptions!$B$11*(L76)+(J76)*AC76*(Assumptions!$B$12+Assumptions!$B$13+IF((J76)*AC76&gt;=Assumptions!$B$16,Assumptions!$B$17,IF((J76)*AC76&gt;=Assumptions!$B$14,Assumptions!$B$15,0))))</f>
        <v>-1147701.48925</v>
      </c>
      <c r="AE76" s="46" t="n">
        <f aca="false">INDEX(Assumptions!$B$32:$B$44,MATCH(AG76,Assumptions!$A$32:$A$44,0))*(1+Assumptions!$B$26)</f>
        <v>1680</v>
      </c>
      <c r="AF76" s="47" t="n">
        <f aca="false">(J76)*AE76-(((D76)+(J76)*Assumptions!$B$4+IF(H76="Yes",Assumptions!$B$6*(D76),(J76)*Assumptions!$B$5))*(1+Assumptions!$B$7*(Assumptions!$B$8*(L76)*Assumptions!$B$9+Assumptions!$B$10))+(D76)*Assumptions!$B$11*(L76)+(J76)*AE76*(Assumptions!$B$12+Assumptions!$B$13+IF((J76)*AE76&gt;=Assumptions!$B$16,Assumptions!$B$17,IF((J76)*AE76&gt;=Assumptions!$B$14,Assumptions!$B$15,0))))</f>
        <v>-775249.01725</v>
      </c>
      <c r="AG76" s="40" t="s">
        <v>117</v>
      </c>
      <c r="AH76" s="45" t="n">
        <f aca="false">IF(G76&gt;0,G76,ROUND(F76*Assumptions!$B$18,0))</f>
        <v>1884</v>
      </c>
      <c r="AI76" s="45" t="n">
        <f aca="false">IF(H76="Yes",AH76,MAX(AH76,MIN(Assumptions!$B$20,ROUND(E76*Assumptions!$B$19,0))))</f>
        <v>2817</v>
      </c>
      <c r="AJ76" s="47" t="n">
        <f aca="false">(AH76)*AC76-(((D76)+(AH76)*Assumptions!$B$4+IF(H76="Yes",Assumptions!$B$6*(D76),(AH76)*Assumptions!$B$5))*(1+Assumptions!$B$7*(Assumptions!$B$8*(Assumptions!$B$21)*Assumptions!$B$9+Assumptions!$B$10))+(D76)*Assumptions!$B$11*(Assumptions!$B$21)+(AH76)*AC76*(Assumptions!$B$12+Assumptions!$B$13+IF((AH76)*AC76&gt;=Assumptions!$B$16,Assumptions!$B$17,IF((AH76)*AC76&gt;=Assumptions!$B$14,Assumptions!$B$15,0))))</f>
        <v>-1510820.641</v>
      </c>
      <c r="AK76" s="47" t="n">
        <f aca="false">(AI76)*AC76-(((D76)+(AI76)*Assumptions!$B$4+IF(H76="Yes",Assumptions!$B$6*(D76),(AI76)*Assumptions!$B$5))*(1+Assumptions!$B$7*(Assumptions!$B$8*(IF(AI76&gt;AH76,Assumptions!$B$22,Assumptions!$B$21))*Assumptions!$B$9+Assumptions!$B$10))+(D76)*Assumptions!$B$11*(IF(AI76&gt;AH76,Assumptions!$B$22,Assumptions!$B$21))+(AI76)*AC76*(Assumptions!$B$12+Assumptions!$B$13+IF((AI76)*AC76&gt;=Assumptions!$B$16,Assumptions!$B$17,IF((AI76)*AC76&gt;=Assumptions!$B$14,Assumptions!$B$15,0))))</f>
        <v>-1147701.48925</v>
      </c>
      <c r="AL76" s="47" t="n">
        <f aca="false">Assumptions!$B$7*(O76+P76+Q76)</f>
        <v>2975813.75</v>
      </c>
    </row>
    <row r="77" customFormat="false" ht="15" hidden="false" customHeight="false" outlineLevel="0" collapsed="false">
      <c r="A77" s="40" t="n">
        <v>75</v>
      </c>
      <c r="B77" s="40" t="s">
        <v>200</v>
      </c>
      <c r="C77" s="40" t="s">
        <v>201</v>
      </c>
      <c r="D77" s="41" t="n">
        <v>2759000</v>
      </c>
      <c r="E77" s="42" t="n">
        <v>21980</v>
      </c>
      <c r="F77" s="42" t="n">
        <v>2142</v>
      </c>
      <c r="G77" s="42"/>
      <c r="H77" s="43" t="s">
        <v>67</v>
      </c>
      <c r="I77" s="44"/>
      <c r="J77" s="45" t="n">
        <f aca="false">IF(AK77&gt;AJ77,AI77,AH77)</f>
        <v>8000</v>
      </c>
      <c r="K77" s="40" t="str">
        <f aca="false">IF(AK77&gt;AJ77,"Zoning estimate",IF(H77="Yes","Approved plans",IF(G77&gt;0,"Listing claim","110% old house")))</f>
        <v>Zoning estimate</v>
      </c>
      <c r="L77" s="45" t="n">
        <f aca="false">IF(AK77&gt;AJ77,IF(AI77&gt;AH77,Assumptions!$B$22,Assumptions!$B$21),Assumptions!$B$21)</f>
        <v>3</v>
      </c>
      <c r="M77" s="46" t="n">
        <f aca="false">INDEX(Assumptions!$B$32:$B$44,MATCH(AG77,Assumptions!$A$32:$A$44,0))*(1+IF(UPPER(Assumptions!$B$27)="WORST",Assumptions!$B$24,IF(UPPER(Assumptions!$B$27)="BEST",Assumptions!$B$26,Assumptions!$B$25)))</f>
        <v>1320</v>
      </c>
      <c r="N77" s="47" t="n">
        <f aca="false">J77*M77</f>
        <v>10560000</v>
      </c>
      <c r="O77" s="47" t="n">
        <f aca="false">D77</f>
        <v>2759000</v>
      </c>
      <c r="P77" s="47" t="n">
        <f aca="false">J77*Assumptions!$B$4</f>
        <v>5600000</v>
      </c>
      <c r="Q77" s="47" t="n">
        <f aca="false">IF(H77="Yes",Assumptions!$B$6*(D77),(J77)*Assumptions!$B$5)</f>
        <v>600000</v>
      </c>
      <c r="R77" s="47" t="n">
        <f aca="false">AL77*(Assumptions!$B$8*L77*Assumptions!$B$9+Assumptions!$B$10)</f>
        <v>1135553.25</v>
      </c>
      <c r="S77" s="47" t="n">
        <f aca="false">O77*Assumptions!$B$11*L77</f>
        <v>99324</v>
      </c>
      <c r="T77" s="47" t="n">
        <f aca="false">N77*(Assumptions!$B$12+Assumptions!$B$13)</f>
        <v>587136</v>
      </c>
      <c r="U77" s="47" t="n">
        <f aca="false">N77*IF(N77&gt;=Assumptions!$B$16,Assumptions!$B$17,IF(N77&gt;=Assumptions!$B$14,Assumptions!$B$15,0))</f>
        <v>422400</v>
      </c>
      <c r="V77" s="48" t="n">
        <f aca="false">SUM(O77:U77)</f>
        <v>11203413.25</v>
      </c>
      <c r="W77" s="48" t="n">
        <f aca="false">N77-V77</f>
        <v>-643413.25</v>
      </c>
      <c r="X77" s="49" t="n">
        <f aca="false">IF(V77=0,0,W77/V77)</f>
        <v>-0.0574301095248807</v>
      </c>
      <c r="Y77" s="47" t="n">
        <f aca="false">MAX(0,(N77/(1+Assumptions!$B$23)-(J77*(Assumptions!$B$4+IF(H77="Yes",0,Assumptions!$B$5)))*(1+(Assumptions!$B$7*(Assumptions!$B$8*L77*Assumptions!$B$9+Assumptions!$B$10)))-N77*(Assumptions!$B$12+Assumptions!$B$13+IF(N77&gt;=Assumptions!$B$16,Assumptions!$B$17,IF(N77&gt;=Assumptions!$B$14,Assumptions!$B$15,0))))/((1+IF(H77="Yes",Assumptions!$B$6,0))*(1+(Assumptions!$B$7*(Assumptions!$B$8*L77*Assumptions!$B$9+Assumptions!$B$10)))+Assumptions!$B$11*L77))</f>
        <v>1021047.25491479</v>
      </c>
      <c r="Z77" s="50" t="n">
        <f aca="false">IF(Y77&lt;=0,"no price works",D77/Y77)</f>
        <v>2.70212763093932</v>
      </c>
      <c r="AA77" s="46" t="n">
        <f aca="false">INDEX(Assumptions!$B$32:$B$44,MATCH(AG77,Assumptions!$A$32:$A$44,0))*(1+Assumptions!$B$24)</f>
        <v>1200</v>
      </c>
      <c r="AB77" s="47" t="n">
        <f aca="false">(J77)*AA77-(((D77)+(J77)*Assumptions!$B$4+IF(H77="Yes",Assumptions!$B$6*(D77),(J77)*Assumptions!$B$5))*(1+Assumptions!$B$7*(Assumptions!$B$8*(L77)*Assumptions!$B$9+Assumptions!$B$10))+(D77)*Assumptions!$B$11*(L77)+(J77)*AA77*(Assumptions!$B$12+Assumptions!$B$13+IF((J77)*AA77&gt;=Assumptions!$B$16,Assumptions!$B$17,IF((J77)*AA77&gt;=Assumptions!$B$14,Assumptions!$B$15,0))))</f>
        <v>-1511637.25</v>
      </c>
      <c r="AC77" s="46" t="n">
        <f aca="false">INDEX(Assumptions!$B$32:$B$44,MATCH(AG77,Assumptions!$A$32:$A$44,0))*(1+Assumptions!$B$25)</f>
        <v>1320</v>
      </c>
      <c r="AD77" s="47" t="n">
        <f aca="false">(J77)*AC77-(((D77)+(J77)*Assumptions!$B$4+IF(H77="Yes",Assumptions!$B$6*(D77),(J77)*Assumptions!$B$5))*(1+Assumptions!$B$7*(Assumptions!$B$8*(L77)*Assumptions!$B$9+Assumptions!$B$10))+(D77)*Assumptions!$B$11*(L77)+(J77)*AC77*(Assumptions!$B$12+Assumptions!$B$13+IF((J77)*AC77&gt;=Assumptions!$B$16,Assumptions!$B$17,IF((J77)*AC77&gt;=Assumptions!$B$14,Assumptions!$B$15,0))))</f>
        <v>-643413.25</v>
      </c>
      <c r="AE77" s="46" t="n">
        <f aca="false">INDEX(Assumptions!$B$32:$B$44,MATCH(AG77,Assumptions!$A$32:$A$44,0))*(1+Assumptions!$B$26)</f>
        <v>1440</v>
      </c>
      <c r="AF77" s="47" t="n">
        <f aca="false">(J77)*AE77-(((D77)+(J77)*Assumptions!$B$4+IF(H77="Yes",Assumptions!$B$6*(D77),(J77)*Assumptions!$B$5))*(1+Assumptions!$B$7*(Assumptions!$B$8*(L77)*Assumptions!$B$9+Assumptions!$B$10))+(D77)*Assumptions!$B$11*(L77)+(J77)*AE77*(Assumptions!$B$12+Assumptions!$B$13+IF((J77)*AE77&gt;=Assumptions!$B$16,Assumptions!$B$17,IF((J77)*AE77&gt;=Assumptions!$B$14,Assumptions!$B$15,0))))</f>
        <v>52010.75</v>
      </c>
      <c r="AG77" s="40" t="s">
        <v>202</v>
      </c>
      <c r="AH77" s="45" t="n">
        <f aca="false">IF(G77&gt;0,G77,ROUND(F77*Assumptions!$B$18,0))</f>
        <v>2356</v>
      </c>
      <c r="AI77" s="45" t="n">
        <f aca="false">IF(H77="Yes",AH77,MAX(AH77,MIN(Assumptions!$B$20,ROUND(E77*Assumptions!$B$19,0))))</f>
        <v>8000</v>
      </c>
      <c r="AJ77" s="47" t="n">
        <f aca="false">(AH77)*AC77-(((D77)+(AH77)*Assumptions!$B$4+IF(H77="Yes",Assumptions!$B$6*(D77),(AH77)*Assumptions!$B$5))*(1+Assumptions!$B$7*(Assumptions!$B$8*(Assumptions!$B$21)*Assumptions!$B$9+Assumptions!$B$10))+(D77)*Assumptions!$B$11*(Assumptions!$B$21)+(AH77)*AC77*(Assumptions!$B$12+Assumptions!$B$13+IF((AH77)*AC77&gt;=Assumptions!$B$16,Assumptions!$B$17,IF((AH77)*AC77&gt;=Assumptions!$B$14,Assumptions!$B$15,0))))</f>
        <v>-2116432.527</v>
      </c>
      <c r="AK77" s="47" t="n">
        <f aca="false">(AI77)*AC77-(((D77)+(AI77)*Assumptions!$B$4+IF(H77="Yes",Assumptions!$B$6*(D77),(AI77)*Assumptions!$B$5))*(1+Assumptions!$B$7*(Assumptions!$B$8*(IF(AI77&gt;AH77,Assumptions!$B$22,Assumptions!$B$21))*Assumptions!$B$9+Assumptions!$B$10))+(D77)*Assumptions!$B$11*(IF(AI77&gt;AH77,Assumptions!$B$22,Assumptions!$B$21))+(AI77)*AC77*(Assumptions!$B$12+Assumptions!$B$13+IF((AI77)*AC77&gt;=Assumptions!$B$16,Assumptions!$B$17,IF((AI77)*AC77&gt;=Assumptions!$B$14,Assumptions!$B$15,0))))</f>
        <v>-643413.25</v>
      </c>
      <c r="AL77" s="47" t="n">
        <f aca="false">Assumptions!$B$7*(O77+P77+Q77)</f>
        <v>5823350</v>
      </c>
    </row>
    <row r="78" customFormat="false" ht="15" hidden="false" customHeight="false" outlineLevel="0" collapsed="false">
      <c r="A78" s="40" t="n">
        <v>76</v>
      </c>
      <c r="B78" s="40" t="s">
        <v>203</v>
      </c>
      <c r="C78" s="40" t="s">
        <v>107</v>
      </c>
      <c r="D78" s="41" t="n">
        <v>2395000</v>
      </c>
      <c r="E78" s="42" t="n">
        <v>13487</v>
      </c>
      <c r="F78" s="42" t="n">
        <v>2228</v>
      </c>
      <c r="G78" s="42"/>
      <c r="H78" s="43" t="s">
        <v>67</v>
      </c>
      <c r="I78" s="44"/>
      <c r="J78" s="45" t="n">
        <f aca="false">IF(AK78&gt;AJ78,AI78,AH78)</f>
        <v>5395</v>
      </c>
      <c r="K78" s="40" t="str">
        <f aca="false">IF(AK78&gt;AJ78,"Zoning estimate",IF(H78="Yes","Approved plans",IF(G78&gt;0,"Listing claim","110% old house")))</f>
        <v>Zoning estimate</v>
      </c>
      <c r="L78" s="45" t="n">
        <f aca="false">IF(AK78&gt;AJ78,IF(AI78&gt;AH78,Assumptions!$B$22,Assumptions!$B$21),Assumptions!$B$21)</f>
        <v>3</v>
      </c>
      <c r="M78" s="46" t="n">
        <f aca="false">INDEX(Assumptions!$B$32:$B$44,MATCH(AG78,Assumptions!$A$32:$A$44,0))*(1+IF(UPPER(Assumptions!$B$27)="WORST",Assumptions!$B$24,IF(UPPER(Assumptions!$B$27)="BEST",Assumptions!$B$26,Assumptions!$B$25)))</f>
        <v>1375</v>
      </c>
      <c r="N78" s="47" t="n">
        <f aca="false">J78*M78</f>
        <v>7418125</v>
      </c>
      <c r="O78" s="47" t="n">
        <f aca="false">D78</f>
        <v>2395000</v>
      </c>
      <c r="P78" s="47" t="n">
        <f aca="false">J78*Assumptions!$B$4</f>
        <v>3776500</v>
      </c>
      <c r="Q78" s="47" t="n">
        <f aca="false">IF(H78="Yes",Assumptions!$B$6*(D78),(J78)*Assumptions!$B$5)</f>
        <v>404625</v>
      </c>
      <c r="R78" s="47" t="n">
        <f aca="false">AL78*(Assumptions!$B$8*L78*Assumptions!$B$9+Assumptions!$B$10)</f>
        <v>833523.84375</v>
      </c>
      <c r="S78" s="47" t="n">
        <f aca="false">O78*Assumptions!$B$11*L78</f>
        <v>86220</v>
      </c>
      <c r="T78" s="47" t="n">
        <f aca="false">N78*(Assumptions!$B$12+Assumptions!$B$13)</f>
        <v>412447.75</v>
      </c>
      <c r="U78" s="47" t="n">
        <f aca="false">N78*IF(N78&gt;=Assumptions!$B$16,Assumptions!$B$17,IF(N78&gt;=Assumptions!$B$14,Assumptions!$B$15,0))</f>
        <v>296725</v>
      </c>
      <c r="V78" s="48" t="n">
        <f aca="false">SUM(O78:U78)</f>
        <v>8205041.59375</v>
      </c>
      <c r="W78" s="48" t="n">
        <f aca="false">N78-V78</f>
        <v>-786916.59375</v>
      </c>
      <c r="X78" s="49" t="n">
        <f aca="false">IF(V78=0,0,W78/V78)</f>
        <v>-0.0959064722291494</v>
      </c>
      <c r="Y78" s="47" t="n">
        <f aca="false">MAX(0,(N78/(1+Assumptions!$B$23)-(J78*(Assumptions!$B$4+IF(H78="Yes",0,Assumptions!$B$5)))*(1+(Assumptions!$B$7*(Assumptions!$B$8*L78*Assumptions!$B$9+Assumptions!$B$10)))-N78*(Assumptions!$B$12+Assumptions!$B$13+IF(N78&gt;=Assumptions!$B$16,Assumptions!$B$17,IF(N78&gt;=Assumptions!$B$14,Assumptions!$B$15,0))))/((1+IF(H78="Yes",Assumptions!$B$6,0))*(1+(Assumptions!$B$7*(Assumptions!$B$8*L78*Assumptions!$B$9+Assumptions!$B$10)))+Assumptions!$B$11*L78))</f>
        <v>886078.808437644</v>
      </c>
      <c r="Z78" s="50" t="n">
        <f aca="false">IF(Y78&lt;=0,"no price works",D78/Y78)</f>
        <v>2.70291985001077</v>
      </c>
      <c r="AA78" s="46" t="n">
        <f aca="false">INDEX(Assumptions!$B$32:$B$44,MATCH(AG78,Assumptions!$A$32:$A$44,0))*(1+Assumptions!$B$24)</f>
        <v>1250</v>
      </c>
      <c r="AB78" s="47" t="n">
        <f aca="false">(J78)*AA78-(((D78)+(J78)*Assumptions!$B$4+IF(H78="Yes",Assumptions!$B$6*(D78),(J78)*Assumptions!$B$5))*(1+Assumptions!$B$7*(Assumptions!$B$8*(L78)*Assumptions!$B$9+Assumptions!$B$10))+(D78)*Assumptions!$B$11*(L78)+(J78)*AA78*(Assumptions!$B$12+Assumptions!$B$13+IF((J78)*AA78&gt;=Assumptions!$B$16,Assumptions!$B$17,IF((J78)*AA78&gt;=Assumptions!$B$14,Assumptions!$B$15,0))))</f>
        <v>-1396821.34375</v>
      </c>
      <c r="AC78" s="46" t="n">
        <f aca="false">INDEX(Assumptions!$B$32:$B$44,MATCH(AG78,Assumptions!$A$32:$A$44,0))*(1+Assumptions!$B$25)</f>
        <v>1375</v>
      </c>
      <c r="AD78" s="47" t="n">
        <f aca="false">(J78)*AC78-(((D78)+(J78)*Assumptions!$B$4+IF(H78="Yes",Assumptions!$B$6*(D78),(J78)*Assumptions!$B$5))*(1+Assumptions!$B$7*(Assumptions!$B$8*(L78)*Assumptions!$B$9+Assumptions!$B$10))+(D78)*Assumptions!$B$11*(L78)+(J78)*AC78*(Assumptions!$B$12+Assumptions!$B$13+IF((J78)*AC78&gt;=Assumptions!$B$16,Assumptions!$B$17,IF((J78)*AC78&gt;=Assumptions!$B$14,Assumptions!$B$15,0))))</f>
        <v>-786916.593749999</v>
      </c>
      <c r="AE78" s="46" t="n">
        <f aca="false">INDEX(Assumptions!$B$32:$B$44,MATCH(AG78,Assumptions!$A$32:$A$44,0))*(1+Assumptions!$B$26)</f>
        <v>1500</v>
      </c>
      <c r="AF78" s="47" t="n">
        <f aca="false">(J78)*AE78-(((D78)+(J78)*Assumptions!$B$4+IF(H78="Yes",Assumptions!$B$6*(D78),(J78)*Assumptions!$B$5))*(1+Assumptions!$B$7*(Assumptions!$B$8*(L78)*Assumptions!$B$9+Assumptions!$B$10))+(D78)*Assumptions!$B$11*(L78)+(J78)*AE78*(Assumptions!$B$12+Assumptions!$B$13+IF((J78)*AE78&gt;=Assumptions!$B$16,Assumptions!$B$17,IF((J78)*AE78&gt;=Assumptions!$B$14,Assumptions!$B$15,0))))</f>
        <v>-177011.843749999</v>
      </c>
      <c r="AG78" s="40" t="s">
        <v>109</v>
      </c>
      <c r="AH78" s="45" t="n">
        <f aca="false">IF(G78&gt;0,G78,ROUND(F78*Assumptions!$B$18,0))</f>
        <v>2451</v>
      </c>
      <c r="AI78" s="45" t="n">
        <f aca="false">IF(H78="Yes",AH78,MAX(AH78,MIN(Assumptions!$B$20,ROUND(E78*Assumptions!$B$19,0))))</f>
        <v>5395</v>
      </c>
      <c r="AJ78" s="47" t="n">
        <f aca="false">(AH78)*AC78-(((D78)+(AH78)*Assumptions!$B$4+IF(H78="Yes",Assumptions!$B$6*(D78),(AH78)*Assumptions!$B$5))*(1+Assumptions!$B$7*(Assumptions!$B$8*(Assumptions!$B$21)*Assumptions!$B$9+Assumptions!$B$10))+(D78)*Assumptions!$B$11*(Assumptions!$B$21)+(AH78)*AC78*(Assumptions!$B$12+Assumptions!$B$13+IF((AH78)*AC78&gt;=Assumptions!$B$16,Assumptions!$B$17,IF((AH78)*AC78&gt;=Assumptions!$B$14,Assumptions!$B$15,0))))</f>
        <v>-1546103.51875</v>
      </c>
      <c r="AK78" s="47" t="n">
        <f aca="false">(AI78)*AC78-(((D78)+(AI78)*Assumptions!$B$4+IF(H78="Yes",Assumptions!$B$6*(D78),(AI78)*Assumptions!$B$5))*(1+Assumptions!$B$7*(Assumptions!$B$8*(IF(AI78&gt;AH78,Assumptions!$B$22,Assumptions!$B$21))*Assumptions!$B$9+Assumptions!$B$10))+(D78)*Assumptions!$B$11*(IF(AI78&gt;AH78,Assumptions!$B$22,Assumptions!$B$21))+(AI78)*AC78*(Assumptions!$B$12+Assumptions!$B$13+IF((AI78)*AC78&gt;=Assumptions!$B$16,Assumptions!$B$17,IF((AI78)*AC78&gt;=Assumptions!$B$14,Assumptions!$B$15,0))))</f>
        <v>-786916.593749999</v>
      </c>
      <c r="AL78" s="47" t="n">
        <f aca="false">Assumptions!$B$7*(O78+P78+Q78)</f>
        <v>4274481.25</v>
      </c>
    </row>
    <row r="79" customFormat="false" ht="15" hidden="false" customHeight="false" outlineLevel="0" collapsed="false">
      <c r="A79" s="40" t="n">
        <v>77</v>
      </c>
      <c r="B79" s="40" t="s">
        <v>204</v>
      </c>
      <c r="C79" s="40" t="s">
        <v>107</v>
      </c>
      <c r="D79" s="41" t="n">
        <v>1995000</v>
      </c>
      <c r="E79" s="42" t="n">
        <v>11222</v>
      </c>
      <c r="F79" s="42" t="n">
        <v>2557</v>
      </c>
      <c r="G79" s="42"/>
      <c r="H79" s="43" t="s">
        <v>67</v>
      </c>
      <c r="I79" s="44"/>
      <c r="J79" s="45" t="n">
        <f aca="false">IF(AK79&gt;AJ79,AI79,AH79)</f>
        <v>4489</v>
      </c>
      <c r="K79" s="40" t="str">
        <f aca="false">IF(AK79&gt;AJ79,"Zoning estimate",IF(H79="Yes","Approved plans",IF(G79&gt;0,"Listing claim","110% old house")))</f>
        <v>Zoning estimate</v>
      </c>
      <c r="L79" s="45" t="n">
        <f aca="false">IF(AK79&gt;AJ79,IF(AI79&gt;AH79,Assumptions!$B$22,Assumptions!$B$21),Assumptions!$B$21)</f>
        <v>3</v>
      </c>
      <c r="M79" s="46" t="n">
        <f aca="false">INDEX(Assumptions!$B$32:$B$44,MATCH(AG79,Assumptions!$A$32:$A$44,0))*(1+IF(UPPER(Assumptions!$B$27)="WORST",Assumptions!$B$24,IF(UPPER(Assumptions!$B$27)="BEST",Assumptions!$B$26,Assumptions!$B$25)))</f>
        <v>1375</v>
      </c>
      <c r="N79" s="47" t="n">
        <f aca="false">J79*M79</f>
        <v>6172375</v>
      </c>
      <c r="O79" s="47" t="n">
        <f aca="false">D79</f>
        <v>1995000</v>
      </c>
      <c r="P79" s="47" t="n">
        <f aca="false">J79*Assumptions!$B$4</f>
        <v>3142300</v>
      </c>
      <c r="Q79" s="47" t="n">
        <f aca="false">IF(H79="Yes",Assumptions!$B$6*(D79),(J79)*Assumptions!$B$5)</f>
        <v>336675</v>
      </c>
      <c r="R79" s="47" t="n">
        <f aca="false">AL79*(Assumptions!$B$8*L79*Assumptions!$B$9+Assumptions!$B$10)</f>
        <v>693826.33125</v>
      </c>
      <c r="S79" s="47" t="n">
        <f aca="false">O79*Assumptions!$B$11*L79</f>
        <v>71820</v>
      </c>
      <c r="T79" s="47" t="n">
        <f aca="false">N79*(Assumptions!$B$12+Assumptions!$B$13)</f>
        <v>343184.05</v>
      </c>
      <c r="U79" s="47" t="n">
        <f aca="false">N79*IF(N79&gt;=Assumptions!$B$16,Assumptions!$B$17,IF(N79&gt;=Assumptions!$B$14,Assumptions!$B$15,0))</f>
        <v>246895</v>
      </c>
      <c r="V79" s="48" t="n">
        <f aca="false">SUM(O79:U79)</f>
        <v>6829700.38125</v>
      </c>
      <c r="W79" s="48" t="n">
        <f aca="false">N79-V79</f>
        <v>-657325.38125</v>
      </c>
      <c r="X79" s="49" t="n">
        <f aca="false">IF(V79=0,0,W79/V79)</f>
        <v>-0.0962451271002452</v>
      </c>
      <c r="Y79" s="47" t="n">
        <f aca="false">MAX(0,(N79/(1+Assumptions!$B$23)-(J79*(Assumptions!$B$4+IF(H79="Yes",0,Assumptions!$B$5)))*(1+(Assumptions!$B$7*(Assumptions!$B$8*L79*Assumptions!$B$9+Assumptions!$B$10)))-N79*(Assumptions!$B$12+Assumptions!$B$13+IF(N79&gt;=Assumptions!$B$16,Assumptions!$B$17,IF(N79&gt;=Assumptions!$B$14,Assumptions!$B$15,0))))/((1+IF(H79="Yes",Assumptions!$B$6,0))*(1+(Assumptions!$B$7*(Assumptions!$B$8*L79*Assumptions!$B$9+Assumptions!$B$10)))+Assumptions!$B$11*L79))</f>
        <v>737276.695287596</v>
      </c>
      <c r="Z79" s="50" t="n">
        <f aca="false">IF(Y79&lt;=0,"no price works",D79/Y79)</f>
        <v>2.70590405576538</v>
      </c>
      <c r="AA79" s="46" t="n">
        <f aca="false">INDEX(Assumptions!$B$32:$B$44,MATCH(AG79,Assumptions!$A$32:$A$44,0))*(1+Assumptions!$B$24)</f>
        <v>1250</v>
      </c>
      <c r="AB79" s="47" t="n">
        <f aca="false">(J79)*AA79-(((D79)+(J79)*Assumptions!$B$4+IF(H79="Yes",Assumptions!$B$6*(D79),(J79)*Assumptions!$B$5))*(1+Assumptions!$B$7*(Assumptions!$B$8*(L79)*Assumptions!$B$9+Assumptions!$B$10))+(D79)*Assumptions!$B$11*(L79)+(J79)*AA79*(Assumptions!$B$12+Assumptions!$B$13+IF((J79)*AA79&gt;=Assumptions!$B$16,Assumptions!$B$17,IF((J79)*AA79&gt;=Assumptions!$B$14,Assumptions!$B$15,0))))</f>
        <v>-1164806.83125</v>
      </c>
      <c r="AC79" s="46" t="n">
        <f aca="false">INDEX(Assumptions!$B$32:$B$44,MATCH(AG79,Assumptions!$A$32:$A$44,0))*(1+Assumptions!$B$25)</f>
        <v>1375</v>
      </c>
      <c r="AD79" s="47" t="n">
        <f aca="false">(J79)*AC79-(((D79)+(J79)*Assumptions!$B$4+IF(H79="Yes",Assumptions!$B$6*(D79),(J79)*Assumptions!$B$5))*(1+Assumptions!$B$7*(Assumptions!$B$8*(L79)*Assumptions!$B$9+Assumptions!$B$10))+(D79)*Assumptions!$B$11*(L79)+(J79)*AC79*(Assumptions!$B$12+Assumptions!$B$13+IF((J79)*AC79&gt;=Assumptions!$B$16,Assumptions!$B$17,IF((J79)*AC79&gt;=Assumptions!$B$14,Assumptions!$B$15,0))))</f>
        <v>-657325.38125</v>
      </c>
      <c r="AE79" s="46" t="n">
        <f aca="false">INDEX(Assumptions!$B$32:$B$44,MATCH(AG79,Assumptions!$A$32:$A$44,0))*(1+Assumptions!$B$26)</f>
        <v>1500</v>
      </c>
      <c r="AF79" s="47" t="n">
        <f aca="false">(J79)*AE79-(((D79)+(J79)*Assumptions!$B$4+IF(H79="Yes",Assumptions!$B$6*(D79),(J79)*Assumptions!$B$5))*(1+Assumptions!$B$7*(Assumptions!$B$8*(L79)*Assumptions!$B$9+Assumptions!$B$10))+(D79)*Assumptions!$B$11*(L79)+(J79)*AE79*(Assumptions!$B$12+Assumptions!$B$13+IF((J79)*AE79&gt;=Assumptions!$B$16,Assumptions!$B$17,IF((J79)*AE79&gt;=Assumptions!$B$14,Assumptions!$B$15,0))))</f>
        <v>-149843.931249999</v>
      </c>
      <c r="AG79" s="40" t="s">
        <v>109</v>
      </c>
      <c r="AH79" s="45" t="n">
        <f aca="false">IF(G79&gt;0,G79,ROUND(F79*Assumptions!$B$18,0))</f>
        <v>2813</v>
      </c>
      <c r="AI79" s="45" t="n">
        <f aca="false">IF(H79="Yes",AH79,MAX(AH79,MIN(Assumptions!$B$20,ROUND(E79*Assumptions!$B$19,0))))</f>
        <v>4489</v>
      </c>
      <c r="AJ79" s="47" t="n">
        <f aca="false">(AH79)*AC79-(((D79)+(AH79)*Assumptions!$B$4+IF(H79="Yes",Assumptions!$B$6*(D79),(AH79)*Assumptions!$B$5))*(1+Assumptions!$B$7*(Assumptions!$B$8*(Assumptions!$B$21)*Assumptions!$B$9+Assumptions!$B$10))+(D79)*Assumptions!$B$11*(Assumptions!$B$21)+(AH79)*AC79*(Assumptions!$B$12+Assumptions!$B$13+IF((AH79)*AC79&gt;=Assumptions!$B$16,Assumptions!$B$17,IF((AH79)*AC79&gt;=Assumptions!$B$14,Assumptions!$B$15,0))))</f>
        <v>-936496.681249999</v>
      </c>
      <c r="AK79" s="47" t="n">
        <f aca="false">(AI79)*AC79-(((D79)+(AI79)*Assumptions!$B$4+IF(H79="Yes",Assumptions!$B$6*(D79),(AI79)*Assumptions!$B$5))*(1+Assumptions!$B$7*(Assumptions!$B$8*(IF(AI79&gt;AH79,Assumptions!$B$22,Assumptions!$B$21))*Assumptions!$B$9+Assumptions!$B$10))+(D79)*Assumptions!$B$11*(IF(AI79&gt;AH79,Assumptions!$B$22,Assumptions!$B$21))+(AI79)*AC79*(Assumptions!$B$12+Assumptions!$B$13+IF((AI79)*AC79&gt;=Assumptions!$B$16,Assumptions!$B$17,IF((AI79)*AC79&gt;=Assumptions!$B$14,Assumptions!$B$15,0))))</f>
        <v>-657325.38125</v>
      </c>
      <c r="AL79" s="47" t="n">
        <f aca="false">Assumptions!$B$7*(O79+P79+Q79)</f>
        <v>3558083.75</v>
      </c>
    </row>
    <row r="80" customFormat="false" ht="15" hidden="false" customHeight="false" outlineLevel="0" collapsed="false">
      <c r="A80" s="40" t="n">
        <v>78</v>
      </c>
      <c r="B80" s="40" t="s">
        <v>205</v>
      </c>
      <c r="C80" s="40" t="s">
        <v>98</v>
      </c>
      <c r="D80" s="41" t="n">
        <v>2600000</v>
      </c>
      <c r="E80" s="42" t="n">
        <v>14509</v>
      </c>
      <c r="F80" s="42" t="n">
        <v>2469</v>
      </c>
      <c r="G80" s="42"/>
      <c r="H80" s="43" t="s">
        <v>67</v>
      </c>
      <c r="I80" s="44"/>
      <c r="J80" s="45" t="n">
        <f aca="false">IF(AK80&gt;AJ80,AI80,AH80)</f>
        <v>5804</v>
      </c>
      <c r="K80" s="40" t="str">
        <f aca="false">IF(AK80&gt;AJ80,"Zoning estimate",IF(H80="Yes","Approved plans",IF(G80&gt;0,"Listing claim","110% old house")))</f>
        <v>Zoning estimate</v>
      </c>
      <c r="L80" s="45" t="n">
        <f aca="false">IF(AK80&gt;AJ80,IF(AI80&gt;AH80,Assumptions!$B$22,Assumptions!$B$21),Assumptions!$B$21)</f>
        <v>3</v>
      </c>
      <c r="M80" s="46" t="n">
        <f aca="false">INDEX(Assumptions!$B$32:$B$44,MATCH(AG80,Assumptions!$A$32:$A$44,0))*(1+IF(UPPER(Assumptions!$B$27)="WORST",Assumptions!$B$24,IF(UPPER(Assumptions!$B$27)="BEST",Assumptions!$B$26,Assumptions!$B$25)))</f>
        <v>1375</v>
      </c>
      <c r="N80" s="47" t="n">
        <f aca="false">J80*M80</f>
        <v>7980500</v>
      </c>
      <c r="O80" s="47" t="n">
        <f aca="false">D80</f>
        <v>2600000</v>
      </c>
      <c r="P80" s="47" t="n">
        <f aca="false">J80*Assumptions!$B$4</f>
        <v>4062800</v>
      </c>
      <c r="Q80" s="47" t="n">
        <f aca="false">IF(H80="Yes",Assumptions!$B$6*(D80),(J80)*Assumptions!$B$5)</f>
        <v>435300</v>
      </c>
      <c r="R80" s="47" t="n">
        <f aca="false">AL80*(Assumptions!$B$8*L80*Assumptions!$B$9+Assumptions!$B$10)</f>
        <v>899684.175</v>
      </c>
      <c r="S80" s="47" t="n">
        <f aca="false">O80*Assumptions!$B$11*L80</f>
        <v>93600</v>
      </c>
      <c r="T80" s="47" t="n">
        <f aca="false">N80*(Assumptions!$B$12+Assumptions!$B$13)</f>
        <v>443715.8</v>
      </c>
      <c r="U80" s="47" t="n">
        <f aca="false">N80*IF(N80&gt;=Assumptions!$B$16,Assumptions!$B$17,IF(N80&gt;=Assumptions!$B$14,Assumptions!$B$15,0))</f>
        <v>319220</v>
      </c>
      <c r="V80" s="48" t="n">
        <f aca="false">SUM(O80:U80)</f>
        <v>8854319.975</v>
      </c>
      <c r="W80" s="48" t="n">
        <f aca="false">N80-V80</f>
        <v>-873819.975</v>
      </c>
      <c r="X80" s="49" t="n">
        <f aca="false">IF(V80=0,0,W80/V80)</f>
        <v>-0.0986885472252204</v>
      </c>
      <c r="Y80" s="47" t="n">
        <f aca="false">MAX(0,(N80/(1+Assumptions!$B$23)-(J80*(Assumptions!$B$4+IF(H80="Yes",0,Assumptions!$B$5)))*(1+(Assumptions!$B$7*(Assumptions!$B$8*L80*Assumptions!$B$9+Assumptions!$B$10)))-N80*(Assumptions!$B$12+Assumptions!$B$13+IF(N80&gt;=Assumptions!$B$16,Assumptions!$B$17,IF(N80&gt;=Assumptions!$B$14,Assumptions!$B$15,0))))/((1+IF(H80="Yes",Assumptions!$B$6,0))*(1+(Assumptions!$B$7*(Assumptions!$B$8*L80*Assumptions!$B$9+Assumptions!$B$10)))+Assumptions!$B$11*L80))</f>
        <v>953253.272321053</v>
      </c>
      <c r="Z80" s="50" t="n">
        <f aca="false">IF(Y80&lt;=0,"no price works",D80/Y80)</f>
        <v>2.72750178309834</v>
      </c>
      <c r="AA80" s="46" t="n">
        <f aca="false">INDEX(Assumptions!$B$32:$B$44,MATCH(AG80,Assumptions!$A$32:$A$44,0))*(1+Assumptions!$B$24)</f>
        <v>1250</v>
      </c>
      <c r="AB80" s="47" t="n">
        <f aca="false">(J80)*AA80-(((D80)+(J80)*Assumptions!$B$4+IF(H80="Yes",Assumptions!$B$6*(D80),(J80)*Assumptions!$B$5))*(1+Assumptions!$B$7*(Assumptions!$B$8*(L80)*Assumptions!$B$9+Assumptions!$B$10))+(D80)*Assumptions!$B$11*(L80)+(J80)*AA80*(Assumptions!$B$12+Assumptions!$B$13+IF((J80)*AA80&gt;=Assumptions!$B$16,Assumptions!$B$17,IF((J80)*AA80&gt;=Assumptions!$B$14,Assumptions!$B$15,0))))</f>
        <v>-1529962.175</v>
      </c>
      <c r="AC80" s="46" t="n">
        <f aca="false">INDEX(Assumptions!$B$32:$B$44,MATCH(AG80,Assumptions!$A$32:$A$44,0))*(1+Assumptions!$B$25)</f>
        <v>1375</v>
      </c>
      <c r="AD80" s="47" t="n">
        <f aca="false">(J80)*AC80-(((D80)+(J80)*Assumptions!$B$4+IF(H80="Yes",Assumptions!$B$6*(D80),(J80)*Assumptions!$B$5))*(1+Assumptions!$B$7*(Assumptions!$B$8*(L80)*Assumptions!$B$9+Assumptions!$B$10))+(D80)*Assumptions!$B$11*(L80)+(J80)*AC80*(Assumptions!$B$12+Assumptions!$B$13+IF((J80)*AC80&gt;=Assumptions!$B$16,Assumptions!$B$17,IF((J80)*AC80&gt;=Assumptions!$B$14,Assumptions!$B$15,0))))</f>
        <v>-873819.975</v>
      </c>
      <c r="AE80" s="46" t="n">
        <f aca="false">INDEX(Assumptions!$B$32:$B$44,MATCH(AG80,Assumptions!$A$32:$A$44,0))*(1+Assumptions!$B$26)</f>
        <v>1500</v>
      </c>
      <c r="AF80" s="47" t="n">
        <f aca="false">(J80)*AE80-(((D80)+(J80)*Assumptions!$B$4+IF(H80="Yes",Assumptions!$B$6*(D80),(J80)*Assumptions!$B$5))*(1+Assumptions!$B$7*(Assumptions!$B$8*(L80)*Assumptions!$B$9+Assumptions!$B$10))+(D80)*Assumptions!$B$11*(L80)+(J80)*AE80*(Assumptions!$B$12+Assumptions!$B$13+IF((J80)*AE80&gt;=Assumptions!$B$16,Assumptions!$B$17,IF((J80)*AE80&gt;=Assumptions!$B$14,Assumptions!$B$15,0))))</f>
        <v>-217677.775</v>
      </c>
      <c r="AG80" s="40" t="s">
        <v>100</v>
      </c>
      <c r="AH80" s="45" t="n">
        <f aca="false">IF(G80&gt;0,G80,ROUND(F80*Assumptions!$B$18,0))</f>
        <v>2716</v>
      </c>
      <c r="AI80" s="45" t="n">
        <f aca="false">IF(H80="Yes",AH80,MAX(AH80,MIN(Assumptions!$B$20,ROUND(E80*Assumptions!$B$19,0))))</f>
        <v>5804</v>
      </c>
      <c r="AJ80" s="47" t="n">
        <f aca="false">(AH80)*AC80-(((D80)+(AH80)*Assumptions!$B$4+IF(H80="Yes",Assumptions!$B$6*(D80),(AH80)*Assumptions!$B$5))*(1+Assumptions!$B$7*(Assumptions!$B$8*(Assumptions!$B$21)*Assumptions!$B$9+Assumptions!$B$10))+(D80)*Assumptions!$B$11*(Assumptions!$B$21)+(AH80)*AC80*(Assumptions!$B$12+Assumptions!$B$13+IF((AH80)*AC80&gt;=Assumptions!$B$16,Assumptions!$B$17,IF((AH80)*AC80&gt;=Assumptions!$B$14,Assumptions!$B$15,0))))</f>
        <v>-1653293.175</v>
      </c>
      <c r="AK80" s="47" t="n">
        <f aca="false">(AI80)*AC80-(((D80)+(AI80)*Assumptions!$B$4+IF(H80="Yes",Assumptions!$B$6*(D80),(AI80)*Assumptions!$B$5))*(1+Assumptions!$B$7*(Assumptions!$B$8*(IF(AI80&gt;AH80,Assumptions!$B$22,Assumptions!$B$21))*Assumptions!$B$9+Assumptions!$B$10))+(D80)*Assumptions!$B$11*(IF(AI80&gt;AH80,Assumptions!$B$22,Assumptions!$B$21))+(AI80)*AC80*(Assumptions!$B$12+Assumptions!$B$13+IF((AI80)*AC80&gt;=Assumptions!$B$16,Assumptions!$B$17,IF((AI80)*AC80&gt;=Assumptions!$B$14,Assumptions!$B$15,0))))</f>
        <v>-873819.975</v>
      </c>
      <c r="AL80" s="47" t="n">
        <f aca="false">Assumptions!$B$7*(O80+P80+Q80)</f>
        <v>4613765</v>
      </c>
    </row>
    <row r="81" customFormat="false" ht="23.85" hidden="false" customHeight="false" outlineLevel="0" collapsed="false">
      <c r="A81" s="40" t="n">
        <v>79</v>
      </c>
      <c r="B81" s="40" t="s">
        <v>206</v>
      </c>
      <c r="C81" s="40" t="s">
        <v>98</v>
      </c>
      <c r="D81" s="41" t="n">
        <v>3200000</v>
      </c>
      <c r="E81" s="42" t="n">
        <v>22689</v>
      </c>
      <c r="F81" s="42" t="n">
        <v>2394</v>
      </c>
      <c r="G81" s="42"/>
      <c r="H81" s="43" t="s">
        <v>67</v>
      </c>
      <c r="I81" s="44" t="s">
        <v>207</v>
      </c>
      <c r="J81" s="45" t="n">
        <f aca="false">IF(AK81&gt;AJ81,AI81,AH81)</f>
        <v>8000</v>
      </c>
      <c r="K81" s="40" t="str">
        <f aca="false">IF(AK81&gt;AJ81,"Zoning estimate",IF(H81="Yes","Approved plans",IF(G81&gt;0,"Listing claim","110% old house")))</f>
        <v>Zoning estimate</v>
      </c>
      <c r="L81" s="45" t="n">
        <f aca="false">IF(AK81&gt;AJ81,IF(AI81&gt;AH81,Assumptions!$B$22,Assumptions!$B$21),Assumptions!$B$21)</f>
        <v>3</v>
      </c>
      <c r="M81" s="46" t="n">
        <f aca="false">INDEX(Assumptions!$B$32:$B$44,MATCH(AG81,Assumptions!$A$32:$A$44,0))*(1+IF(UPPER(Assumptions!$B$27)="WORST",Assumptions!$B$24,IF(UPPER(Assumptions!$B$27)="BEST",Assumptions!$B$26,Assumptions!$B$25)))</f>
        <v>1375</v>
      </c>
      <c r="N81" s="47" t="n">
        <f aca="false">J81*M81</f>
        <v>11000000</v>
      </c>
      <c r="O81" s="47" t="n">
        <f aca="false">D81</f>
        <v>3200000</v>
      </c>
      <c r="P81" s="47" t="n">
        <f aca="false">J81*Assumptions!$B$4</f>
        <v>5600000</v>
      </c>
      <c r="Q81" s="47" t="n">
        <f aca="false">IF(H81="Yes",Assumptions!$B$6*(D81),(J81)*Assumptions!$B$5)</f>
        <v>600000</v>
      </c>
      <c r="R81" s="47" t="n">
        <f aca="false">AL81*(Assumptions!$B$8*L81*Assumptions!$B$9+Assumptions!$B$10)</f>
        <v>1191450</v>
      </c>
      <c r="S81" s="47" t="n">
        <f aca="false">O81*Assumptions!$B$11*L81</f>
        <v>115200</v>
      </c>
      <c r="T81" s="47" t="n">
        <f aca="false">N81*(Assumptions!$B$12+Assumptions!$B$13)</f>
        <v>611600</v>
      </c>
      <c r="U81" s="47" t="n">
        <f aca="false">N81*IF(N81&gt;=Assumptions!$B$16,Assumptions!$B$17,IF(N81&gt;=Assumptions!$B$14,Assumptions!$B$15,0))</f>
        <v>605000</v>
      </c>
      <c r="V81" s="48" t="n">
        <f aca="false">SUM(O81:U81)</f>
        <v>11923250</v>
      </c>
      <c r="W81" s="48" t="n">
        <f aca="false">N81-V81</f>
        <v>-923250</v>
      </c>
      <c r="X81" s="49" t="n">
        <f aca="false">IF(V81=0,0,W81/V81)</f>
        <v>-0.077432746943996</v>
      </c>
      <c r="Y81" s="47" t="n">
        <f aca="false">MAX(0,(N81/(1+Assumptions!$B$23)-(J81*(Assumptions!$B$4+IF(H81="Yes",0,Assumptions!$B$5)))*(1+(Assumptions!$B$7*(Assumptions!$B$8*L81*Assumptions!$B$9+Assumptions!$B$10)))-N81*(Assumptions!$B$12+Assumptions!$B$13+IF(N81&gt;=Assumptions!$B$16,Assumptions!$B$17,IF(N81&gt;=Assumptions!$B$14,Assumptions!$B$15,0))))/((1+IF(H81="Yes",Assumptions!$B$6,0))*(1+(Assumptions!$B$7*(Assumptions!$B$8*L81*Assumptions!$B$9+Assumptions!$B$10)))+Assumptions!$B$11*L81))</f>
        <v>1172020.97725594</v>
      </c>
      <c r="Z81" s="50" t="n">
        <f aca="false">IF(Y81&lt;=0,"no price works",D81/Y81)</f>
        <v>2.73032655737286</v>
      </c>
      <c r="AA81" s="46" t="n">
        <f aca="false">INDEX(Assumptions!$B$32:$B$44,MATCH(AG81,Assumptions!$A$32:$A$44,0))*(1+Assumptions!$B$24)</f>
        <v>1250</v>
      </c>
      <c r="AB81" s="47" t="n">
        <f aca="false">(J81)*AA81-(((D81)+(J81)*Assumptions!$B$4+IF(H81="Yes",Assumptions!$B$6*(D81),(J81)*Assumptions!$B$5))*(1+Assumptions!$B$7*(Assumptions!$B$8*(L81)*Assumptions!$B$9+Assumptions!$B$10))+(D81)*Assumptions!$B$11*(L81)+(J81)*AA81*(Assumptions!$B$12+Assumptions!$B$13+IF((J81)*AA81&gt;=Assumptions!$B$16,Assumptions!$B$17,IF((J81)*AA81&gt;=Assumptions!$B$14,Assumptions!$B$15,0))))</f>
        <v>-1662650</v>
      </c>
      <c r="AC81" s="46" t="n">
        <f aca="false">INDEX(Assumptions!$B$32:$B$44,MATCH(AG81,Assumptions!$A$32:$A$44,0))*(1+Assumptions!$B$25)</f>
        <v>1375</v>
      </c>
      <c r="AD81" s="47" t="n">
        <f aca="false">(J81)*AC81-(((D81)+(J81)*Assumptions!$B$4+IF(H81="Yes",Assumptions!$B$6*(D81),(J81)*Assumptions!$B$5))*(1+Assumptions!$B$7*(Assumptions!$B$8*(L81)*Assumptions!$B$9+Assumptions!$B$10))+(D81)*Assumptions!$B$11*(L81)+(J81)*AC81*(Assumptions!$B$12+Assumptions!$B$13+IF((J81)*AC81&gt;=Assumptions!$B$16,Assumptions!$B$17,IF((J81)*AC81&gt;=Assumptions!$B$14,Assumptions!$B$15,0))))</f>
        <v>-923250</v>
      </c>
      <c r="AE81" s="46" t="n">
        <f aca="false">INDEX(Assumptions!$B$32:$B$44,MATCH(AG81,Assumptions!$A$32:$A$44,0))*(1+Assumptions!$B$26)</f>
        <v>1500</v>
      </c>
      <c r="AF81" s="47" t="n">
        <f aca="false">(J81)*AE81-(((D81)+(J81)*Assumptions!$B$4+IF(H81="Yes",Assumptions!$B$6*(D81),(J81)*Assumptions!$B$5))*(1+Assumptions!$B$7*(Assumptions!$B$8*(L81)*Assumptions!$B$9+Assumptions!$B$10))+(D81)*Assumptions!$B$11*(L81)+(J81)*AE81*(Assumptions!$B$12+Assumptions!$B$13+IF((J81)*AE81&gt;=Assumptions!$B$16,Assumptions!$B$17,IF((J81)*AE81&gt;=Assumptions!$B$14,Assumptions!$B$15,0))))</f>
        <v>-33850</v>
      </c>
      <c r="AG81" s="40" t="s">
        <v>100</v>
      </c>
      <c r="AH81" s="45" t="n">
        <f aca="false">IF(G81&gt;0,G81,ROUND(F81*Assumptions!$B$18,0))</f>
        <v>2633</v>
      </c>
      <c r="AI81" s="45" t="n">
        <f aca="false">IF(H81="Yes",AH81,MAX(AH81,MIN(Assumptions!$B$20,ROUND(E81*Assumptions!$B$19,0))))</f>
        <v>8000</v>
      </c>
      <c r="AJ81" s="47" t="n">
        <f aca="false">(AH81)*AC81-(((D81)+(AH81)*Assumptions!$B$4+IF(H81="Yes",Assumptions!$B$6*(D81),(AH81)*Assumptions!$B$5))*(1+Assumptions!$B$7*(Assumptions!$B$8*(Assumptions!$B$21)*Assumptions!$B$9+Assumptions!$B$10))+(D81)*Assumptions!$B$11*(Assumptions!$B$21)+(AH81)*AC81*(Assumptions!$B$12+Assumptions!$B$13+IF((AH81)*AC81&gt;=Assumptions!$B$16,Assumptions!$B$17,IF((AH81)*AC81&gt;=Assumptions!$B$14,Assumptions!$B$15,0))))</f>
        <v>-2358153.30625</v>
      </c>
      <c r="AK81" s="47" t="n">
        <f aca="false">(AI81)*AC81-(((D81)+(AI81)*Assumptions!$B$4+IF(H81="Yes",Assumptions!$B$6*(D81),(AI81)*Assumptions!$B$5))*(1+Assumptions!$B$7*(Assumptions!$B$8*(IF(AI81&gt;AH81,Assumptions!$B$22,Assumptions!$B$21))*Assumptions!$B$9+Assumptions!$B$10))+(D81)*Assumptions!$B$11*(IF(AI81&gt;AH81,Assumptions!$B$22,Assumptions!$B$21))+(AI81)*AC81*(Assumptions!$B$12+Assumptions!$B$13+IF((AI81)*AC81&gt;=Assumptions!$B$16,Assumptions!$B$17,IF((AI81)*AC81&gt;=Assumptions!$B$14,Assumptions!$B$15,0))))</f>
        <v>-923250</v>
      </c>
      <c r="AL81" s="47" t="n">
        <f aca="false">Assumptions!$B$7*(O81+P81+Q81)</f>
        <v>6110000</v>
      </c>
    </row>
    <row r="82" customFormat="false" ht="15" hidden="false" customHeight="false" outlineLevel="0" collapsed="false">
      <c r="A82" s="40" t="n">
        <v>80</v>
      </c>
      <c r="B82" s="40" t="s">
        <v>208</v>
      </c>
      <c r="C82" s="40" t="s">
        <v>124</v>
      </c>
      <c r="D82" s="41" t="n">
        <v>2700000</v>
      </c>
      <c r="E82" s="42" t="n">
        <v>7502</v>
      </c>
      <c r="F82" s="42" t="n">
        <v>3760</v>
      </c>
      <c r="G82" s="42"/>
      <c r="H82" s="43" t="s">
        <v>67</v>
      </c>
      <c r="I82" s="44"/>
      <c r="J82" s="45" t="n">
        <f aca="false">IF(AK82&gt;AJ82,AI82,AH82)</f>
        <v>4136</v>
      </c>
      <c r="K82" s="40" t="str">
        <f aca="false">IF(AK82&gt;AJ82,"Zoning estimate",IF(H82="Yes","Approved plans",IF(G82&gt;0,"Listing claim","110% old house")))</f>
        <v>110% old house</v>
      </c>
      <c r="L82" s="45" t="n">
        <f aca="false">IF(AK82&gt;AJ82,IF(AI82&gt;AH82,Assumptions!$B$22,Assumptions!$B$21),Assumptions!$B$21)</f>
        <v>2</v>
      </c>
      <c r="M82" s="46" t="n">
        <f aca="false">INDEX(Assumptions!$B$32:$B$44,MATCH(AG82,Assumptions!$A$32:$A$44,0))*(1+IF(UPPER(Assumptions!$B$27)="WORST",Assumptions!$B$24,IF(UPPER(Assumptions!$B$27)="BEST",Assumptions!$B$26,Assumptions!$B$25)))</f>
        <v>1430</v>
      </c>
      <c r="N82" s="47" t="n">
        <f aca="false">J82*M82</f>
        <v>5914480</v>
      </c>
      <c r="O82" s="47" t="n">
        <f aca="false">D82</f>
        <v>2700000</v>
      </c>
      <c r="P82" s="47" t="n">
        <f aca="false">J82*Assumptions!$B$4</f>
        <v>2895200</v>
      </c>
      <c r="Q82" s="47" t="n">
        <f aca="false">IF(H82="Yes",Assumptions!$B$6*(D82),(J82)*Assumptions!$B$5)</f>
        <v>310200</v>
      </c>
      <c r="R82" s="47" t="n">
        <f aca="false">AL82*(Assumptions!$B$8*L82*Assumptions!$B$9+Assumptions!$B$10)</f>
        <v>518198.85</v>
      </c>
      <c r="S82" s="47" t="n">
        <f aca="false">O82*Assumptions!$B$11*L82</f>
        <v>64800</v>
      </c>
      <c r="T82" s="47" t="n">
        <f aca="false">N82*(Assumptions!$B$12+Assumptions!$B$13)</f>
        <v>328845.088</v>
      </c>
      <c r="U82" s="47" t="n">
        <f aca="false">N82*IF(N82&gt;=Assumptions!$B$16,Assumptions!$B$17,IF(N82&gt;=Assumptions!$B$14,Assumptions!$B$15,0))</f>
        <v>236579.2</v>
      </c>
      <c r="V82" s="48" t="n">
        <f aca="false">SUM(O82:U82)</f>
        <v>7053823.138</v>
      </c>
      <c r="W82" s="48" t="n">
        <f aca="false">N82-V82</f>
        <v>-1139343.138</v>
      </c>
      <c r="X82" s="49" t="n">
        <f aca="false">IF(V82=0,0,W82/V82)</f>
        <v>-0.161521364472861</v>
      </c>
      <c r="Y82" s="47" t="n">
        <f aca="false">MAX(0,(N82/(1+Assumptions!$B$23)-(J82*(Assumptions!$B$4+IF(H82="Yes",0,Assumptions!$B$5)))*(1+(Assumptions!$B$7*(Assumptions!$B$8*L82*Assumptions!$B$9+Assumptions!$B$10)))-N82*(Assumptions!$B$12+Assumptions!$B$13+IF(N82&gt;=Assumptions!$B$16,Assumptions!$B$17,IF(N82&gt;=Assumptions!$B$14,Assumptions!$B$15,0))))/((1+IF(H82="Yes",Assumptions!$B$6,0))*(1+(Assumptions!$B$7*(Assumptions!$B$8*L82*Assumptions!$B$9+Assumptions!$B$10)))+Assumptions!$B$11*L82))</f>
        <v>981270.923279985</v>
      </c>
      <c r="Z82" s="50" t="n">
        <f aca="false">IF(Y82&lt;=0,"no price works",D82/Y82)</f>
        <v>2.75153368549331</v>
      </c>
      <c r="AA82" s="46" t="n">
        <f aca="false">INDEX(Assumptions!$B$32:$B$44,MATCH(AG82,Assumptions!$A$32:$A$44,0))*(1+Assumptions!$B$24)</f>
        <v>1300</v>
      </c>
      <c r="AB82" s="47" t="n">
        <f aca="false">(J82)*AA82-(((D82)+(J82)*Assumptions!$B$4+IF(H82="Yes",Assumptions!$B$6*(D82),(J82)*Assumptions!$B$5))*(1+Assumptions!$B$7*(Assumptions!$B$8*(L82)*Assumptions!$B$9+Assumptions!$B$10))+(D82)*Assumptions!$B$11*(L82)+(J82)*AA82*(Assumptions!$B$12+Assumptions!$B$13+IF((J82)*AA82&gt;=Assumptions!$B$16,Assumptions!$B$17,IF((J82)*AA82&gt;=Assumptions!$B$14,Assumptions!$B$15,0))))</f>
        <v>-1410548.93</v>
      </c>
      <c r="AC82" s="46" t="n">
        <f aca="false">INDEX(Assumptions!$B$32:$B$44,MATCH(AG82,Assumptions!$A$32:$A$44,0))*(1+Assumptions!$B$25)</f>
        <v>1430</v>
      </c>
      <c r="AD82" s="47" t="n">
        <f aca="false">(J82)*AC82-(((D82)+(J82)*Assumptions!$B$4+IF(H82="Yes",Assumptions!$B$6*(D82),(J82)*Assumptions!$B$5))*(1+Assumptions!$B$7*(Assumptions!$B$8*(L82)*Assumptions!$B$9+Assumptions!$B$10))+(D82)*Assumptions!$B$11*(L82)+(J82)*AC82*(Assumptions!$B$12+Assumptions!$B$13+IF((J82)*AC82&gt;=Assumptions!$B$16,Assumptions!$B$17,IF((J82)*AC82&gt;=Assumptions!$B$14,Assumptions!$B$15,0))))</f>
        <v>-1139343.138</v>
      </c>
      <c r="AE82" s="46" t="n">
        <f aca="false">INDEX(Assumptions!$B$32:$B$44,MATCH(AG82,Assumptions!$A$32:$A$44,0))*(1+Assumptions!$B$26)</f>
        <v>1560</v>
      </c>
      <c r="AF82" s="47" t="n">
        <f aca="false">(J82)*AE82-(((D82)+(J82)*Assumptions!$B$4+IF(H82="Yes",Assumptions!$B$6*(D82),(J82)*Assumptions!$B$5))*(1+Assumptions!$B$7*(Assumptions!$B$8*(L82)*Assumptions!$B$9+Assumptions!$B$10))+(D82)*Assumptions!$B$11*(L82)+(J82)*AE82*(Assumptions!$B$12+Assumptions!$B$13+IF((J82)*AE82&gt;=Assumptions!$B$16,Assumptions!$B$17,IF((J82)*AE82&gt;=Assumptions!$B$14,Assumptions!$B$15,0))))</f>
        <v>-653065.346</v>
      </c>
      <c r="AG82" s="40" t="s">
        <v>126</v>
      </c>
      <c r="AH82" s="45" t="n">
        <f aca="false">IF(G82&gt;0,G82,ROUND(F82*Assumptions!$B$18,0))</f>
        <v>4136</v>
      </c>
      <c r="AI82" s="45" t="n">
        <f aca="false">IF(H82="Yes",AH82,MAX(AH82,MIN(Assumptions!$B$20,ROUND(E82*Assumptions!$B$19,0))))</f>
        <v>4136</v>
      </c>
      <c r="AJ82" s="47" t="n">
        <f aca="false">(AH82)*AC82-(((D82)+(AH82)*Assumptions!$B$4+IF(H82="Yes",Assumptions!$B$6*(D82),(AH82)*Assumptions!$B$5))*(1+Assumptions!$B$7*(Assumptions!$B$8*(Assumptions!$B$21)*Assumptions!$B$9+Assumptions!$B$10))+(D82)*Assumptions!$B$11*(Assumptions!$B$21)+(AH82)*AC82*(Assumptions!$B$12+Assumptions!$B$13+IF((AH82)*AC82&gt;=Assumptions!$B$16,Assumptions!$B$17,IF((AH82)*AC82&gt;=Assumptions!$B$14,Assumptions!$B$15,0))))</f>
        <v>-1139343.138</v>
      </c>
      <c r="AK82" s="47" t="n">
        <f aca="false">(AI82)*AC82-(((D82)+(AI82)*Assumptions!$B$4+IF(H82="Yes",Assumptions!$B$6*(D82),(AI82)*Assumptions!$B$5))*(1+Assumptions!$B$7*(Assumptions!$B$8*(IF(AI82&gt;AH82,Assumptions!$B$22,Assumptions!$B$21))*Assumptions!$B$9+Assumptions!$B$10))+(D82)*Assumptions!$B$11*(IF(AI82&gt;AH82,Assumptions!$B$22,Assumptions!$B$21))+(AI82)*AC82*(Assumptions!$B$12+Assumptions!$B$13+IF((AI82)*AC82&gt;=Assumptions!$B$16,Assumptions!$B$17,IF((AI82)*AC82&gt;=Assumptions!$B$14,Assumptions!$B$15,0))))</f>
        <v>-1139343.138</v>
      </c>
      <c r="AL82" s="47" t="n">
        <f aca="false">Assumptions!$B$7*(O82+P82+Q82)</f>
        <v>3838510</v>
      </c>
    </row>
    <row r="83" customFormat="false" ht="15" hidden="false" customHeight="false" outlineLevel="0" collapsed="false">
      <c r="A83" s="40" t="n">
        <v>81</v>
      </c>
      <c r="B83" s="40" t="s">
        <v>209</v>
      </c>
      <c r="C83" s="40" t="s">
        <v>124</v>
      </c>
      <c r="D83" s="41" t="n">
        <v>2900000</v>
      </c>
      <c r="E83" s="42" t="n">
        <v>13068</v>
      </c>
      <c r="F83" s="42" t="n">
        <v>3409</v>
      </c>
      <c r="G83" s="42"/>
      <c r="H83" s="43" t="s">
        <v>67</v>
      </c>
      <c r="I83" s="44" t="s">
        <v>210</v>
      </c>
      <c r="J83" s="45" t="n">
        <f aca="false">IF(AK83&gt;AJ83,AI83,AH83)</f>
        <v>5227</v>
      </c>
      <c r="K83" s="40" t="str">
        <f aca="false">IF(AK83&gt;AJ83,"Zoning estimate",IF(H83="Yes","Approved plans",IF(G83&gt;0,"Listing claim","110% old house")))</f>
        <v>Zoning estimate</v>
      </c>
      <c r="L83" s="45" t="n">
        <f aca="false">IF(AK83&gt;AJ83,IF(AI83&gt;AH83,Assumptions!$B$22,Assumptions!$B$21),Assumptions!$B$21)</f>
        <v>3</v>
      </c>
      <c r="M83" s="46" t="n">
        <f aca="false">INDEX(Assumptions!$B$32:$B$44,MATCH(AG83,Assumptions!$A$32:$A$44,0))*(1+IF(UPPER(Assumptions!$B$27)="WORST",Assumptions!$B$24,IF(UPPER(Assumptions!$B$27)="BEST",Assumptions!$B$26,Assumptions!$B$25)))</f>
        <v>1430</v>
      </c>
      <c r="N83" s="47" t="n">
        <f aca="false">J83*M83</f>
        <v>7474610</v>
      </c>
      <c r="O83" s="47" t="n">
        <f aca="false">D83</f>
        <v>2900000</v>
      </c>
      <c r="P83" s="47" t="n">
        <f aca="false">J83*Assumptions!$B$4</f>
        <v>3658900</v>
      </c>
      <c r="Q83" s="47" t="n">
        <f aca="false">IF(H83="Yes",Assumptions!$B$6*(D83),(J83)*Assumptions!$B$5)</f>
        <v>392025</v>
      </c>
      <c r="R83" s="47" t="n">
        <f aca="false">AL83*(Assumptions!$B$8*L83*Assumptions!$B$9+Assumptions!$B$10)</f>
        <v>881029.74375</v>
      </c>
      <c r="S83" s="47" t="n">
        <f aca="false">O83*Assumptions!$B$11*L83</f>
        <v>104400</v>
      </c>
      <c r="T83" s="47" t="n">
        <f aca="false">N83*(Assumptions!$B$12+Assumptions!$B$13)</f>
        <v>415588.316</v>
      </c>
      <c r="U83" s="47" t="n">
        <f aca="false">N83*IF(N83&gt;=Assumptions!$B$16,Assumptions!$B$17,IF(N83&gt;=Assumptions!$B$14,Assumptions!$B$15,0))</f>
        <v>298984.4</v>
      </c>
      <c r="V83" s="48" t="n">
        <f aca="false">SUM(O83:U83)</f>
        <v>8650927.45975</v>
      </c>
      <c r="W83" s="48" t="n">
        <f aca="false">N83-V83</f>
        <v>-1176317.45975</v>
      </c>
      <c r="X83" s="49" t="n">
        <f aca="false">IF(V83=0,0,W83/V83)</f>
        <v>-0.135975878334783</v>
      </c>
      <c r="Y83" s="47" t="n">
        <f aca="false">MAX(0,(N83/(1+Assumptions!$B$23)-(J83*(Assumptions!$B$4+IF(H83="Yes",0,Assumptions!$B$5)))*(1+(Assumptions!$B$7*(Assumptions!$B$8*L83*Assumptions!$B$9+Assumptions!$B$10)))-N83*(Assumptions!$B$12+Assumptions!$B$13+IF(N83&gt;=Assumptions!$B$16,Assumptions!$B$17,IF(N83&gt;=Assumptions!$B$14,Assumptions!$B$15,0))))/((1+IF(H83="Yes",Assumptions!$B$6,0))*(1+(Assumptions!$B$7*(Assumptions!$B$8*L83*Assumptions!$B$9+Assumptions!$B$10)))+Assumptions!$B$11*L83))</f>
        <v>1049845.97705029</v>
      </c>
      <c r="Z83" s="50" t="n">
        <f aca="false">IF(Y83&lt;=0,"no price works",D83/Y83)</f>
        <v>2.76230996107451</v>
      </c>
      <c r="AA83" s="46" t="n">
        <f aca="false">INDEX(Assumptions!$B$32:$B$44,MATCH(AG83,Assumptions!$A$32:$A$44,0))*(1+Assumptions!$B$24)</f>
        <v>1300</v>
      </c>
      <c r="AB83" s="47" t="n">
        <f aca="false">(J83)*AA83-(((D83)+(J83)*Assumptions!$B$4+IF(H83="Yes",Assumptions!$B$6*(D83),(J83)*Assumptions!$B$5))*(1+Assumptions!$B$7*(Assumptions!$B$8*(L83)*Assumptions!$B$9+Assumptions!$B$10))+(D83)*Assumptions!$B$11*(L83)+(J83)*AA83*(Assumptions!$B$12+Assumptions!$B$13+IF((J83)*AA83&gt;=Assumptions!$B$16,Assumptions!$B$17,IF((J83)*AA83&gt;=Assumptions!$B$14,Assumptions!$B$15,0))))</f>
        <v>-1790866.30375</v>
      </c>
      <c r="AC83" s="46" t="n">
        <f aca="false">INDEX(Assumptions!$B$32:$B$44,MATCH(AG83,Assumptions!$A$32:$A$44,0))*(1+Assumptions!$B$25)</f>
        <v>1430</v>
      </c>
      <c r="AD83" s="47" t="n">
        <f aca="false">(J83)*AC83-(((D83)+(J83)*Assumptions!$B$4+IF(H83="Yes",Assumptions!$B$6*(D83),(J83)*Assumptions!$B$5))*(1+Assumptions!$B$7*(Assumptions!$B$8*(L83)*Assumptions!$B$9+Assumptions!$B$10))+(D83)*Assumptions!$B$11*(L83)+(J83)*AC83*(Assumptions!$B$12+Assumptions!$B$13+IF((J83)*AC83&gt;=Assumptions!$B$16,Assumptions!$B$17,IF((J83)*AC83&gt;=Assumptions!$B$14,Assumptions!$B$15,0))))</f>
        <v>-1176317.45975</v>
      </c>
      <c r="AE83" s="46" t="n">
        <f aca="false">INDEX(Assumptions!$B$32:$B$44,MATCH(AG83,Assumptions!$A$32:$A$44,0))*(1+Assumptions!$B$26)</f>
        <v>1560</v>
      </c>
      <c r="AF83" s="47" t="n">
        <f aca="false">(J83)*AE83-(((D83)+(J83)*Assumptions!$B$4+IF(H83="Yes",Assumptions!$B$6*(D83),(J83)*Assumptions!$B$5))*(1+Assumptions!$B$7*(Assumptions!$B$8*(L83)*Assumptions!$B$9+Assumptions!$B$10))+(D83)*Assumptions!$B$11*(L83)+(J83)*AE83*(Assumptions!$B$12+Assumptions!$B$13+IF((J83)*AE83&gt;=Assumptions!$B$16,Assumptions!$B$17,IF((J83)*AE83&gt;=Assumptions!$B$14,Assumptions!$B$15,0))))</f>
        <v>-561768.61575</v>
      </c>
      <c r="AG83" s="40" t="s">
        <v>126</v>
      </c>
      <c r="AH83" s="45" t="n">
        <f aca="false">IF(G83&gt;0,G83,ROUND(F83*Assumptions!$B$18,0))</f>
        <v>3750</v>
      </c>
      <c r="AI83" s="45" t="n">
        <f aca="false">IF(H83="Yes",AH83,MAX(AH83,MIN(Assumptions!$B$20,ROUND(E83*Assumptions!$B$19,0))))</f>
        <v>5227</v>
      </c>
      <c r="AJ83" s="47" t="n">
        <f aca="false">(AH83)*AC83-(((D83)+(AH83)*Assumptions!$B$4+IF(H83="Yes",Assumptions!$B$6*(D83),(AH83)*Assumptions!$B$5))*(1+Assumptions!$B$7*(Assumptions!$B$8*(Assumptions!$B$21)*Assumptions!$B$9+Assumptions!$B$10))+(D83)*Assumptions!$B$11*(Assumptions!$B$21)+(AH83)*AC83*(Assumptions!$B$12+Assumptions!$B$13+IF((AH83)*AC83&gt;=Assumptions!$B$16,Assumptions!$B$17,IF((AH83)*AC83&gt;=Assumptions!$B$14,Assumptions!$B$15,0))))</f>
        <v>-1321003.4375</v>
      </c>
      <c r="AK83" s="47" t="n">
        <f aca="false">(AI83)*AC83-(((D83)+(AI83)*Assumptions!$B$4+IF(H83="Yes",Assumptions!$B$6*(D83),(AI83)*Assumptions!$B$5))*(1+Assumptions!$B$7*(Assumptions!$B$8*(IF(AI83&gt;AH83,Assumptions!$B$22,Assumptions!$B$21))*Assumptions!$B$9+Assumptions!$B$10))+(D83)*Assumptions!$B$11*(IF(AI83&gt;AH83,Assumptions!$B$22,Assumptions!$B$21))+(AI83)*AC83*(Assumptions!$B$12+Assumptions!$B$13+IF((AI83)*AC83&gt;=Assumptions!$B$16,Assumptions!$B$17,IF((AI83)*AC83&gt;=Assumptions!$B$14,Assumptions!$B$15,0))))</f>
        <v>-1176317.45975</v>
      </c>
      <c r="AL83" s="47" t="n">
        <f aca="false">Assumptions!$B$7*(O83+P83+Q83)</f>
        <v>4518101.25</v>
      </c>
    </row>
    <row r="84" customFormat="false" ht="15" hidden="false" customHeight="false" outlineLevel="0" collapsed="false">
      <c r="A84" s="40" t="n">
        <v>82</v>
      </c>
      <c r="B84" s="40" t="s">
        <v>211</v>
      </c>
      <c r="C84" s="40" t="s">
        <v>124</v>
      </c>
      <c r="D84" s="41" t="n">
        <v>2795000</v>
      </c>
      <c r="E84" s="42" t="n">
        <v>6002</v>
      </c>
      <c r="F84" s="42" t="n">
        <v>3179</v>
      </c>
      <c r="G84" s="42"/>
      <c r="H84" s="43" t="s">
        <v>67</v>
      </c>
      <c r="I84" s="44" t="s">
        <v>212</v>
      </c>
      <c r="J84" s="45" t="n">
        <f aca="false">IF(AK84&gt;AJ84,AI84,AH84)</f>
        <v>3497</v>
      </c>
      <c r="K84" s="40" t="str">
        <f aca="false">IF(AK84&gt;AJ84,"Zoning estimate",IF(H84="Yes","Approved plans",IF(G84&gt;0,"Listing claim","110% old house")))</f>
        <v>110% old house</v>
      </c>
      <c r="L84" s="45" t="n">
        <f aca="false">IF(AK84&gt;AJ84,IF(AI84&gt;AH84,Assumptions!$B$22,Assumptions!$B$21),Assumptions!$B$21)</f>
        <v>2</v>
      </c>
      <c r="M84" s="46" t="n">
        <f aca="false">INDEX(Assumptions!$B$32:$B$44,MATCH(AG84,Assumptions!$A$32:$A$44,0))*(1+IF(UPPER(Assumptions!$B$27)="WORST",Assumptions!$B$24,IF(UPPER(Assumptions!$B$27)="BEST",Assumptions!$B$26,Assumptions!$B$25)))</f>
        <v>1430</v>
      </c>
      <c r="N84" s="47" t="n">
        <f aca="false">J84*M84</f>
        <v>5000710</v>
      </c>
      <c r="O84" s="47" t="n">
        <f aca="false">D84</f>
        <v>2795000</v>
      </c>
      <c r="P84" s="47" t="n">
        <f aca="false">J84*Assumptions!$B$4</f>
        <v>2447900</v>
      </c>
      <c r="Q84" s="47" t="n">
        <f aca="false">IF(H84="Yes",Assumptions!$B$6*(D84),(J84)*Assumptions!$B$5)</f>
        <v>262275</v>
      </c>
      <c r="R84" s="47" t="n">
        <f aca="false">AL84*(Assumptions!$B$8*L84*Assumptions!$B$9+Assumptions!$B$10)</f>
        <v>483079.10625</v>
      </c>
      <c r="S84" s="47" t="n">
        <f aca="false">O84*Assumptions!$B$11*L84</f>
        <v>67080</v>
      </c>
      <c r="T84" s="47" t="n">
        <f aca="false">N84*(Assumptions!$B$12+Assumptions!$B$13)</f>
        <v>278039.476</v>
      </c>
      <c r="U84" s="47" t="n">
        <f aca="false">N84*IF(N84&gt;=Assumptions!$B$16,Assumptions!$B$17,IF(N84&gt;=Assumptions!$B$14,Assumptions!$B$15,0))</f>
        <v>0</v>
      </c>
      <c r="V84" s="48" t="n">
        <f aca="false">SUM(O84:U84)</f>
        <v>6333373.58225</v>
      </c>
      <c r="W84" s="48" t="n">
        <f aca="false">N84-V84</f>
        <v>-1332663.58225</v>
      </c>
      <c r="X84" s="49" t="n">
        <f aca="false">IF(V84=0,0,W84/V84)</f>
        <v>-0.210419228384844</v>
      </c>
      <c r="Y84" s="47" t="n">
        <f aca="false">MAX(0,(N84/(1+Assumptions!$B$23)-(J84*(Assumptions!$B$4+IF(H84="Yes",0,Assumptions!$B$5)))*(1+(Assumptions!$B$7*(Assumptions!$B$8*L84*Assumptions!$B$9+Assumptions!$B$10)))-N84*(Assumptions!$B$12+Assumptions!$B$13+IF(N84&gt;=Assumptions!$B$16,Assumptions!$B$17,IF(N84&gt;=Assumptions!$B$14,Assumptions!$B$15,0))))/((1+IF(H84="Yes",Assumptions!$B$6,0))*(1+(Assumptions!$B$7*(Assumptions!$B$8*L84*Assumptions!$B$9+Assumptions!$B$10)))+Assumptions!$B$11*L84))</f>
        <v>1009589.51743726</v>
      </c>
      <c r="Z84" s="50" t="n">
        <f aca="false">IF(Y84&lt;=0,"no price works",D84/Y84)</f>
        <v>2.76845188239952</v>
      </c>
      <c r="AA84" s="46" t="n">
        <f aca="false">INDEX(Assumptions!$B$32:$B$44,MATCH(AG84,Assumptions!$A$32:$A$44,0))*(1+Assumptions!$B$24)</f>
        <v>1300</v>
      </c>
      <c r="AB84" s="47" t="n">
        <f aca="false">(J84)*AA84-(((D84)+(J84)*Assumptions!$B$4+IF(H84="Yes",Assumptions!$B$6*(D84),(J84)*Assumptions!$B$5))*(1+Assumptions!$B$7*(Assumptions!$B$8*(L84)*Assumptions!$B$9+Assumptions!$B$10))+(D84)*Assumptions!$B$11*(L84)+(J84)*AA84*(Assumptions!$B$12+Assumptions!$B$13+IF((J84)*AA84&gt;=Assumptions!$B$16,Assumptions!$B$17,IF((J84)*AA84&gt;=Assumptions!$B$14,Assumptions!$B$15,0))))</f>
        <v>-1761997.26625</v>
      </c>
      <c r="AC84" s="46" t="n">
        <f aca="false">INDEX(Assumptions!$B$32:$B$44,MATCH(AG84,Assumptions!$A$32:$A$44,0))*(1+Assumptions!$B$25)</f>
        <v>1430</v>
      </c>
      <c r="AD84" s="47" t="n">
        <f aca="false">(J84)*AC84-(((D84)+(J84)*Assumptions!$B$4+IF(H84="Yes",Assumptions!$B$6*(D84),(J84)*Assumptions!$B$5))*(1+Assumptions!$B$7*(Assumptions!$B$8*(L84)*Assumptions!$B$9+Assumptions!$B$10))+(D84)*Assumptions!$B$11*(L84)+(J84)*AC84*(Assumptions!$B$12+Assumptions!$B$13+IF((J84)*AC84&gt;=Assumptions!$B$16,Assumptions!$B$17,IF((J84)*AC84&gt;=Assumptions!$B$14,Assumptions!$B$15,0))))</f>
        <v>-1332663.58225</v>
      </c>
      <c r="AE84" s="46" t="n">
        <f aca="false">INDEX(Assumptions!$B$32:$B$44,MATCH(AG84,Assumptions!$A$32:$A$44,0))*(1+Assumptions!$B$26)</f>
        <v>1560</v>
      </c>
      <c r="AF84" s="47" t="n">
        <f aca="false">(J84)*AE84-(((D84)+(J84)*Assumptions!$B$4+IF(H84="Yes",Assumptions!$B$6*(D84),(J84)*Assumptions!$B$5))*(1+Assumptions!$B$7*(Assumptions!$B$8*(L84)*Assumptions!$B$9+Assumptions!$B$10))+(D84)*Assumptions!$B$11*(L84)+(J84)*AE84*(Assumptions!$B$12+Assumptions!$B$13+IF((J84)*AE84&gt;=Assumptions!$B$16,Assumptions!$B$17,IF((J84)*AE84&gt;=Assumptions!$B$14,Assumptions!$B$15,0))))</f>
        <v>-1121542.69825</v>
      </c>
      <c r="AG84" s="40" t="s">
        <v>126</v>
      </c>
      <c r="AH84" s="45" t="n">
        <f aca="false">IF(G84&gt;0,G84,ROUND(F84*Assumptions!$B$18,0))</f>
        <v>3497</v>
      </c>
      <c r="AI84" s="45" t="n">
        <f aca="false">IF(H84="Yes",AH84,MAX(AH84,MIN(Assumptions!$B$20,ROUND(E84*Assumptions!$B$19,0))))</f>
        <v>3497</v>
      </c>
      <c r="AJ84" s="47" t="n">
        <f aca="false">(AH84)*AC84-(((D84)+(AH84)*Assumptions!$B$4+IF(H84="Yes",Assumptions!$B$6*(D84),(AH84)*Assumptions!$B$5))*(1+Assumptions!$B$7*(Assumptions!$B$8*(Assumptions!$B$21)*Assumptions!$B$9+Assumptions!$B$10))+(D84)*Assumptions!$B$11*(Assumptions!$B$21)+(AH84)*AC84*(Assumptions!$B$12+Assumptions!$B$13+IF((AH84)*AC84&gt;=Assumptions!$B$16,Assumptions!$B$17,IF((AH84)*AC84&gt;=Assumptions!$B$14,Assumptions!$B$15,0))))</f>
        <v>-1332663.58225</v>
      </c>
      <c r="AK84" s="47" t="n">
        <f aca="false">(AI84)*AC84-(((D84)+(AI84)*Assumptions!$B$4+IF(H84="Yes",Assumptions!$B$6*(D84),(AI84)*Assumptions!$B$5))*(1+Assumptions!$B$7*(Assumptions!$B$8*(IF(AI84&gt;AH84,Assumptions!$B$22,Assumptions!$B$21))*Assumptions!$B$9+Assumptions!$B$10))+(D84)*Assumptions!$B$11*(IF(AI84&gt;AH84,Assumptions!$B$22,Assumptions!$B$21))+(AI84)*AC84*(Assumptions!$B$12+Assumptions!$B$13+IF((AI84)*AC84&gt;=Assumptions!$B$16,Assumptions!$B$17,IF((AI84)*AC84&gt;=Assumptions!$B$14,Assumptions!$B$15,0))))</f>
        <v>-1332663.58225</v>
      </c>
      <c r="AL84" s="47" t="n">
        <f aca="false">Assumptions!$B$7*(O84+P84+Q84)</f>
        <v>3578363.75</v>
      </c>
    </row>
    <row r="85" customFormat="false" ht="15" hidden="false" customHeight="false" outlineLevel="0" collapsed="false">
      <c r="A85" s="40" t="n">
        <v>83</v>
      </c>
      <c r="B85" s="40" t="s">
        <v>213</v>
      </c>
      <c r="C85" s="40" t="s">
        <v>98</v>
      </c>
      <c r="D85" s="41" t="n">
        <v>2995000</v>
      </c>
      <c r="E85" s="42" t="n">
        <v>16126</v>
      </c>
      <c r="F85" s="42" t="n">
        <v>5044</v>
      </c>
      <c r="G85" s="42"/>
      <c r="H85" s="43" t="s">
        <v>67</v>
      </c>
      <c r="I85" s="44" t="s">
        <v>214</v>
      </c>
      <c r="J85" s="45" t="n">
        <f aca="false">IF(AK85&gt;AJ85,AI85,AH85)</f>
        <v>6450</v>
      </c>
      <c r="K85" s="40" t="str">
        <f aca="false">IF(AK85&gt;AJ85,"Zoning estimate",IF(H85="Yes","Approved plans",IF(G85&gt;0,"Listing claim","110% old house")))</f>
        <v>Zoning estimate</v>
      </c>
      <c r="L85" s="45" t="n">
        <f aca="false">IF(AK85&gt;AJ85,IF(AI85&gt;AH85,Assumptions!$B$22,Assumptions!$B$21),Assumptions!$B$21)</f>
        <v>3</v>
      </c>
      <c r="M85" s="46" t="n">
        <f aca="false">INDEX(Assumptions!$B$32:$B$44,MATCH(AG85,Assumptions!$A$32:$A$44,0))*(1+IF(UPPER(Assumptions!$B$27)="WORST",Assumptions!$B$24,IF(UPPER(Assumptions!$B$27)="BEST",Assumptions!$B$26,Assumptions!$B$25)))</f>
        <v>1375</v>
      </c>
      <c r="N85" s="47" t="n">
        <f aca="false">J85*M85</f>
        <v>8868750</v>
      </c>
      <c r="O85" s="47" t="n">
        <f aca="false">D85</f>
        <v>2995000</v>
      </c>
      <c r="P85" s="47" t="n">
        <f aca="false">J85*Assumptions!$B$4</f>
        <v>4515000</v>
      </c>
      <c r="Q85" s="47" t="n">
        <f aca="false">IF(H85="Yes",Assumptions!$B$6*(D85),(J85)*Assumptions!$B$5)</f>
        <v>483750</v>
      </c>
      <c r="R85" s="47" t="n">
        <f aca="false">AL85*(Assumptions!$B$8*L85*Assumptions!$B$9+Assumptions!$B$10)</f>
        <v>1013207.8125</v>
      </c>
      <c r="S85" s="47" t="n">
        <f aca="false">O85*Assumptions!$B$11*L85</f>
        <v>107820</v>
      </c>
      <c r="T85" s="47" t="n">
        <f aca="false">N85*(Assumptions!$B$12+Assumptions!$B$13)</f>
        <v>493102.5</v>
      </c>
      <c r="U85" s="47" t="n">
        <f aca="false">N85*IF(N85&gt;=Assumptions!$B$16,Assumptions!$B$17,IF(N85&gt;=Assumptions!$B$14,Assumptions!$B$15,0))</f>
        <v>354750</v>
      </c>
      <c r="V85" s="48" t="n">
        <f aca="false">SUM(O85:U85)</f>
        <v>9962630.3125</v>
      </c>
      <c r="W85" s="48" t="n">
        <f aca="false">N85-V85</f>
        <v>-1093880.3125</v>
      </c>
      <c r="X85" s="49" t="n">
        <f aca="false">IF(V85=0,0,W85/V85)</f>
        <v>-0.109798344231194</v>
      </c>
      <c r="Y85" s="47" t="n">
        <f aca="false">MAX(0,(N85/(1+Assumptions!$B$23)-(J85*(Assumptions!$B$4+IF(H85="Yes",0,Assumptions!$B$5)))*(1+(Assumptions!$B$7*(Assumptions!$B$8*L85*Assumptions!$B$9+Assumptions!$B$10)))-N85*(Assumptions!$B$12+Assumptions!$B$13+IF(N85&gt;=Assumptions!$B$16,Assumptions!$B$17,IF(N85&gt;=Assumptions!$B$14,Assumptions!$B$15,0))))/((1+IF(H85="Yes",Assumptions!$B$6,0))*(1+(Assumptions!$B$7*(Assumptions!$B$8*L85*Assumptions!$B$9+Assumptions!$B$10)))+Assumptions!$B$11*L85))</f>
        <v>1059352.79229338</v>
      </c>
      <c r="Z85" s="50" t="n">
        <f aca="false">IF(Y85&lt;=0,"no price works",D85/Y85)</f>
        <v>2.82719790969367</v>
      </c>
      <c r="AA85" s="46" t="n">
        <f aca="false">INDEX(Assumptions!$B$32:$B$44,MATCH(AG85,Assumptions!$A$32:$A$44,0))*(1+Assumptions!$B$24)</f>
        <v>1250</v>
      </c>
      <c r="AB85" s="47" t="n">
        <f aca="false">(J85)*AA85-(((D85)+(J85)*Assumptions!$B$4+IF(H85="Yes",Assumptions!$B$6*(D85),(J85)*Assumptions!$B$5))*(1+Assumptions!$B$7*(Assumptions!$B$8*(L85)*Assumptions!$B$9+Assumptions!$B$10))+(D85)*Assumptions!$B$11*(L85)+(J85)*AA85*(Assumptions!$B$12+Assumptions!$B$13+IF((J85)*AA85&gt;=Assumptions!$B$16,Assumptions!$B$17,IF((J85)*AA85&gt;=Assumptions!$B$14,Assumptions!$B$15,0))))</f>
        <v>-1823052.8125</v>
      </c>
      <c r="AC85" s="46" t="n">
        <f aca="false">INDEX(Assumptions!$B$32:$B$44,MATCH(AG85,Assumptions!$A$32:$A$44,0))*(1+Assumptions!$B$25)</f>
        <v>1375</v>
      </c>
      <c r="AD85" s="47" t="n">
        <f aca="false">(J85)*AC85-(((D85)+(J85)*Assumptions!$B$4+IF(H85="Yes",Assumptions!$B$6*(D85),(J85)*Assumptions!$B$5))*(1+Assumptions!$B$7*(Assumptions!$B$8*(L85)*Assumptions!$B$9+Assumptions!$B$10))+(D85)*Assumptions!$B$11*(L85)+(J85)*AC85*(Assumptions!$B$12+Assumptions!$B$13+IF((J85)*AC85&gt;=Assumptions!$B$16,Assumptions!$B$17,IF((J85)*AC85&gt;=Assumptions!$B$14,Assumptions!$B$15,0))))</f>
        <v>-1093880.3125</v>
      </c>
      <c r="AE85" s="46" t="n">
        <f aca="false">INDEX(Assumptions!$B$32:$B$44,MATCH(AG85,Assumptions!$A$32:$A$44,0))*(1+Assumptions!$B$26)</f>
        <v>1500</v>
      </c>
      <c r="AF85" s="47" t="n">
        <f aca="false">(J85)*AE85-(((D85)+(J85)*Assumptions!$B$4+IF(H85="Yes",Assumptions!$B$6*(D85),(J85)*Assumptions!$B$5))*(1+Assumptions!$B$7*(Assumptions!$B$8*(L85)*Assumptions!$B$9+Assumptions!$B$10))+(D85)*Assumptions!$B$11*(L85)+(J85)*AE85*(Assumptions!$B$12+Assumptions!$B$13+IF((J85)*AE85&gt;=Assumptions!$B$16,Assumptions!$B$17,IF((J85)*AE85&gt;=Assumptions!$B$14,Assumptions!$B$15,0))))</f>
        <v>-364707.8125</v>
      </c>
      <c r="AG85" s="40" t="s">
        <v>100</v>
      </c>
      <c r="AH85" s="45" t="n">
        <f aca="false">IF(G85&gt;0,G85,ROUND(F85*Assumptions!$B$18,0))</f>
        <v>5548</v>
      </c>
      <c r="AI85" s="45" t="n">
        <f aca="false">IF(H85="Yes",AH85,MAX(AH85,MIN(Assumptions!$B$20,ROUND(E85*Assumptions!$B$19,0))))</f>
        <v>6450</v>
      </c>
      <c r="AJ85" s="47" t="n">
        <f aca="false">(AH85)*AC85-(((D85)+(AH85)*Assumptions!$B$4+IF(H85="Yes",Assumptions!$B$6*(D85),(AH85)*Assumptions!$B$5))*(1+Assumptions!$B$7*(Assumptions!$B$8*(Assumptions!$B$21)*Assumptions!$B$9+Assumptions!$B$10))+(D85)*Assumptions!$B$11*(Assumptions!$B$21)+(AH85)*AC85*(Assumptions!$B$12+Assumptions!$B$13+IF((AH85)*AC85&gt;=Assumptions!$B$16,Assumptions!$B$17,IF((AH85)*AC85&gt;=Assumptions!$B$14,Assumptions!$B$15,0))))</f>
        <v>-1107474.525</v>
      </c>
      <c r="AK85" s="47" t="n">
        <f aca="false">(AI85)*AC85-(((D85)+(AI85)*Assumptions!$B$4+IF(H85="Yes",Assumptions!$B$6*(D85),(AI85)*Assumptions!$B$5))*(1+Assumptions!$B$7*(Assumptions!$B$8*(IF(AI85&gt;AH85,Assumptions!$B$22,Assumptions!$B$21))*Assumptions!$B$9+Assumptions!$B$10))+(D85)*Assumptions!$B$11*(IF(AI85&gt;AH85,Assumptions!$B$22,Assumptions!$B$21))+(AI85)*AC85*(Assumptions!$B$12+Assumptions!$B$13+IF((AI85)*AC85&gt;=Assumptions!$B$16,Assumptions!$B$17,IF((AI85)*AC85&gt;=Assumptions!$B$14,Assumptions!$B$15,0))))</f>
        <v>-1093880.3125</v>
      </c>
      <c r="AL85" s="47" t="n">
        <f aca="false">Assumptions!$B$7*(O85+P85+Q85)</f>
        <v>5195937.5</v>
      </c>
    </row>
    <row r="86" customFormat="false" ht="15" hidden="false" customHeight="false" outlineLevel="0" collapsed="false">
      <c r="A86" s="40" t="n">
        <v>84</v>
      </c>
      <c r="B86" s="40" t="s">
        <v>215</v>
      </c>
      <c r="C86" s="40" t="s">
        <v>124</v>
      </c>
      <c r="D86" s="41" t="n">
        <v>4300000</v>
      </c>
      <c r="E86" s="42" t="n">
        <v>18307</v>
      </c>
      <c r="F86" s="42" t="n">
        <v>5817</v>
      </c>
      <c r="G86" s="42"/>
      <c r="H86" s="43" t="s">
        <v>67</v>
      </c>
      <c r="I86" s="44"/>
      <c r="J86" s="45" t="n">
        <f aca="false">IF(AK86&gt;AJ86,AI86,AH86)</f>
        <v>6399</v>
      </c>
      <c r="K86" s="40" t="str">
        <f aca="false">IF(AK86&gt;AJ86,"Zoning estimate",IF(H86="Yes","Approved plans",IF(G86&gt;0,"Listing claim","110% old house")))</f>
        <v>110% old house</v>
      </c>
      <c r="L86" s="45" t="n">
        <f aca="false">IF(AK86&gt;AJ86,IF(AI86&gt;AH86,Assumptions!$B$22,Assumptions!$B$21),Assumptions!$B$21)</f>
        <v>2</v>
      </c>
      <c r="M86" s="46" t="n">
        <f aca="false">INDEX(Assumptions!$B$32:$B$44,MATCH(AG86,Assumptions!$A$32:$A$44,0))*(1+IF(UPPER(Assumptions!$B$27)="WORST",Assumptions!$B$24,IF(UPPER(Assumptions!$B$27)="BEST",Assumptions!$B$26,Assumptions!$B$25)))</f>
        <v>1430</v>
      </c>
      <c r="N86" s="47" t="n">
        <f aca="false">J86*M86</f>
        <v>9150570</v>
      </c>
      <c r="O86" s="47" t="n">
        <f aca="false">D86</f>
        <v>4300000</v>
      </c>
      <c r="P86" s="47" t="n">
        <f aca="false">J86*Assumptions!$B$4</f>
        <v>4479300</v>
      </c>
      <c r="Q86" s="47" t="n">
        <f aca="false">IF(H86="Yes",Assumptions!$B$6*(D86),(J86)*Assumptions!$B$5)</f>
        <v>479925</v>
      </c>
      <c r="R86" s="47" t="n">
        <f aca="false">AL86*(Assumptions!$B$8*L86*Assumptions!$B$9+Assumptions!$B$10)</f>
        <v>812496.99375</v>
      </c>
      <c r="S86" s="47" t="n">
        <f aca="false">O86*Assumptions!$B$11*L86</f>
        <v>103200</v>
      </c>
      <c r="T86" s="47" t="n">
        <f aca="false">N86*(Assumptions!$B$12+Assumptions!$B$13)</f>
        <v>508771.692</v>
      </c>
      <c r="U86" s="47" t="n">
        <f aca="false">N86*IF(N86&gt;=Assumptions!$B$16,Assumptions!$B$17,IF(N86&gt;=Assumptions!$B$14,Assumptions!$B$15,0))</f>
        <v>366022.8</v>
      </c>
      <c r="V86" s="48" t="n">
        <f aca="false">SUM(O86:U86)</f>
        <v>11049716.48575</v>
      </c>
      <c r="W86" s="48" t="n">
        <f aca="false">N86-V86</f>
        <v>-1899146.48575</v>
      </c>
      <c r="X86" s="49" t="n">
        <f aca="false">IF(V86=0,0,W86/V86)</f>
        <v>-0.171872870059534</v>
      </c>
      <c r="Y86" s="47" t="n">
        <f aca="false">MAX(0,(N86/(1+Assumptions!$B$23)-(J86*(Assumptions!$B$4+IF(H86="Yes",0,Assumptions!$B$5)))*(1+(Assumptions!$B$7*(Assumptions!$B$8*L86*Assumptions!$B$9+Assumptions!$B$10)))-N86*(Assumptions!$B$12+Assumptions!$B$13+IF(N86&gt;=Assumptions!$B$16,Assumptions!$B$17,IF(N86&gt;=Assumptions!$B$14,Assumptions!$B$15,0))))/((1+IF(H86="Yes",Assumptions!$B$6,0))*(1+(Assumptions!$B$7*(Assumptions!$B$8*L86*Assumptions!$B$9+Assumptions!$B$10)))+Assumptions!$B$11*L86))</f>
        <v>1518170.36703787</v>
      </c>
      <c r="Z86" s="50" t="n">
        <f aca="false">IF(Y86&lt;=0,"no price works",D86/Y86)</f>
        <v>2.83235669287223</v>
      </c>
      <c r="AA86" s="46" t="n">
        <f aca="false">INDEX(Assumptions!$B$32:$B$44,MATCH(AG86,Assumptions!$A$32:$A$44,0))*(1+Assumptions!$B$24)</f>
        <v>1300</v>
      </c>
      <c r="AB86" s="47" t="n">
        <f aca="false">(J86)*AA86-(((D86)+(J86)*Assumptions!$B$4+IF(H86="Yes",Assumptions!$B$6*(D86),(J86)*Assumptions!$B$5))*(1+Assumptions!$B$7*(Assumptions!$B$8*(L86)*Assumptions!$B$9+Assumptions!$B$10))+(D86)*Assumptions!$B$11*(L86)+(J86)*AA86*(Assumptions!$B$12+Assumptions!$B$13+IF((J86)*AA86&gt;=Assumptions!$B$16,Assumptions!$B$17,IF((J86)*AA86&gt;=Assumptions!$B$14,Assumptions!$B$15,0))))</f>
        <v>-2651489.71375</v>
      </c>
      <c r="AC86" s="46" t="n">
        <f aca="false">INDEX(Assumptions!$B$32:$B$44,MATCH(AG86,Assumptions!$A$32:$A$44,0))*(1+Assumptions!$B$25)</f>
        <v>1430</v>
      </c>
      <c r="AD86" s="47" t="n">
        <f aca="false">(J86)*AC86-(((D86)+(J86)*Assumptions!$B$4+IF(H86="Yes",Assumptions!$B$6*(D86),(J86)*Assumptions!$B$5))*(1+Assumptions!$B$7*(Assumptions!$B$8*(L86)*Assumptions!$B$9+Assumptions!$B$10))+(D86)*Assumptions!$B$11*(L86)+(J86)*AC86*(Assumptions!$B$12+Assumptions!$B$13+IF((J86)*AC86&gt;=Assumptions!$B$16,Assumptions!$B$17,IF((J86)*AC86&gt;=Assumptions!$B$14,Assumptions!$B$15,0))))</f>
        <v>-1899146.48575</v>
      </c>
      <c r="AE86" s="46" t="n">
        <f aca="false">INDEX(Assumptions!$B$32:$B$44,MATCH(AG86,Assumptions!$A$32:$A$44,0))*(1+Assumptions!$B$26)</f>
        <v>1560</v>
      </c>
      <c r="AF86" s="47" t="n">
        <f aca="false">(J86)*AE86-(((D86)+(J86)*Assumptions!$B$4+IF(H86="Yes",Assumptions!$B$6*(D86),(J86)*Assumptions!$B$5))*(1+Assumptions!$B$7*(Assumptions!$B$8*(L86)*Assumptions!$B$9+Assumptions!$B$10))+(D86)*Assumptions!$B$11*(L86)+(J86)*AE86*(Assumptions!$B$12+Assumptions!$B$13+IF((J86)*AE86&gt;=Assumptions!$B$16,Assumptions!$B$17,IF((J86)*AE86&gt;=Assumptions!$B$14,Assumptions!$B$15,0))))</f>
        <v>-1146803.25775</v>
      </c>
      <c r="AG86" s="40" t="s">
        <v>126</v>
      </c>
      <c r="AH86" s="45" t="n">
        <f aca="false">IF(G86&gt;0,G86,ROUND(F86*Assumptions!$B$18,0))</f>
        <v>6399</v>
      </c>
      <c r="AI86" s="45" t="n">
        <f aca="false">IF(H86="Yes",AH86,MAX(AH86,MIN(Assumptions!$B$20,ROUND(E86*Assumptions!$B$19,0))))</f>
        <v>7323</v>
      </c>
      <c r="AJ86" s="47" t="n">
        <f aca="false">(AH86)*AC86-(((D86)+(AH86)*Assumptions!$B$4+IF(H86="Yes",Assumptions!$B$6*(D86),(AH86)*Assumptions!$B$5))*(1+Assumptions!$B$7*(Assumptions!$B$8*(Assumptions!$B$21)*Assumptions!$B$9+Assumptions!$B$10))+(D86)*Assumptions!$B$11*(Assumptions!$B$21)+(AH86)*AC86*(Assumptions!$B$12+Assumptions!$B$13+IF((AH86)*AC86&gt;=Assumptions!$B$16,Assumptions!$B$17,IF((AH86)*AC86&gt;=Assumptions!$B$14,Assumptions!$B$15,0))))</f>
        <v>-1899146.48575</v>
      </c>
      <c r="AK86" s="47" t="n">
        <f aca="false">(AI86)*AC86-(((D86)+(AI86)*Assumptions!$B$4+IF(H86="Yes",Assumptions!$B$6*(D86),(AI86)*Assumptions!$B$5))*(1+Assumptions!$B$7*(Assumptions!$B$8*(IF(AI86&gt;AH86,Assumptions!$B$22,Assumptions!$B$21))*Assumptions!$B$9+Assumptions!$B$10))+(D86)*Assumptions!$B$11*(IF(AI86&gt;AH86,Assumptions!$B$22,Assumptions!$B$21))+(AI86)*AC86*(Assumptions!$B$12+Assumptions!$B$13+IF((AI86)*AC86&gt;=Assumptions!$B$16,Assumptions!$B$17,IF((AI86)*AC86&gt;=Assumptions!$B$14,Assumptions!$B$15,0))))</f>
        <v>-1923720.12775</v>
      </c>
      <c r="AL86" s="47" t="n">
        <f aca="false">Assumptions!$B$7*(O86+P86+Q86)</f>
        <v>6018496.25</v>
      </c>
    </row>
    <row r="87" customFormat="false" ht="15" hidden="false" customHeight="false" outlineLevel="0" collapsed="false">
      <c r="A87" s="40" t="n">
        <v>85</v>
      </c>
      <c r="B87" s="40" t="s">
        <v>216</v>
      </c>
      <c r="C87" s="40" t="s">
        <v>98</v>
      </c>
      <c r="D87" s="41" t="n">
        <v>2898000</v>
      </c>
      <c r="E87" s="42" t="n">
        <v>9631</v>
      </c>
      <c r="F87" s="42" t="n">
        <v>4603</v>
      </c>
      <c r="G87" s="42"/>
      <c r="H87" s="43" t="s">
        <v>67</v>
      </c>
      <c r="I87" s="44"/>
      <c r="J87" s="45" t="n">
        <f aca="false">IF(AK87&gt;AJ87,AI87,AH87)</f>
        <v>5063</v>
      </c>
      <c r="K87" s="40" t="str">
        <f aca="false">IF(AK87&gt;AJ87,"Zoning estimate",IF(H87="Yes","Approved plans",IF(G87&gt;0,"Listing claim","110% old house")))</f>
        <v>110% old house</v>
      </c>
      <c r="L87" s="45" t="n">
        <f aca="false">IF(AK87&gt;AJ87,IF(AI87&gt;AH87,Assumptions!$B$22,Assumptions!$B$21),Assumptions!$B$21)</f>
        <v>2</v>
      </c>
      <c r="M87" s="46" t="n">
        <f aca="false">INDEX(Assumptions!$B$32:$B$44,MATCH(AG87,Assumptions!$A$32:$A$44,0))*(1+IF(UPPER(Assumptions!$B$27)="WORST",Assumptions!$B$24,IF(UPPER(Assumptions!$B$27)="BEST",Assumptions!$B$26,Assumptions!$B$25)))</f>
        <v>1375</v>
      </c>
      <c r="N87" s="47" t="n">
        <f aca="false">J87*M87</f>
        <v>6961625</v>
      </c>
      <c r="O87" s="47" t="n">
        <f aca="false">D87</f>
        <v>2898000</v>
      </c>
      <c r="P87" s="47" t="n">
        <f aca="false">J87*Assumptions!$B$4</f>
        <v>3544100</v>
      </c>
      <c r="Q87" s="47" t="n">
        <f aca="false">IF(H87="Yes",Assumptions!$B$6*(D87),(J87)*Assumptions!$B$5)</f>
        <v>379725</v>
      </c>
      <c r="R87" s="47" t="n">
        <f aca="false">AL87*(Assumptions!$B$8*L87*Assumptions!$B$9+Assumptions!$B$10)</f>
        <v>598615.14375</v>
      </c>
      <c r="S87" s="47" t="n">
        <f aca="false">O87*Assumptions!$B$11*L87</f>
        <v>69552</v>
      </c>
      <c r="T87" s="47" t="n">
        <f aca="false">N87*(Assumptions!$B$12+Assumptions!$B$13)</f>
        <v>387066.35</v>
      </c>
      <c r="U87" s="47" t="n">
        <f aca="false">N87*IF(N87&gt;=Assumptions!$B$16,Assumptions!$B$17,IF(N87&gt;=Assumptions!$B$14,Assumptions!$B$15,0))</f>
        <v>278465</v>
      </c>
      <c r="V87" s="48" t="n">
        <f aca="false">SUM(O87:U87)</f>
        <v>8155523.49375</v>
      </c>
      <c r="W87" s="48" t="n">
        <f aca="false">N87-V87</f>
        <v>-1193898.49375</v>
      </c>
      <c r="X87" s="49" t="n">
        <f aca="false">IF(V87=0,0,W87/V87)</f>
        <v>-0.146391398990506</v>
      </c>
      <c r="Y87" s="47" t="n">
        <f aca="false">MAX(0,(N87/(1+Assumptions!$B$23)-(J87*(Assumptions!$B$4+IF(H87="Yes",0,Assumptions!$B$5)))*(1+(Assumptions!$B$7*(Assumptions!$B$8*L87*Assumptions!$B$9+Assumptions!$B$10)))-N87*(Assumptions!$B$12+Assumptions!$B$13+IF(N87&gt;=Assumptions!$B$16,Assumptions!$B$17,IF(N87&gt;=Assumptions!$B$14,Assumptions!$B$15,0))))/((1+IF(H87="Yes",Assumptions!$B$6,0))*(1+(Assumptions!$B$7*(Assumptions!$B$8*L87*Assumptions!$B$9+Assumptions!$B$10)))+Assumptions!$B$11*L87))</f>
        <v>1007344.24355452</v>
      </c>
      <c r="Z87" s="50" t="n">
        <f aca="false">IF(Y87&lt;=0,"no price works",D87/Y87)</f>
        <v>2.87687155462774</v>
      </c>
      <c r="AA87" s="46" t="n">
        <f aca="false">INDEX(Assumptions!$B$32:$B$44,MATCH(AG87,Assumptions!$A$32:$A$44,0))*(1+Assumptions!$B$24)</f>
        <v>1250</v>
      </c>
      <c r="AB87" s="47" t="n">
        <f aca="false">(J87)*AA87-(((D87)+(J87)*Assumptions!$B$4+IF(H87="Yes",Assumptions!$B$6*(D87),(J87)*Assumptions!$B$5))*(1+Assumptions!$B$7*(Assumptions!$B$8*(L87)*Assumptions!$B$9+Assumptions!$B$10))+(D87)*Assumptions!$B$11*(L87)+(J87)*AA87*(Assumptions!$B$12+Assumptions!$B$13+IF((J87)*AA87&gt;=Assumptions!$B$16,Assumptions!$B$17,IF((J87)*AA87&gt;=Assumptions!$B$14,Assumptions!$B$15,0))))</f>
        <v>-1766270.64375</v>
      </c>
      <c r="AC87" s="46" t="n">
        <f aca="false">INDEX(Assumptions!$B$32:$B$44,MATCH(AG87,Assumptions!$A$32:$A$44,0))*(1+Assumptions!$B$25)</f>
        <v>1375</v>
      </c>
      <c r="AD87" s="47" t="n">
        <f aca="false">(J87)*AC87-(((D87)+(J87)*Assumptions!$B$4+IF(H87="Yes",Assumptions!$B$6*(D87),(J87)*Assumptions!$B$5))*(1+Assumptions!$B$7*(Assumptions!$B$8*(L87)*Assumptions!$B$9+Assumptions!$B$10))+(D87)*Assumptions!$B$11*(L87)+(J87)*AC87*(Assumptions!$B$12+Assumptions!$B$13+IF((J87)*AC87&gt;=Assumptions!$B$16,Assumptions!$B$17,IF((J87)*AC87&gt;=Assumptions!$B$14,Assumptions!$B$15,0))))</f>
        <v>-1193898.49375</v>
      </c>
      <c r="AE87" s="46" t="n">
        <f aca="false">INDEX(Assumptions!$B$32:$B$44,MATCH(AG87,Assumptions!$A$32:$A$44,0))*(1+Assumptions!$B$26)</f>
        <v>1500</v>
      </c>
      <c r="AF87" s="47" t="n">
        <f aca="false">(J87)*AE87-(((D87)+(J87)*Assumptions!$B$4+IF(H87="Yes",Assumptions!$B$6*(D87),(J87)*Assumptions!$B$5))*(1+Assumptions!$B$7*(Assumptions!$B$8*(L87)*Assumptions!$B$9+Assumptions!$B$10))+(D87)*Assumptions!$B$11*(L87)+(J87)*AE87*(Assumptions!$B$12+Assumptions!$B$13+IF((J87)*AE87&gt;=Assumptions!$B$16,Assumptions!$B$17,IF((J87)*AE87&gt;=Assumptions!$B$14,Assumptions!$B$15,0))))</f>
        <v>-621526.34375</v>
      </c>
      <c r="AG87" s="40" t="s">
        <v>100</v>
      </c>
      <c r="AH87" s="45" t="n">
        <f aca="false">IF(G87&gt;0,G87,ROUND(F87*Assumptions!$B$18,0))</f>
        <v>5063</v>
      </c>
      <c r="AI87" s="45" t="n">
        <f aca="false">IF(H87="Yes",AH87,MAX(AH87,MIN(Assumptions!$B$20,ROUND(E87*Assumptions!$B$19,0))))</f>
        <v>5063</v>
      </c>
      <c r="AJ87" s="47" t="n">
        <f aca="false">(AH87)*AC87-(((D87)+(AH87)*Assumptions!$B$4+IF(H87="Yes",Assumptions!$B$6*(D87),(AH87)*Assumptions!$B$5))*(1+Assumptions!$B$7*(Assumptions!$B$8*(Assumptions!$B$21)*Assumptions!$B$9+Assumptions!$B$10))+(D87)*Assumptions!$B$11*(Assumptions!$B$21)+(AH87)*AC87*(Assumptions!$B$12+Assumptions!$B$13+IF((AH87)*AC87&gt;=Assumptions!$B$16,Assumptions!$B$17,IF((AH87)*AC87&gt;=Assumptions!$B$14,Assumptions!$B$15,0))))</f>
        <v>-1193898.49375</v>
      </c>
      <c r="AK87" s="47" t="n">
        <f aca="false">(AI87)*AC87-(((D87)+(AI87)*Assumptions!$B$4+IF(H87="Yes",Assumptions!$B$6*(D87),(AI87)*Assumptions!$B$5))*(1+Assumptions!$B$7*(Assumptions!$B$8*(IF(AI87&gt;AH87,Assumptions!$B$22,Assumptions!$B$21))*Assumptions!$B$9+Assumptions!$B$10))+(D87)*Assumptions!$B$11*(IF(AI87&gt;AH87,Assumptions!$B$22,Assumptions!$B$21))+(AI87)*AC87*(Assumptions!$B$12+Assumptions!$B$13+IF((AI87)*AC87&gt;=Assumptions!$B$16,Assumptions!$B$17,IF((AI87)*AC87&gt;=Assumptions!$B$14,Assumptions!$B$15,0))))</f>
        <v>-1193898.49375</v>
      </c>
      <c r="AL87" s="47" t="n">
        <f aca="false">Assumptions!$B$7*(O87+P87+Q87)</f>
        <v>4434186.25</v>
      </c>
    </row>
    <row r="88" customFormat="false" ht="15" hidden="false" customHeight="false" outlineLevel="0" collapsed="false">
      <c r="A88" s="40" t="n">
        <v>86</v>
      </c>
      <c r="B88" s="40" t="s">
        <v>217</v>
      </c>
      <c r="C88" s="40" t="s">
        <v>124</v>
      </c>
      <c r="D88" s="41" t="n">
        <v>2350000</v>
      </c>
      <c r="E88" s="42" t="n">
        <v>8135</v>
      </c>
      <c r="F88" s="42" t="n">
        <v>2269</v>
      </c>
      <c r="G88" s="42"/>
      <c r="H88" s="43" t="s">
        <v>67</v>
      </c>
      <c r="I88" s="44" t="s">
        <v>218</v>
      </c>
      <c r="J88" s="45" t="n">
        <f aca="false">IF(AK88&gt;AJ88,AI88,AH88)</f>
        <v>3254</v>
      </c>
      <c r="K88" s="40" t="str">
        <f aca="false">IF(AK88&gt;AJ88,"Zoning estimate",IF(H88="Yes","Approved plans",IF(G88&gt;0,"Listing claim","110% old house")))</f>
        <v>Zoning estimate</v>
      </c>
      <c r="L88" s="45" t="n">
        <f aca="false">IF(AK88&gt;AJ88,IF(AI88&gt;AH88,Assumptions!$B$22,Assumptions!$B$21),Assumptions!$B$21)</f>
        <v>3</v>
      </c>
      <c r="M88" s="46" t="n">
        <f aca="false">INDEX(Assumptions!$B$32:$B$44,MATCH(AG88,Assumptions!$A$32:$A$44,0))*(1+IF(UPPER(Assumptions!$B$27)="WORST",Assumptions!$B$24,IF(UPPER(Assumptions!$B$27)="BEST",Assumptions!$B$26,Assumptions!$B$25)))</f>
        <v>1430</v>
      </c>
      <c r="N88" s="47" t="n">
        <f aca="false">J88*M88</f>
        <v>4653220</v>
      </c>
      <c r="O88" s="47" t="n">
        <f aca="false">D88</f>
        <v>2350000</v>
      </c>
      <c r="P88" s="47" t="n">
        <f aca="false">J88*Assumptions!$B$4</f>
        <v>2277800</v>
      </c>
      <c r="Q88" s="47" t="n">
        <f aca="false">IF(H88="Yes",Assumptions!$B$6*(D88),(J88)*Assumptions!$B$5)</f>
        <v>244050</v>
      </c>
      <c r="R88" s="47" t="n">
        <f aca="false">AL88*(Assumptions!$B$8*L88*Assumptions!$B$9+Assumptions!$B$10)</f>
        <v>617506.9875</v>
      </c>
      <c r="S88" s="47" t="n">
        <f aca="false">O88*Assumptions!$B$11*L88</f>
        <v>84600</v>
      </c>
      <c r="T88" s="47" t="n">
        <f aca="false">N88*(Assumptions!$B$12+Assumptions!$B$13)</f>
        <v>258719.032</v>
      </c>
      <c r="U88" s="47" t="n">
        <f aca="false">N88*IF(N88&gt;=Assumptions!$B$16,Assumptions!$B$17,IF(N88&gt;=Assumptions!$B$14,Assumptions!$B$15,0))</f>
        <v>0</v>
      </c>
      <c r="V88" s="48" t="n">
        <f aca="false">SUM(O88:U88)</f>
        <v>5832676.0195</v>
      </c>
      <c r="W88" s="48" t="n">
        <f aca="false">N88-V88</f>
        <v>-1179456.0195</v>
      </c>
      <c r="X88" s="49" t="n">
        <f aca="false">IF(V88=0,0,W88/V88)</f>
        <v>-0.202215246579238</v>
      </c>
      <c r="Y88" s="47" t="n">
        <f aca="false">MAX(0,(N88/(1+Assumptions!$B$23)-(J88*(Assumptions!$B$4+IF(H88="Yes",0,Assumptions!$B$5)))*(1+(Assumptions!$B$7*(Assumptions!$B$8*L88*Assumptions!$B$9+Assumptions!$B$10)))-N88*(Assumptions!$B$12+Assumptions!$B$13+IF(N88&gt;=Assumptions!$B$16,Assumptions!$B$17,IF(N88&gt;=Assumptions!$B$14,Assumptions!$B$15,0))))/((1+IF(H88="Yes",Assumptions!$B$6,0))*(1+(Assumptions!$B$7*(Assumptions!$B$8*L88*Assumptions!$B$9+Assumptions!$B$10)))+Assumptions!$B$11*L88))</f>
        <v>813644.155123257</v>
      </c>
      <c r="Z88" s="50" t="n">
        <f aca="false">IF(Y88&lt;=0,"no price works",D88/Y88)</f>
        <v>2.88824049826058</v>
      </c>
      <c r="AA88" s="46" t="n">
        <f aca="false">INDEX(Assumptions!$B$32:$B$44,MATCH(AG88,Assumptions!$A$32:$A$44,0))*(1+Assumptions!$B$24)</f>
        <v>1300</v>
      </c>
      <c r="AB88" s="47" t="n">
        <f aca="false">(J88)*AA88-(((D88)+(J88)*Assumptions!$B$4+IF(H88="Yes",Assumptions!$B$6*(D88),(J88)*Assumptions!$B$5))*(1+Assumptions!$B$7*(Assumptions!$B$8*(L88)*Assumptions!$B$9+Assumptions!$B$10))+(D88)*Assumptions!$B$11*(L88)+(J88)*AA88*(Assumptions!$B$12+Assumptions!$B$13+IF((J88)*AA88&gt;=Assumptions!$B$16,Assumptions!$B$17,IF((J88)*AA88&gt;=Assumptions!$B$14,Assumptions!$B$15,0))))</f>
        <v>-1578956.1075</v>
      </c>
      <c r="AC88" s="46" t="n">
        <f aca="false">INDEX(Assumptions!$B$32:$B$44,MATCH(AG88,Assumptions!$A$32:$A$44,0))*(1+Assumptions!$B$25)</f>
        <v>1430</v>
      </c>
      <c r="AD88" s="47" t="n">
        <f aca="false">(J88)*AC88-(((D88)+(J88)*Assumptions!$B$4+IF(H88="Yes",Assumptions!$B$6*(D88),(J88)*Assumptions!$B$5))*(1+Assumptions!$B$7*(Assumptions!$B$8*(L88)*Assumptions!$B$9+Assumptions!$B$10))+(D88)*Assumptions!$B$11*(L88)+(J88)*AC88*(Assumptions!$B$12+Assumptions!$B$13+IF((J88)*AC88&gt;=Assumptions!$B$16,Assumptions!$B$17,IF((J88)*AC88&gt;=Assumptions!$B$14,Assumptions!$B$15,0))))</f>
        <v>-1179456.0195</v>
      </c>
      <c r="AE88" s="46" t="n">
        <f aca="false">INDEX(Assumptions!$B$32:$B$44,MATCH(AG88,Assumptions!$A$32:$A$44,0))*(1+Assumptions!$B$26)</f>
        <v>1560</v>
      </c>
      <c r="AF88" s="47" t="n">
        <f aca="false">(J88)*AE88-(((D88)+(J88)*Assumptions!$B$4+IF(H88="Yes",Assumptions!$B$6*(D88),(J88)*Assumptions!$B$5))*(1+Assumptions!$B$7*(Assumptions!$B$8*(L88)*Assumptions!$B$9+Assumptions!$B$10))+(D88)*Assumptions!$B$11*(L88)+(J88)*AE88*(Assumptions!$B$12+Assumptions!$B$13+IF((J88)*AE88&gt;=Assumptions!$B$16,Assumptions!$B$17,IF((J88)*AE88&gt;=Assumptions!$B$14,Assumptions!$B$15,0))))</f>
        <v>-779955.9315</v>
      </c>
      <c r="AG88" s="40" t="s">
        <v>126</v>
      </c>
      <c r="AH88" s="45" t="n">
        <f aca="false">IF(G88&gt;0,G88,ROUND(F88*Assumptions!$B$18,0))</f>
        <v>2496</v>
      </c>
      <c r="AI88" s="45" t="n">
        <f aca="false">IF(H88="Yes",AH88,MAX(AH88,MIN(Assumptions!$B$20,ROUND(E88*Assumptions!$B$19,0))))</f>
        <v>3254</v>
      </c>
      <c r="AJ88" s="47" t="n">
        <f aca="false">(AH88)*AC88-(((D88)+(AH88)*Assumptions!$B$4+IF(H88="Yes",Assumptions!$B$6*(D88),(AH88)*Assumptions!$B$5))*(1+Assumptions!$B$7*(Assumptions!$B$8*(Assumptions!$B$21)*Assumptions!$B$9+Assumptions!$B$10))+(D88)*Assumptions!$B$11*(Assumptions!$B$21)+(AH88)*AC88*(Assumptions!$B$12+Assumptions!$B$13+IF((AH88)*AC88&gt;=Assumptions!$B$16,Assumptions!$B$17,IF((AH88)*AC88&gt;=Assumptions!$B$14,Assumptions!$B$15,0))))</f>
        <v>-1345928.068</v>
      </c>
      <c r="AK88" s="47" t="n">
        <f aca="false">(AI88)*AC88-(((D88)+(AI88)*Assumptions!$B$4+IF(H88="Yes",Assumptions!$B$6*(D88),(AI88)*Assumptions!$B$5))*(1+Assumptions!$B$7*(Assumptions!$B$8*(IF(AI88&gt;AH88,Assumptions!$B$22,Assumptions!$B$21))*Assumptions!$B$9+Assumptions!$B$10))+(D88)*Assumptions!$B$11*(IF(AI88&gt;AH88,Assumptions!$B$22,Assumptions!$B$21))+(AI88)*AC88*(Assumptions!$B$12+Assumptions!$B$13+IF((AI88)*AC88&gt;=Assumptions!$B$16,Assumptions!$B$17,IF((AI88)*AC88&gt;=Assumptions!$B$14,Assumptions!$B$15,0))))</f>
        <v>-1179456.0195</v>
      </c>
      <c r="AL88" s="47" t="n">
        <f aca="false">Assumptions!$B$7*(O88+P88+Q88)</f>
        <v>3166702.5</v>
      </c>
    </row>
    <row r="89" customFormat="false" ht="15" hidden="false" customHeight="false" outlineLevel="0" collapsed="false">
      <c r="A89" s="40" t="n">
        <v>87</v>
      </c>
      <c r="B89" s="40" t="s">
        <v>219</v>
      </c>
      <c r="C89" s="40" t="s">
        <v>98</v>
      </c>
      <c r="D89" s="41" t="n">
        <v>2595000</v>
      </c>
      <c r="E89" s="42" t="n">
        <v>13564</v>
      </c>
      <c r="F89" s="42" t="n">
        <v>3465</v>
      </c>
      <c r="G89" s="42"/>
      <c r="H89" s="43" t="s">
        <v>67</v>
      </c>
      <c r="I89" s="44" t="s">
        <v>214</v>
      </c>
      <c r="J89" s="45" t="n">
        <f aca="false">IF(AK89&gt;AJ89,AI89,AH89)</f>
        <v>5426</v>
      </c>
      <c r="K89" s="40" t="str">
        <f aca="false">IF(AK89&gt;AJ89,"Zoning estimate",IF(H89="Yes","Approved plans",IF(G89&gt;0,"Listing claim","110% old house")))</f>
        <v>Zoning estimate</v>
      </c>
      <c r="L89" s="45" t="n">
        <f aca="false">IF(AK89&gt;AJ89,IF(AI89&gt;AH89,Assumptions!$B$22,Assumptions!$B$21),Assumptions!$B$21)</f>
        <v>3</v>
      </c>
      <c r="M89" s="46" t="n">
        <f aca="false">INDEX(Assumptions!$B$32:$B$44,MATCH(AG89,Assumptions!$A$32:$A$44,0))*(1+IF(UPPER(Assumptions!$B$27)="WORST",Assumptions!$B$24,IF(UPPER(Assumptions!$B$27)="BEST",Assumptions!$B$26,Assumptions!$B$25)))</f>
        <v>1375</v>
      </c>
      <c r="N89" s="47" t="n">
        <f aca="false">J89*M89</f>
        <v>7460750</v>
      </c>
      <c r="O89" s="47" t="n">
        <f aca="false">D89</f>
        <v>2595000</v>
      </c>
      <c r="P89" s="47" t="n">
        <f aca="false">J89*Assumptions!$B$4</f>
        <v>3798200</v>
      </c>
      <c r="Q89" s="47" t="n">
        <f aca="false">IF(H89="Yes",Assumptions!$B$6*(D89),(J89)*Assumptions!$B$5)</f>
        <v>406950</v>
      </c>
      <c r="R89" s="47" t="n">
        <f aca="false">AL89*(Assumptions!$B$8*L89*Assumptions!$B$9+Assumptions!$B$10)</f>
        <v>861919.0125</v>
      </c>
      <c r="S89" s="47" t="n">
        <f aca="false">O89*Assumptions!$B$11*L89</f>
        <v>93420</v>
      </c>
      <c r="T89" s="47" t="n">
        <f aca="false">N89*(Assumptions!$B$12+Assumptions!$B$13)</f>
        <v>414817.7</v>
      </c>
      <c r="U89" s="47" t="n">
        <f aca="false">N89*IF(N89&gt;=Assumptions!$B$16,Assumptions!$B$17,IF(N89&gt;=Assumptions!$B$14,Assumptions!$B$15,0))</f>
        <v>298430</v>
      </c>
      <c r="V89" s="48" t="n">
        <f aca="false">SUM(O89:U89)</f>
        <v>8468736.7125</v>
      </c>
      <c r="W89" s="48" t="n">
        <f aca="false">N89-V89</f>
        <v>-1007986.7125</v>
      </c>
      <c r="X89" s="49" t="n">
        <f aca="false">IF(V89=0,0,W89/V89)</f>
        <v>-0.119024448004411</v>
      </c>
      <c r="Y89" s="47" t="n">
        <f aca="false">MAX(0,(N89/(1+Assumptions!$B$23)-(J89*(Assumptions!$B$4+IF(H89="Yes",0,Assumptions!$B$5)))*(1+(Assumptions!$B$7*(Assumptions!$B$8*L89*Assumptions!$B$9+Assumptions!$B$10)))-N89*(Assumptions!$B$12+Assumptions!$B$13+IF(N89&gt;=Assumptions!$B$16,Assumptions!$B$17,IF(N89&gt;=Assumptions!$B$14,Assumptions!$B$15,0))))/((1+IF(H89="Yes",Assumptions!$B$6,0))*(1+(Assumptions!$B$7*(Assumptions!$B$8*L89*Assumptions!$B$9+Assumptions!$B$10)))+Assumptions!$B$11*L89))</f>
        <v>891170.271470372</v>
      </c>
      <c r="Z89" s="50" t="n">
        <f aca="false">IF(Y89&lt;=0,"no price works",D89/Y89)</f>
        <v>2.91190144361349</v>
      </c>
      <c r="AA89" s="46" t="n">
        <f aca="false">INDEX(Assumptions!$B$32:$B$44,MATCH(AG89,Assumptions!$A$32:$A$44,0))*(1+Assumptions!$B$24)</f>
        <v>1250</v>
      </c>
      <c r="AB89" s="47" t="n">
        <f aca="false">(J89)*AA89-(((D89)+(J89)*Assumptions!$B$4+IF(H89="Yes",Assumptions!$B$6*(D89),(J89)*Assumptions!$B$5))*(1+Assumptions!$B$7*(Assumptions!$B$8*(L89)*Assumptions!$B$9+Assumptions!$B$10))+(D89)*Assumptions!$B$11*(L89)+(J89)*AA89*(Assumptions!$B$12+Assumptions!$B$13+IF((J89)*AA89&gt;=Assumptions!$B$16,Assumptions!$B$17,IF((J89)*AA89&gt;=Assumptions!$B$14,Assumptions!$B$15,0))))</f>
        <v>-1621396.0125</v>
      </c>
      <c r="AC89" s="46" t="n">
        <f aca="false">INDEX(Assumptions!$B$32:$B$44,MATCH(AG89,Assumptions!$A$32:$A$44,0))*(1+Assumptions!$B$25)</f>
        <v>1375</v>
      </c>
      <c r="AD89" s="47" t="n">
        <f aca="false">(J89)*AC89-(((D89)+(J89)*Assumptions!$B$4+IF(H89="Yes",Assumptions!$B$6*(D89),(J89)*Assumptions!$B$5))*(1+Assumptions!$B$7*(Assumptions!$B$8*(L89)*Assumptions!$B$9+Assumptions!$B$10))+(D89)*Assumptions!$B$11*(L89)+(J89)*AC89*(Assumptions!$B$12+Assumptions!$B$13+IF((J89)*AC89&gt;=Assumptions!$B$16,Assumptions!$B$17,IF((J89)*AC89&gt;=Assumptions!$B$14,Assumptions!$B$15,0))))</f>
        <v>-1007986.7125</v>
      </c>
      <c r="AE89" s="46" t="n">
        <f aca="false">INDEX(Assumptions!$B$32:$B$44,MATCH(AG89,Assumptions!$A$32:$A$44,0))*(1+Assumptions!$B$26)</f>
        <v>1500</v>
      </c>
      <c r="AF89" s="47" t="n">
        <f aca="false">(J89)*AE89-(((D89)+(J89)*Assumptions!$B$4+IF(H89="Yes",Assumptions!$B$6*(D89),(J89)*Assumptions!$B$5))*(1+Assumptions!$B$7*(Assumptions!$B$8*(L89)*Assumptions!$B$9+Assumptions!$B$10))+(D89)*Assumptions!$B$11*(L89)+(J89)*AE89*(Assumptions!$B$12+Assumptions!$B$13+IF((J89)*AE89&gt;=Assumptions!$B$16,Assumptions!$B$17,IF((J89)*AE89&gt;=Assumptions!$B$14,Assumptions!$B$15,0))))</f>
        <v>-394577.4125</v>
      </c>
      <c r="AG89" s="40" t="s">
        <v>100</v>
      </c>
      <c r="AH89" s="45" t="n">
        <f aca="false">IF(G89&gt;0,G89,ROUND(F89*Assumptions!$B$18,0))</f>
        <v>3812</v>
      </c>
      <c r="AI89" s="45" t="n">
        <f aca="false">IF(H89="Yes",AH89,MAX(AH89,MIN(Assumptions!$B$20,ROUND(E89*Assumptions!$B$19,0))))</f>
        <v>5426</v>
      </c>
      <c r="AJ89" s="47" t="n">
        <f aca="false">(AH89)*AC89-(((D89)+(AH89)*Assumptions!$B$4+IF(H89="Yes",Assumptions!$B$6*(D89),(AH89)*Assumptions!$B$5))*(1+Assumptions!$B$7*(Assumptions!$B$8*(Assumptions!$B$21)*Assumptions!$B$9+Assumptions!$B$10))+(D89)*Assumptions!$B$11*(Assumptions!$B$21)+(AH89)*AC89*(Assumptions!$B$12+Assumptions!$B$13+IF((AH89)*AC89&gt;=Assumptions!$B$16,Assumptions!$B$17,IF((AH89)*AC89&gt;=Assumptions!$B$14,Assumptions!$B$15,0))))</f>
        <v>-1148458.475</v>
      </c>
      <c r="AK89" s="47" t="n">
        <f aca="false">(AI89)*AC89-(((D89)+(AI89)*Assumptions!$B$4+IF(H89="Yes",Assumptions!$B$6*(D89),(AI89)*Assumptions!$B$5))*(1+Assumptions!$B$7*(Assumptions!$B$8*(IF(AI89&gt;AH89,Assumptions!$B$22,Assumptions!$B$21))*Assumptions!$B$9+Assumptions!$B$10))+(D89)*Assumptions!$B$11*(IF(AI89&gt;AH89,Assumptions!$B$22,Assumptions!$B$21))+(AI89)*AC89*(Assumptions!$B$12+Assumptions!$B$13+IF((AI89)*AC89&gt;=Assumptions!$B$16,Assumptions!$B$17,IF((AI89)*AC89&gt;=Assumptions!$B$14,Assumptions!$B$15,0))))</f>
        <v>-1007986.7125</v>
      </c>
      <c r="AL89" s="47" t="n">
        <f aca="false">Assumptions!$B$7*(O89+P89+Q89)</f>
        <v>4420097.5</v>
      </c>
    </row>
    <row r="90" customFormat="false" ht="15" hidden="false" customHeight="false" outlineLevel="0" collapsed="false">
      <c r="A90" s="40" t="n">
        <v>88</v>
      </c>
      <c r="B90" s="40" t="s">
        <v>220</v>
      </c>
      <c r="C90" s="40" t="s">
        <v>98</v>
      </c>
      <c r="D90" s="41" t="n">
        <v>2495000</v>
      </c>
      <c r="E90" s="42" t="n">
        <v>12784</v>
      </c>
      <c r="F90" s="42" t="n">
        <v>2080</v>
      </c>
      <c r="G90" s="42"/>
      <c r="H90" s="43" t="s">
        <v>67</v>
      </c>
      <c r="I90" s="44"/>
      <c r="J90" s="45" t="n">
        <f aca="false">IF(AK90&gt;AJ90,AI90,AH90)</f>
        <v>5114</v>
      </c>
      <c r="K90" s="40" t="str">
        <f aca="false">IF(AK90&gt;AJ90,"Zoning estimate",IF(H90="Yes","Approved plans",IF(G90&gt;0,"Listing claim","110% old house")))</f>
        <v>Zoning estimate</v>
      </c>
      <c r="L90" s="45" t="n">
        <f aca="false">IF(AK90&gt;AJ90,IF(AI90&gt;AH90,Assumptions!$B$22,Assumptions!$B$21),Assumptions!$B$21)</f>
        <v>3</v>
      </c>
      <c r="M90" s="46" t="n">
        <f aca="false">INDEX(Assumptions!$B$32:$B$44,MATCH(AG90,Assumptions!$A$32:$A$44,0))*(1+IF(UPPER(Assumptions!$B$27)="WORST",Assumptions!$B$24,IF(UPPER(Assumptions!$B$27)="BEST",Assumptions!$B$26,Assumptions!$B$25)))</f>
        <v>1375</v>
      </c>
      <c r="N90" s="47" t="n">
        <f aca="false">J90*M90</f>
        <v>7031750</v>
      </c>
      <c r="O90" s="47" t="n">
        <f aca="false">D90</f>
        <v>2495000</v>
      </c>
      <c r="P90" s="47" t="n">
        <f aca="false">J90*Assumptions!$B$4</f>
        <v>3579800</v>
      </c>
      <c r="Q90" s="47" t="n">
        <f aca="false">IF(H90="Yes",Assumptions!$B$6*(D90),(J90)*Assumptions!$B$5)</f>
        <v>383550</v>
      </c>
      <c r="R90" s="47" t="n">
        <f aca="false">AL90*(Assumptions!$B$8*L90*Assumptions!$B$9+Assumptions!$B$10)</f>
        <v>818595.8625</v>
      </c>
      <c r="S90" s="47" t="n">
        <f aca="false">O90*Assumptions!$B$11*L90</f>
        <v>89820</v>
      </c>
      <c r="T90" s="47" t="n">
        <f aca="false">N90*(Assumptions!$B$12+Assumptions!$B$13)</f>
        <v>390965.3</v>
      </c>
      <c r="U90" s="47" t="n">
        <f aca="false">N90*IF(N90&gt;=Assumptions!$B$16,Assumptions!$B$17,IF(N90&gt;=Assumptions!$B$14,Assumptions!$B$15,0))</f>
        <v>281270</v>
      </c>
      <c r="V90" s="48" t="n">
        <f aca="false">SUM(O90:U90)</f>
        <v>8039001.1625</v>
      </c>
      <c r="W90" s="48" t="n">
        <f aca="false">N90-V90</f>
        <v>-1007251.1625</v>
      </c>
      <c r="X90" s="49" t="n">
        <f aca="false">IF(V90=0,0,W90/V90)</f>
        <v>-0.125295561244422</v>
      </c>
      <c r="Y90" s="47" t="n">
        <f aca="false">MAX(0,(N90/(1+Assumptions!$B$23)-(J90*(Assumptions!$B$4+IF(H90="Yes",0,Assumptions!$B$5)))*(1+(Assumptions!$B$7*(Assumptions!$B$8*L90*Assumptions!$B$9+Assumptions!$B$10)))-N90*(Assumptions!$B$12+Assumptions!$B$13+IF(N90&gt;=Assumptions!$B$16,Assumptions!$B$17,IF(N90&gt;=Assumptions!$B$14,Assumptions!$B$15,0))))/((1+IF(H90="Yes",Assumptions!$B$6,0))*(1+(Assumptions!$B$7*(Assumptions!$B$8*L90*Assumptions!$B$9+Assumptions!$B$10)))+Assumptions!$B$11*L90))</f>
        <v>839927.15965711</v>
      </c>
      <c r="Z90" s="50" t="n">
        <f aca="false">IF(Y90&lt;=0,"no price works",D90/Y90)</f>
        <v>2.97049568086184</v>
      </c>
      <c r="AA90" s="46" t="n">
        <f aca="false">INDEX(Assumptions!$B$32:$B$44,MATCH(AG90,Assumptions!$A$32:$A$44,0))*(1+Assumptions!$B$24)</f>
        <v>1250</v>
      </c>
      <c r="AB90" s="47" t="n">
        <f aca="false">(J90)*AA90-(((D90)+(J90)*Assumptions!$B$4+IF(H90="Yes",Assumptions!$B$6*(D90),(J90)*Assumptions!$B$5))*(1+Assumptions!$B$7*(Assumptions!$B$8*(L90)*Assumptions!$B$9+Assumptions!$B$10))+(D90)*Assumptions!$B$11*(L90)+(J90)*AA90*(Assumptions!$B$12+Assumptions!$B$13+IF((J90)*AA90&gt;=Assumptions!$B$16,Assumptions!$B$17,IF((J90)*AA90&gt;=Assumptions!$B$14,Assumptions!$B$15,0))))</f>
        <v>-1585388.8625</v>
      </c>
      <c r="AC90" s="46" t="n">
        <f aca="false">INDEX(Assumptions!$B$32:$B$44,MATCH(AG90,Assumptions!$A$32:$A$44,0))*(1+Assumptions!$B$25)</f>
        <v>1375</v>
      </c>
      <c r="AD90" s="47" t="n">
        <f aca="false">(J90)*AC90-(((D90)+(J90)*Assumptions!$B$4+IF(H90="Yes",Assumptions!$B$6*(D90),(J90)*Assumptions!$B$5))*(1+Assumptions!$B$7*(Assumptions!$B$8*(L90)*Assumptions!$B$9+Assumptions!$B$10))+(D90)*Assumptions!$B$11*(L90)+(J90)*AC90*(Assumptions!$B$12+Assumptions!$B$13+IF((J90)*AC90&gt;=Assumptions!$B$16,Assumptions!$B$17,IF((J90)*AC90&gt;=Assumptions!$B$14,Assumptions!$B$15,0))))</f>
        <v>-1007251.1625</v>
      </c>
      <c r="AE90" s="46" t="n">
        <f aca="false">INDEX(Assumptions!$B$32:$B$44,MATCH(AG90,Assumptions!$A$32:$A$44,0))*(1+Assumptions!$B$26)</f>
        <v>1500</v>
      </c>
      <c r="AF90" s="47" t="n">
        <f aca="false">(J90)*AE90-(((D90)+(J90)*Assumptions!$B$4+IF(H90="Yes",Assumptions!$B$6*(D90),(J90)*Assumptions!$B$5))*(1+Assumptions!$B$7*(Assumptions!$B$8*(L90)*Assumptions!$B$9+Assumptions!$B$10))+(D90)*Assumptions!$B$11*(L90)+(J90)*AE90*(Assumptions!$B$12+Assumptions!$B$13+IF((J90)*AE90&gt;=Assumptions!$B$16,Assumptions!$B$17,IF((J90)*AE90&gt;=Assumptions!$B$14,Assumptions!$B$15,0))))</f>
        <v>-429113.462499999</v>
      </c>
      <c r="AG90" s="40" t="s">
        <v>100</v>
      </c>
      <c r="AH90" s="45" t="n">
        <f aca="false">IF(G90&gt;0,G90,ROUND(F90*Assumptions!$B$18,0))</f>
        <v>2288</v>
      </c>
      <c r="AI90" s="45" t="n">
        <f aca="false">IF(H90="Yes",AH90,MAX(AH90,MIN(Assumptions!$B$20,ROUND(E90*Assumptions!$B$19,0))))</f>
        <v>5114</v>
      </c>
      <c r="AJ90" s="47" t="n">
        <f aca="false">(AH90)*AC90-(((D90)+(AH90)*Assumptions!$B$4+IF(H90="Yes",Assumptions!$B$6*(D90),(AH90)*Assumptions!$B$5))*(1+Assumptions!$B$7*(Assumptions!$B$8*(Assumptions!$B$21)*Assumptions!$B$9+Assumptions!$B$10))+(D90)*Assumptions!$B$11*(Assumptions!$B$21)+(AH90)*AC90*(Assumptions!$B$12+Assumptions!$B$13+IF((AH90)*AC90&gt;=Assumptions!$B$16,Assumptions!$B$17,IF((AH90)*AC90&gt;=Assumptions!$B$14,Assumptions!$B$15,0))))</f>
        <v>-1731532.15</v>
      </c>
      <c r="AK90" s="47" t="n">
        <f aca="false">(AI90)*AC90-(((D90)+(AI90)*Assumptions!$B$4+IF(H90="Yes",Assumptions!$B$6*(D90),(AI90)*Assumptions!$B$5))*(1+Assumptions!$B$7*(Assumptions!$B$8*(IF(AI90&gt;AH90,Assumptions!$B$22,Assumptions!$B$21))*Assumptions!$B$9+Assumptions!$B$10))+(D90)*Assumptions!$B$11*(IF(AI90&gt;AH90,Assumptions!$B$22,Assumptions!$B$21))+(AI90)*AC90*(Assumptions!$B$12+Assumptions!$B$13+IF((AI90)*AC90&gt;=Assumptions!$B$16,Assumptions!$B$17,IF((AI90)*AC90&gt;=Assumptions!$B$14,Assumptions!$B$15,0))))</f>
        <v>-1007251.1625</v>
      </c>
      <c r="AL90" s="47" t="n">
        <f aca="false">Assumptions!$B$7*(O90+P90+Q90)</f>
        <v>4197927.5</v>
      </c>
    </row>
    <row r="91" customFormat="false" ht="15" hidden="false" customHeight="false" outlineLevel="0" collapsed="false">
      <c r="A91" s="40" t="n">
        <v>89</v>
      </c>
      <c r="B91" s="40" t="s">
        <v>221</v>
      </c>
      <c r="C91" s="40" t="s">
        <v>124</v>
      </c>
      <c r="D91" s="41" t="n">
        <v>2345000</v>
      </c>
      <c r="E91" s="42" t="n">
        <v>6503</v>
      </c>
      <c r="F91" s="42" t="n">
        <v>2447</v>
      </c>
      <c r="G91" s="42"/>
      <c r="H91" s="43" t="s">
        <v>67</v>
      </c>
      <c r="I91" s="44" t="s">
        <v>222</v>
      </c>
      <c r="J91" s="45" t="n">
        <f aca="false">IF(AK91&gt;AJ91,AI91,AH91)</f>
        <v>2692</v>
      </c>
      <c r="K91" s="40" t="str">
        <f aca="false">IF(AK91&gt;AJ91,"Zoning estimate",IF(H91="Yes","Approved plans",IF(G91&gt;0,"Listing claim","110% old house")))</f>
        <v>110% old house</v>
      </c>
      <c r="L91" s="45" t="n">
        <f aca="false">IF(AK91&gt;AJ91,IF(AI91&gt;AH91,Assumptions!$B$22,Assumptions!$B$21),Assumptions!$B$21)</f>
        <v>2</v>
      </c>
      <c r="M91" s="46" t="n">
        <f aca="false">INDEX(Assumptions!$B$32:$B$44,MATCH(AG91,Assumptions!$A$32:$A$44,0))*(1+IF(UPPER(Assumptions!$B$27)="WORST",Assumptions!$B$24,IF(UPPER(Assumptions!$B$27)="BEST",Assumptions!$B$26,Assumptions!$B$25)))</f>
        <v>1430</v>
      </c>
      <c r="N91" s="47" t="n">
        <f aca="false">J91*M91</f>
        <v>3849560</v>
      </c>
      <c r="O91" s="47" t="n">
        <f aca="false">D91</f>
        <v>2345000</v>
      </c>
      <c r="P91" s="47" t="n">
        <f aca="false">J91*Assumptions!$B$4</f>
        <v>1884400</v>
      </c>
      <c r="Q91" s="47" t="n">
        <f aca="false">IF(H91="Yes",Assumptions!$B$6*(D91),(J91)*Assumptions!$B$5)</f>
        <v>201900</v>
      </c>
      <c r="R91" s="47" t="n">
        <f aca="false">AL91*(Assumptions!$B$8*L91*Assumptions!$B$9+Assumptions!$B$10)</f>
        <v>388846.575</v>
      </c>
      <c r="S91" s="47" t="n">
        <f aca="false">O91*Assumptions!$B$11*L91</f>
        <v>56280</v>
      </c>
      <c r="T91" s="47" t="n">
        <f aca="false">N91*(Assumptions!$B$12+Assumptions!$B$13)</f>
        <v>214035.536</v>
      </c>
      <c r="U91" s="47" t="n">
        <f aca="false">N91*IF(N91&gt;=Assumptions!$B$16,Assumptions!$B$17,IF(N91&gt;=Assumptions!$B$14,Assumptions!$B$15,0))</f>
        <v>0</v>
      </c>
      <c r="V91" s="48" t="n">
        <f aca="false">SUM(O91:U91)</f>
        <v>5090462.111</v>
      </c>
      <c r="W91" s="48" t="n">
        <f aca="false">N91-V91</f>
        <v>-1240902.111</v>
      </c>
      <c r="X91" s="49" t="n">
        <f aca="false">IF(V91=0,0,W91/V91)</f>
        <v>-0.243770031863812</v>
      </c>
      <c r="Y91" s="47" t="n">
        <f aca="false">MAX(0,(N91/(1+Assumptions!$B$23)-(J91*(Assumptions!$B$4+IF(H91="Yes",0,Assumptions!$B$5)))*(1+(Assumptions!$B$7*(Assumptions!$B$8*L91*Assumptions!$B$9+Assumptions!$B$10)))-N91*(Assumptions!$B$12+Assumptions!$B$13+IF(N91&gt;=Assumptions!$B$16,Assumptions!$B$17,IF(N91&gt;=Assumptions!$B$14,Assumptions!$B$15,0))))/((1+IF(H91="Yes",Assumptions!$B$6,0))*(1+(Assumptions!$B$7*(Assumptions!$B$8*L91*Assumptions!$B$9+Assumptions!$B$10)))+Assumptions!$B$11*L91))</f>
        <v>777184.7243183</v>
      </c>
      <c r="Z91" s="50" t="n">
        <f aca="false">IF(Y91&lt;=0,"no price works",D91/Y91)</f>
        <v>3.01730068363978</v>
      </c>
      <c r="AA91" s="46" t="n">
        <f aca="false">INDEX(Assumptions!$B$32:$B$44,MATCH(AG91,Assumptions!$A$32:$A$44,0))*(1+Assumptions!$B$24)</f>
        <v>1300</v>
      </c>
      <c r="AB91" s="47" t="n">
        <f aca="false">(J91)*AA91-(((D91)+(J91)*Assumptions!$B$4+IF(H91="Yes",Assumptions!$B$6*(D91),(J91)*Assumptions!$B$5))*(1+Assumptions!$B$7*(Assumptions!$B$8*(L91)*Assumptions!$B$9+Assumptions!$B$10))+(D91)*Assumptions!$B$11*(L91)+(J91)*AA91*(Assumptions!$B$12+Assumptions!$B$13+IF((J91)*AA91&gt;=Assumptions!$B$16,Assumptions!$B$17,IF((J91)*AA91&gt;=Assumptions!$B$14,Assumptions!$B$15,0))))</f>
        <v>-1571404.335</v>
      </c>
      <c r="AC91" s="46" t="n">
        <f aca="false">INDEX(Assumptions!$B$32:$B$44,MATCH(AG91,Assumptions!$A$32:$A$44,0))*(1+Assumptions!$B$25)</f>
        <v>1430</v>
      </c>
      <c r="AD91" s="47" t="n">
        <f aca="false">(J91)*AC91-(((D91)+(J91)*Assumptions!$B$4+IF(H91="Yes",Assumptions!$B$6*(D91),(J91)*Assumptions!$B$5))*(1+Assumptions!$B$7*(Assumptions!$B$8*(L91)*Assumptions!$B$9+Assumptions!$B$10))+(D91)*Assumptions!$B$11*(L91)+(J91)*AC91*(Assumptions!$B$12+Assumptions!$B$13+IF((J91)*AC91&gt;=Assumptions!$B$16,Assumptions!$B$17,IF((J91)*AC91&gt;=Assumptions!$B$14,Assumptions!$B$15,0))))</f>
        <v>-1240902.111</v>
      </c>
      <c r="AE91" s="46" t="n">
        <f aca="false">INDEX(Assumptions!$B$32:$B$44,MATCH(AG91,Assumptions!$A$32:$A$44,0))*(1+Assumptions!$B$26)</f>
        <v>1560</v>
      </c>
      <c r="AF91" s="47" t="n">
        <f aca="false">(J91)*AE91-(((D91)+(J91)*Assumptions!$B$4+IF(H91="Yes",Assumptions!$B$6*(D91),(J91)*Assumptions!$B$5))*(1+Assumptions!$B$7*(Assumptions!$B$8*(L91)*Assumptions!$B$9+Assumptions!$B$10))+(D91)*Assumptions!$B$11*(L91)+(J91)*AE91*(Assumptions!$B$12+Assumptions!$B$13+IF((J91)*AE91&gt;=Assumptions!$B$16,Assumptions!$B$17,IF((J91)*AE91&gt;=Assumptions!$B$14,Assumptions!$B$15,0))))</f>
        <v>-910399.887</v>
      </c>
      <c r="AG91" s="40" t="s">
        <v>126</v>
      </c>
      <c r="AH91" s="45" t="n">
        <f aca="false">IF(G91&gt;0,G91,ROUND(F91*Assumptions!$B$18,0))</f>
        <v>2692</v>
      </c>
      <c r="AI91" s="45" t="n">
        <f aca="false">IF(H91="Yes",AH91,MAX(AH91,MIN(Assumptions!$B$20,ROUND(E91*Assumptions!$B$19,0))))</f>
        <v>2692</v>
      </c>
      <c r="AJ91" s="47" t="n">
        <f aca="false">(AH91)*AC91-(((D91)+(AH91)*Assumptions!$B$4+IF(H91="Yes",Assumptions!$B$6*(D91),(AH91)*Assumptions!$B$5))*(1+Assumptions!$B$7*(Assumptions!$B$8*(Assumptions!$B$21)*Assumptions!$B$9+Assumptions!$B$10))+(D91)*Assumptions!$B$11*(Assumptions!$B$21)+(AH91)*AC91*(Assumptions!$B$12+Assumptions!$B$13+IF((AH91)*AC91&gt;=Assumptions!$B$16,Assumptions!$B$17,IF((AH91)*AC91&gt;=Assumptions!$B$14,Assumptions!$B$15,0))))</f>
        <v>-1240902.111</v>
      </c>
      <c r="AK91" s="47" t="n">
        <f aca="false">(AI91)*AC91-(((D91)+(AI91)*Assumptions!$B$4+IF(H91="Yes",Assumptions!$B$6*(D91),(AI91)*Assumptions!$B$5))*(1+Assumptions!$B$7*(Assumptions!$B$8*(IF(AI91&gt;AH91,Assumptions!$B$22,Assumptions!$B$21))*Assumptions!$B$9+Assumptions!$B$10))+(D91)*Assumptions!$B$11*(IF(AI91&gt;AH91,Assumptions!$B$22,Assumptions!$B$21))+(AI91)*AC91*(Assumptions!$B$12+Assumptions!$B$13+IF((AI91)*AC91&gt;=Assumptions!$B$16,Assumptions!$B$17,IF((AI91)*AC91&gt;=Assumptions!$B$14,Assumptions!$B$15,0))))</f>
        <v>-1240902.111</v>
      </c>
      <c r="AL91" s="47" t="n">
        <f aca="false">Assumptions!$B$7*(O91+P91+Q91)</f>
        <v>2880345</v>
      </c>
    </row>
    <row r="92" customFormat="false" ht="15" hidden="false" customHeight="false" outlineLevel="0" collapsed="false">
      <c r="A92" s="40" t="n">
        <v>90</v>
      </c>
      <c r="B92" s="40" t="s">
        <v>223</v>
      </c>
      <c r="C92" s="40" t="s">
        <v>115</v>
      </c>
      <c r="D92" s="41" t="n">
        <v>3185000</v>
      </c>
      <c r="E92" s="42" t="n">
        <v>7952</v>
      </c>
      <c r="F92" s="42" t="n">
        <v>1653</v>
      </c>
      <c r="G92" s="42"/>
      <c r="H92" s="43" t="s">
        <v>67</v>
      </c>
      <c r="I92" s="44" t="s">
        <v>224</v>
      </c>
      <c r="J92" s="45" t="n">
        <f aca="false">IF(AK92&gt;AJ92,AI92,AH92)</f>
        <v>3181</v>
      </c>
      <c r="K92" s="40" t="str">
        <f aca="false">IF(AK92&gt;AJ92,"Zoning estimate",IF(H92="Yes","Approved plans",IF(G92&gt;0,"Listing claim","110% old house")))</f>
        <v>Zoning estimate</v>
      </c>
      <c r="L92" s="45" t="n">
        <f aca="false">IF(AK92&gt;AJ92,IF(AI92&gt;AH92,Assumptions!$B$22,Assumptions!$B$21),Assumptions!$B$21)</f>
        <v>3</v>
      </c>
      <c r="M92" s="46" t="n">
        <f aca="false">INDEX(Assumptions!$B$32:$B$44,MATCH(AG92,Assumptions!$A$32:$A$44,0))*(1+IF(UPPER(Assumptions!$B$27)="WORST",Assumptions!$B$24,IF(UPPER(Assumptions!$B$27)="BEST",Assumptions!$B$26,Assumptions!$B$25)))</f>
        <v>1540</v>
      </c>
      <c r="N92" s="47" t="n">
        <f aca="false">J92*M92</f>
        <v>4898740</v>
      </c>
      <c r="O92" s="47" t="n">
        <f aca="false">D92</f>
        <v>3185000</v>
      </c>
      <c r="P92" s="47" t="n">
        <f aca="false">J92*Assumptions!$B$4</f>
        <v>2226700</v>
      </c>
      <c r="Q92" s="47" t="n">
        <f aca="false">IF(H92="Yes",Assumptions!$B$6*(D92),(J92)*Assumptions!$B$5)</f>
        <v>238575</v>
      </c>
      <c r="R92" s="47" t="n">
        <f aca="false">AL92*(Assumptions!$B$8*L92*Assumptions!$B$9+Assumptions!$B$10)</f>
        <v>716172.35625</v>
      </c>
      <c r="S92" s="47" t="n">
        <f aca="false">O92*Assumptions!$B$11*L92</f>
        <v>114660</v>
      </c>
      <c r="T92" s="47" t="n">
        <f aca="false">N92*(Assumptions!$B$12+Assumptions!$B$13)</f>
        <v>272369.944</v>
      </c>
      <c r="U92" s="47" t="n">
        <f aca="false">N92*IF(N92&gt;=Assumptions!$B$16,Assumptions!$B$17,IF(N92&gt;=Assumptions!$B$14,Assumptions!$B$15,0))</f>
        <v>0</v>
      </c>
      <c r="V92" s="48" t="n">
        <f aca="false">SUM(O92:U92)</f>
        <v>6753477.30025</v>
      </c>
      <c r="W92" s="48" t="n">
        <f aca="false">N92-V92</f>
        <v>-1854737.30025</v>
      </c>
      <c r="X92" s="49" t="n">
        <f aca="false">IF(V92=0,0,W92/V92)</f>
        <v>-0.27463441687756</v>
      </c>
      <c r="Y92" s="47" t="n">
        <f aca="false">MAX(0,(N92/(1+Assumptions!$B$23)-(J92*(Assumptions!$B$4+IF(H92="Yes",0,Assumptions!$B$5)))*(1+(Assumptions!$B$7*(Assumptions!$B$8*L92*Assumptions!$B$9+Assumptions!$B$10)))-N92*(Assumptions!$B$12+Assumptions!$B$13+IF(N92&gt;=Assumptions!$B$16,Assumptions!$B$17,IF(N92&gt;=Assumptions!$B$14,Assumptions!$B$15,0))))/((1+IF(H92="Yes",Assumptions!$B$6,0))*(1+(Assumptions!$B$7*(Assumptions!$B$8*L92*Assumptions!$B$9+Assumptions!$B$10)))+Assumptions!$B$11*L92))</f>
        <v>1040340.02390323</v>
      </c>
      <c r="Z92" s="50" t="n">
        <f aca="false">IF(Y92&lt;=0,"no price works",D92/Y92)</f>
        <v>3.06149905494385</v>
      </c>
      <c r="AA92" s="46" t="n">
        <f aca="false">INDEX(Assumptions!$B$32:$B$44,MATCH(AG92,Assumptions!$A$32:$A$44,0))*(1+Assumptions!$B$24)</f>
        <v>1400</v>
      </c>
      <c r="AB92" s="47" t="n">
        <f aca="false">(J92)*AA92-(((D92)+(J92)*Assumptions!$B$4+IF(H92="Yes",Assumptions!$B$6*(D92),(J92)*Assumptions!$B$5))*(1+Assumptions!$B$7*(Assumptions!$B$8*(L92)*Assumptions!$B$9+Assumptions!$B$10))+(D92)*Assumptions!$B$11*(L92)+(J92)*AA92*(Assumptions!$B$12+Assumptions!$B$13+IF((J92)*AA92&gt;=Assumptions!$B$16,Assumptions!$B$17,IF((J92)*AA92&gt;=Assumptions!$B$14,Assumptions!$B$15,0))))</f>
        <v>-2275316.39625</v>
      </c>
      <c r="AC92" s="46" t="n">
        <f aca="false">INDEX(Assumptions!$B$32:$B$44,MATCH(AG92,Assumptions!$A$32:$A$44,0))*(1+Assumptions!$B$25)</f>
        <v>1540</v>
      </c>
      <c r="AD92" s="47" t="n">
        <f aca="false">(J92)*AC92-(((D92)+(J92)*Assumptions!$B$4+IF(H92="Yes",Assumptions!$B$6*(D92),(J92)*Assumptions!$B$5))*(1+Assumptions!$B$7*(Assumptions!$B$8*(L92)*Assumptions!$B$9+Assumptions!$B$10))+(D92)*Assumptions!$B$11*(L92)+(J92)*AC92*(Assumptions!$B$12+Assumptions!$B$13+IF((J92)*AC92&gt;=Assumptions!$B$16,Assumptions!$B$17,IF((J92)*AC92&gt;=Assumptions!$B$14,Assumptions!$B$15,0))))</f>
        <v>-1854737.30025</v>
      </c>
      <c r="AE92" s="46" t="n">
        <f aca="false">INDEX(Assumptions!$B$32:$B$44,MATCH(AG92,Assumptions!$A$32:$A$44,0))*(1+Assumptions!$B$26)</f>
        <v>1680</v>
      </c>
      <c r="AF92" s="47" t="n">
        <f aca="false">(J92)*AE92-(((D92)+(J92)*Assumptions!$B$4+IF(H92="Yes",Assumptions!$B$6*(D92),(J92)*Assumptions!$B$5))*(1+Assumptions!$B$7*(Assumptions!$B$8*(L92)*Assumptions!$B$9+Assumptions!$B$10))+(D92)*Assumptions!$B$11*(L92)+(J92)*AE92*(Assumptions!$B$12+Assumptions!$B$13+IF((J92)*AE92&gt;=Assumptions!$B$16,Assumptions!$B$17,IF((J92)*AE92&gt;=Assumptions!$B$14,Assumptions!$B$15,0))))</f>
        <v>-1434158.20425</v>
      </c>
      <c r="AG92" s="40" t="s">
        <v>117</v>
      </c>
      <c r="AH92" s="45" t="n">
        <f aca="false">IF(G92&gt;0,G92,ROUND(F92*Assumptions!$B$18,0))</f>
        <v>1818</v>
      </c>
      <c r="AI92" s="45" t="n">
        <f aca="false">IF(H92="Yes",AH92,MAX(AH92,MIN(Assumptions!$B$20,ROUND(E92*Assumptions!$B$19,0))))</f>
        <v>3181</v>
      </c>
      <c r="AJ92" s="47" t="n">
        <f aca="false">(AH92)*AC92-(((D92)+(AH92)*Assumptions!$B$4+IF(H92="Yes",Assumptions!$B$6*(D92),(AH92)*Assumptions!$B$5))*(1+Assumptions!$B$7*(Assumptions!$B$8*(Assumptions!$B$21)*Assumptions!$B$9+Assumptions!$B$10))+(D92)*Assumptions!$B$11*(Assumptions!$B$21)+(AH92)*AC92*(Assumptions!$B$12+Assumptions!$B$13+IF((AH92)*AC92&gt;=Assumptions!$B$16,Assumptions!$B$17,IF((AH92)*AC92&gt;=Assumptions!$B$14,Assumptions!$B$15,0))))</f>
        <v>-2429453.5445</v>
      </c>
      <c r="AK92" s="47" t="n">
        <f aca="false">(AI92)*AC92-(((D92)+(AI92)*Assumptions!$B$4+IF(H92="Yes",Assumptions!$B$6*(D92),(AI92)*Assumptions!$B$5))*(1+Assumptions!$B$7*(Assumptions!$B$8*(IF(AI92&gt;AH92,Assumptions!$B$22,Assumptions!$B$21))*Assumptions!$B$9+Assumptions!$B$10))+(D92)*Assumptions!$B$11*(IF(AI92&gt;AH92,Assumptions!$B$22,Assumptions!$B$21))+(AI92)*AC92*(Assumptions!$B$12+Assumptions!$B$13+IF((AI92)*AC92&gt;=Assumptions!$B$16,Assumptions!$B$17,IF((AI92)*AC92&gt;=Assumptions!$B$14,Assumptions!$B$15,0))))</f>
        <v>-1854737.30025</v>
      </c>
      <c r="AL92" s="47" t="n">
        <f aca="false">Assumptions!$B$7*(O92+P92+Q92)</f>
        <v>3672678.75</v>
      </c>
    </row>
    <row r="93" customFormat="false" ht="15" hidden="false" customHeight="false" outlineLevel="0" collapsed="false">
      <c r="A93" s="40" t="n">
        <v>91</v>
      </c>
      <c r="B93" s="40" t="s">
        <v>225</v>
      </c>
      <c r="C93" s="40" t="s">
        <v>124</v>
      </c>
      <c r="D93" s="41" t="n">
        <v>2199999</v>
      </c>
      <c r="E93" s="42" t="n">
        <v>7177</v>
      </c>
      <c r="F93" s="42" t="n">
        <v>1809</v>
      </c>
      <c r="G93" s="42"/>
      <c r="H93" s="43" t="s">
        <v>67</v>
      </c>
      <c r="I93" s="44" t="s">
        <v>226</v>
      </c>
      <c r="J93" s="45" t="n">
        <f aca="false">IF(AK93&gt;AJ93,AI93,AH93)</f>
        <v>2871</v>
      </c>
      <c r="K93" s="40" t="str">
        <f aca="false">IF(AK93&gt;AJ93,"Zoning estimate",IF(H93="Yes","Approved plans",IF(G93&gt;0,"Listing claim","110% old house")))</f>
        <v>Zoning estimate</v>
      </c>
      <c r="L93" s="45" t="n">
        <f aca="false">IF(AK93&gt;AJ93,IF(AI93&gt;AH93,Assumptions!$B$22,Assumptions!$B$21),Assumptions!$B$21)</f>
        <v>3</v>
      </c>
      <c r="M93" s="46" t="n">
        <f aca="false">INDEX(Assumptions!$B$32:$B$44,MATCH(AG93,Assumptions!$A$32:$A$44,0))*(1+IF(UPPER(Assumptions!$B$27)="WORST",Assumptions!$B$24,IF(UPPER(Assumptions!$B$27)="BEST",Assumptions!$B$26,Assumptions!$B$25)))</f>
        <v>1430</v>
      </c>
      <c r="N93" s="47" t="n">
        <f aca="false">J93*M93</f>
        <v>4105530</v>
      </c>
      <c r="O93" s="47" t="n">
        <f aca="false">D93</f>
        <v>2199999</v>
      </c>
      <c r="P93" s="47" t="n">
        <f aca="false">J93*Assumptions!$B$4</f>
        <v>2009700</v>
      </c>
      <c r="Q93" s="47" t="n">
        <f aca="false">IF(H93="Yes",Assumptions!$B$6*(D93),(J93)*Assumptions!$B$5)</f>
        <v>215325</v>
      </c>
      <c r="R93" s="47" t="n">
        <f aca="false">AL93*(Assumptions!$B$8*L93*Assumptions!$B$9+Assumptions!$B$10)</f>
        <v>560871.792</v>
      </c>
      <c r="S93" s="47" t="n">
        <f aca="false">O93*Assumptions!$B$11*L93</f>
        <v>79199.964</v>
      </c>
      <c r="T93" s="47" t="n">
        <f aca="false">N93*(Assumptions!$B$12+Assumptions!$B$13)</f>
        <v>228267.468</v>
      </c>
      <c r="U93" s="47" t="n">
        <f aca="false">N93*IF(N93&gt;=Assumptions!$B$16,Assumptions!$B$17,IF(N93&gt;=Assumptions!$B$14,Assumptions!$B$15,0))</f>
        <v>0</v>
      </c>
      <c r="V93" s="48" t="n">
        <f aca="false">SUM(O93:U93)</f>
        <v>5293363.224</v>
      </c>
      <c r="W93" s="48" t="n">
        <f aca="false">N93-V93</f>
        <v>-1187833.224</v>
      </c>
      <c r="X93" s="49" t="n">
        <f aca="false">IF(V93=0,0,W93/V93)</f>
        <v>-0.224400475413134</v>
      </c>
      <c r="Y93" s="47" t="n">
        <f aca="false">MAX(0,(N93/(1+Assumptions!$B$23)-(J93*(Assumptions!$B$4+IF(H93="Yes",0,Assumptions!$B$5)))*(1+(Assumptions!$B$7*(Assumptions!$B$8*L93*Assumptions!$B$9+Assumptions!$B$10)))-N93*(Assumptions!$B$12+Assumptions!$B$13+IF(N93&gt;=Assumptions!$B$16,Assumptions!$B$17,IF(N93&gt;=Assumptions!$B$14,Assumptions!$B$15,0))))/((1+IF(H93="Yes",Assumptions!$B$6,0))*(1+(Assumptions!$B$7*(Assumptions!$B$8*L93*Assumptions!$B$9+Assumptions!$B$10)))+Assumptions!$B$11*L93))</f>
        <v>717877.187879185</v>
      </c>
      <c r="Z93" s="50" t="n">
        <f aca="false">IF(Y93&lt;=0,"no price works",D93/Y93)</f>
        <v>3.0645896500757</v>
      </c>
      <c r="AA93" s="46" t="n">
        <f aca="false">INDEX(Assumptions!$B$32:$B$44,MATCH(AG93,Assumptions!$A$32:$A$44,0))*(1+Assumptions!$B$24)</f>
        <v>1300</v>
      </c>
      <c r="AB93" s="47" t="n">
        <f aca="false">(J93)*AA93-(((D93)+(J93)*Assumptions!$B$4+IF(H93="Yes",Assumptions!$B$6*(D93),(J93)*Assumptions!$B$5))*(1+Assumptions!$B$7*(Assumptions!$B$8*(L93)*Assumptions!$B$9+Assumptions!$B$10))+(D93)*Assumptions!$B$11*(L93)+(J93)*AA93*(Assumptions!$B$12+Assumptions!$B$13+IF((J93)*AA93&gt;=Assumptions!$B$16,Assumptions!$B$17,IF((J93)*AA93&gt;=Assumptions!$B$14,Assumptions!$B$15,0))))</f>
        <v>-1540311.636</v>
      </c>
      <c r="AC93" s="46" t="n">
        <f aca="false">INDEX(Assumptions!$B$32:$B$44,MATCH(AG93,Assumptions!$A$32:$A$44,0))*(1+Assumptions!$B$25)</f>
        <v>1430</v>
      </c>
      <c r="AD93" s="47" t="n">
        <f aca="false">(J93)*AC93-(((D93)+(J93)*Assumptions!$B$4+IF(H93="Yes",Assumptions!$B$6*(D93),(J93)*Assumptions!$B$5))*(1+Assumptions!$B$7*(Assumptions!$B$8*(L93)*Assumptions!$B$9+Assumptions!$B$10))+(D93)*Assumptions!$B$11*(L93)+(J93)*AC93*(Assumptions!$B$12+Assumptions!$B$13+IF((J93)*AC93&gt;=Assumptions!$B$16,Assumptions!$B$17,IF((J93)*AC93&gt;=Assumptions!$B$14,Assumptions!$B$15,0))))</f>
        <v>-1187833.224</v>
      </c>
      <c r="AE93" s="46" t="n">
        <f aca="false">INDEX(Assumptions!$B$32:$B$44,MATCH(AG93,Assumptions!$A$32:$A$44,0))*(1+Assumptions!$B$26)</f>
        <v>1560</v>
      </c>
      <c r="AF93" s="47" t="n">
        <f aca="false">(J93)*AE93-(((D93)+(J93)*Assumptions!$B$4+IF(H93="Yes",Assumptions!$B$6*(D93),(J93)*Assumptions!$B$5))*(1+Assumptions!$B$7*(Assumptions!$B$8*(L93)*Assumptions!$B$9+Assumptions!$B$10))+(D93)*Assumptions!$B$11*(L93)+(J93)*AE93*(Assumptions!$B$12+Assumptions!$B$13+IF((J93)*AE93&gt;=Assumptions!$B$16,Assumptions!$B$17,IF((J93)*AE93&gt;=Assumptions!$B$14,Assumptions!$B$15,0))))</f>
        <v>-835354.811999999</v>
      </c>
      <c r="AG93" s="40" t="s">
        <v>126</v>
      </c>
      <c r="AH93" s="45" t="n">
        <f aca="false">IF(G93&gt;0,G93,ROUND(F93*Assumptions!$B$18,0))</f>
        <v>1990</v>
      </c>
      <c r="AI93" s="45" t="n">
        <f aca="false">IF(H93="Yes",AH93,MAX(AH93,MIN(Assumptions!$B$20,ROUND(E93*Assumptions!$B$19,0))))</f>
        <v>2871</v>
      </c>
      <c r="AJ93" s="47" t="n">
        <f aca="false">(AH93)*AC93-(((D93)+(AH93)*Assumptions!$B$4+IF(H93="Yes",Assumptions!$B$6*(D93),(AH93)*Assumptions!$B$5))*(1+Assumptions!$B$7*(Assumptions!$B$8*(Assumptions!$B$21)*Assumptions!$B$9+Assumptions!$B$10))+(D93)*Assumptions!$B$11*(Assumptions!$B$21)+(AH93)*AC93*(Assumptions!$B$12+Assumptions!$B$13+IF((AH93)*AC93&gt;=Assumptions!$B$16,Assumptions!$B$17,IF((AH93)*AC93&gt;=Assumptions!$B$14,Assumptions!$B$15,0))))</f>
        <v>-1435952.24575</v>
      </c>
      <c r="AK93" s="47" t="n">
        <f aca="false">(AI93)*AC93-(((D93)+(AI93)*Assumptions!$B$4+IF(H93="Yes",Assumptions!$B$6*(D93),(AI93)*Assumptions!$B$5))*(1+Assumptions!$B$7*(Assumptions!$B$8*(IF(AI93&gt;AH93,Assumptions!$B$22,Assumptions!$B$21))*Assumptions!$B$9+Assumptions!$B$10))+(D93)*Assumptions!$B$11*(IF(AI93&gt;AH93,Assumptions!$B$22,Assumptions!$B$21))+(AI93)*AC93*(Assumptions!$B$12+Assumptions!$B$13+IF((AI93)*AC93&gt;=Assumptions!$B$16,Assumptions!$B$17,IF((AI93)*AC93&gt;=Assumptions!$B$14,Assumptions!$B$15,0))))</f>
        <v>-1187833.224</v>
      </c>
      <c r="AL93" s="47" t="n">
        <f aca="false">Assumptions!$B$7*(O93+P93+Q93)</f>
        <v>2876265.6</v>
      </c>
    </row>
    <row r="94" customFormat="false" ht="15" hidden="false" customHeight="false" outlineLevel="0" collapsed="false">
      <c r="A94" s="40" t="n">
        <v>92</v>
      </c>
      <c r="B94" s="40" t="s">
        <v>227</v>
      </c>
      <c r="C94" s="40" t="s">
        <v>124</v>
      </c>
      <c r="D94" s="41" t="n">
        <v>2795000</v>
      </c>
      <c r="E94" s="42" t="n">
        <v>7802</v>
      </c>
      <c r="F94" s="42" t="n">
        <v>2828</v>
      </c>
      <c r="G94" s="42"/>
      <c r="H94" s="43" t="s">
        <v>67</v>
      </c>
      <c r="I94" s="44"/>
      <c r="J94" s="45" t="n">
        <f aca="false">IF(AK94&gt;AJ94,AI94,AH94)</f>
        <v>3111</v>
      </c>
      <c r="K94" s="40" t="str">
        <f aca="false">IF(AK94&gt;AJ94,"Zoning estimate",IF(H94="Yes","Approved plans",IF(G94&gt;0,"Listing claim","110% old house")))</f>
        <v>110% old house</v>
      </c>
      <c r="L94" s="45" t="n">
        <f aca="false">IF(AK94&gt;AJ94,IF(AI94&gt;AH94,Assumptions!$B$22,Assumptions!$B$21),Assumptions!$B$21)</f>
        <v>2</v>
      </c>
      <c r="M94" s="46" t="n">
        <f aca="false">INDEX(Assumptions!$B$32:$B$44,MATCH(AG94,Assumptions!$A$32:$A$44,0))*(1+IF(UPPER(Assumptions!$B$27)="WORST",Assumptions!$B$24,IF(UPPER(Assumptions!$B$27)="BEST",Assumptions!$B$26,Assumptions!$B$25)))</f>
        <v>1430</v>
      </c>
      <c r="N94" s="47" t="n">
        <f aca="false">J94*M94</f>
        <v>4448730</v>
      </c>
      <c r="O94" s="47" t="n">
        <f aca="false">D94</f>
        <v>2795000</v>
      </c>
      <c r="P94" s="47" t="n">
        <f aca="false">J94*Assumptions!$B$4</f>
        <v>2177700</v>
      </c>
      <c r="Q94" s="47" t="n">
        <f aca="false">IF(H94="Yes",Assumptions!$B$6*(D94),(J94)*Assumptions!$B$5)</f>
        <v>233325</v>
      </c>
      <c r="R94" s="47" t="n">
        <f aca="false">AL94*(Assumptions!$B$8*L94*Assumptions!$B$9+Assumptions!$B$10)</f>
        <v>456828.69375</v>
      </c>
      <c r="S94" s="47" t="n">
        <f aca="false">O94*Assumptions!$B$11*L94</f>
        <v>67080</v>
      </c>
      <c r="T94" s="47" t="n">
        <f aca="false">N94*(Assumptions!$B$12+Assumptions!$B$13)</f>
        <v>247349.388</v>
      </c>
      <c r="U94" s="47" t="n">
        <f aca="false">N94*IF(N94&gt;=Assumptions!$B$16,Assumptions!$B$17,IF(N94&gt;=Assumptions!$B$14,Assumptions!$B$15,0))</f>
        <v>0</v>
      </c>
      <c r="V94" s="48" t="n">
        <f aca="false">SUM(O94:U94)</f>
        <v>5977283.08175</v>
      </c>
      <c r="W94" s="48" t="n">
        <f aca="false">N94-V94</f>
        <v>-1528553.08175</v>
      </c>
      <c r="X94" s="49" t="n">
        <f aca="false">IF(V94=0,0,W94/V94)</f>
        <v>-0.255727068777622</v>
      </c>
      <c r="Y94" s="47" t="n">
        <f aca="false">MAX(0,(N94/(1+Assumptions!$B$23)-(J94*(Assumptions!$B$4+IF(H94="Yes",0,Assumptions!$B$5)))*(1+(Assumptions!$B$7*(Assumptions!$B$8*L94*Assumptions!$B$9+Assumptions!$B$10)))-N94*(Assumptions!$B$12+Assumptions!$B$13+IF(N94&gt;=Assumptions!$B$16,Assumptions!$B$17,IF(N94&gt;=Assumptions!$B$14,Assumptions!$B$15,0))))/((1+IF(H94="Yes",Assumptions!$B$6,0))*(1+(Assumptions!$B$7*(Assumptions!$B$8*L94*Assumptions!$B$9+Assumptions!$B$10)))+Assumptions!$B$11*L94))</f>
        <v>898150.697382702</v>
      </c>
      <c r="Z94" s="50" t="n">
        <f aca="false">IF(Y94&lt;=0,"no price works",D94/Y94)</f>
        <v>3.11194993016751</v>
      </c>
      <c r="AA94" s="46" t="n">
        <f aca="false">INDEX(Assumptions!$B$32:$B$44,MATCH(AG94,Assumptions!$A$32:$A$44,0))*(1+Assumptions!$B$24)</f>
        <v>1300</v>
      </c>
      <c r="AB94" s="47" t="n">
        <f aca="false">(J94)*AA94-(((D94)+(J94)*Assumptions!$B$4+IF(H94="Yes",Assumptions!$B$6*(D94),(J94)*Assumptions!$B$5))*(1+Assumptions!$B$7*(Assumptions!$B$8*(L94)*Assumptions!$B$9+Assumptions!$B$10))+(D94)*Assumptions!$B$11*(L94)+(J94)*AA94*(Assumptions!$B$12+Assumptions!$B$13+IF((J94)*AA94&gt;=Assumptions!$B$16,Assumptions!$B$17,IF((J94)*AA94&gt;=Assumptions!$B$14,Assumptions!$B$15,0))))</f>
        <v>-1910496.77375</v>
      </c>
      <c r="AC94" s="46" t="n">
        <f aca="false">INDEX(Assumptions!$B$32:$B$44,MATCH(AG94,Assumptions!$A$32:$A$44,0))*(1+Assumptions!$B$25)</f>
        <v>1430</v>
      </c>
      <c r="AD94" s="47" t="n">
        <f aca="false">(J94)*AC94-(((D94)+(J94)*Assumptions!$B$4+IF(H94="Yes",Assumptions!$B$6*(D94),(J94)*Assumptions!$B$5))*(1+Assumptions!$B$7*(Assumptions!$B$8*(L94)*Assumptions!$B$9+Assumptions!$B$10))+(D94)*Assumptions!$B$11*(L94)+(J94)*AC94*(Assumptions!$B$12+Assumptions!$B$13+IF((J94)*AC94&gt;=Assumptions!$B$16,Assumptions!$B$17,IF((J94)*AC94&gt;=Assumptions!$B$14,Assumptions!$B$15,0))))</f>
        <v>-1528553.08175</v>
      </c>
      <c r="AE94" s="46" t="n">
        <f aca="false">INDEX(Assumptions!$B$32:$B$44,MATCH(AG94,Assumptions!$A$32:$A$44,0))*(1+Assumptions!$B$26)</f>
        <v>1560</v>
      </c>
      <c r="AF94" s="47" t="n">
        <f aca="false">(J94)*AE94-(((D94)+(J94)*Assumptions!$B$4+IF(H94="Yes",Assumptions!$B$6*(D94),(J94)*Assumptions!$B$5))*(1+Assumptions!$B$7*(Assumptions!$B$8*(L94)*Assumptions!$B$9+Assumptions!$B$10))+(D94)*Assumptions!$B$11*(L94)+(J94)*AE94*(Assumptions!$B$12+Assumptions!$B$13+IF((J94)*AE94&gt;=Assumptions!$B$16,Assumptions!$B$17,IF((J94)*AE94&gt;=Assumptions!$B$14,Assumptions!$B$15,0))))</f>
        <v>-1146609.38975</v>
      </c>
      <c r="AG94" s="40" t="s">
        <v>126</v>
      </c>
      <c r="AH94" s="45" t="n">
        <f aca="false">IF(G94&gt;0,G94,ROUND(F94*Assumptions!$B$18,0))</f>
        <v>3111</v>
      </c>
      <c r="AI94" s="45" t="n">
        <f aca="false">IF(H94="Yes",AH94,MAX(AH94,MIN(Assumptions!$B$20,ROUND(E94*Assumptions!$B$19,0))))</f>
        <v>3121</v>
      </c>
      <c r="AJ94" s="47" t="n">
        <f aca="false">(AH94)*AC94-(((D94)+(AH94)*Assumptions!$B$4+IF(H94="Yes",Assumptions!$B$6*(D94),(AH94)*Assumptions!$B$5))*(1+Assumptions!$B$7*(Assumptions!$B$8*(Assumptions!$B$21)*Assumptions!$B$9+Assumptions!$B$10))+(D94)*Assumptions!$B$11*(Assumptions!$B$21)+(AH94)*AC94*(Assumptions!$B$12+Assumptions!$B$13+IF((AH94)*AC94&gt;=Assumptions!$B$16,Assumptions!$B$17,IF((AH94)*AC94&gt;=Assumptions!$B$14,Assumptions!$B$15,0))))</f>
        <v>-1528553.08175</v>
      </c>
      <c r="AK94" s="47" t="n">
        <f aca="false">(AI94)*AC94-(((D94)+(AI94)*Assumptions!$B$4+IF(H94="Yes",Assumptions!$B$6*(D94),(AI94)*Assumptions!$B$5))*(1+Assumptions!$B$7*(Assumptions!$B$8*(IF(AI94&gt;AH94,Assumptions!$B$22,Assumptions!$B$21))*Assumptions!$B$9+Assumptions!$B$10))+(D94)*Assumptions!$B$11*(IF(AI94&gt;AH94,Assumptions!$B$22,Assumptions!$B$21))+(AI94)*AC94*(Assumptions!$B$12+Assumptions!$B$13+IF((AI94)*AC94&gt;=Assumptions!$B$16,Assumptions!$B$17,IF((AI94)*AC94&gt;=Assumptions!$B$14,Assumptions!$B$15,0))))</f>
        <v>-1760355.44925</v>
      </c>
      <c r="AL94" s="47" t="n">
        <f aca="false">Assumptions!$B$7*(O94+P94+Q94)</f>
        <v>3383916.25</v>
      </c>
    </row>
    <row r="95" customFormat="false" ht="15" hidden="false" customHeight="false" outlineLevel="0" collapsed="false">
      <c r="A95" s="40" t="n">
        <v>93</v>
      </c>
      <c r="B95" s="40" t="s">
        <v>228</v>
      </c>
      <c r="C95" s="40" t="s">
        <v>130</v>
      </c>
      <c r="D95" s="41" t="n">
        <v>4995000</v>
      </c>
      <c r="E95" s="42" t="n">
        <v>63540</v>
      </c>
      <c r="F95" s="42" t="n">
        <v>8043</v>
      </c>
      <c r="G95" s="42"/>
      <c r="H95" s="43" t="s">
        <v>67</v>
      </c>
      <c r="I95" s="44"/>
      <c r="J95" s="45" t="n">
        <f aca="false">IF(AK95&gt;AJ95,AI95,AH95)</f>
        <v>8847</v>
      </c>
      <c r="K95" s="40" t="str">
        <f aca="false">IF(AK95&gt;AJ95,"Zoning estimate",IF(H95="Yes","Approved plans",IF(G95&gt;0,"Listing claim","110% old house")))</f>
        <v>110% old house</v>
      </c>
      <c r="L95" s="45" t="n">
        <f aca="false">IF(AK95&gt;AJ95,IF(AI95&gt;AH95,Assumptions!$B$22,Assumptions!$B$21),Assumptions!$B$21)</f>
        <v>2</v>
      </c>
      <c r="M95" s="46" t="n">
        <f aca="false">INDEX(Assumptions!$B$32:$B$44,MATCH(AG95,Assumptions!$A$32:$A$44,0))*(1+IF(UPPER(Assumptions!$B$27)="WORST",Assumptions!$B$24,IF(UPPER(Assumptions!$B$27)="BEST",Assumptions!$B$26,Assumptions!$B$25)))</f>
        <v>1375</v>
      </c>
      <c r="N95" s="47" t="n">
        <f aca="false">J95*M95</f>
        <v>12164625</v>
      </c>
      <c r="O95" s="47" t="n">
        <f aca="false">D95</f>
        <v>4995000</v>
      </c>
      <c r="P95" s="47" t="n">
        <f aca="false">J95*Assumptions!$B$4</f>
        <v>6192900</v>
      </c>
      <c r="Q95" s="47" t="n">
        <f aca="false">IF(H95="Yes",Assumptions!$B$6*(D95),(J95)*Assumptions!$B$5)</f>
        <v>663525</v>
      </c>
      <c r="R95" s="47" t="n">
        <f aca="false">AL95*(Assumptions!$B$8*L95*Assumptions!$B$9+Assumptions!$B$10)</f>
        <v>1039962.54375</v>
      </c>
      <c r="S95" s="47" t="n">
        <f aca="false">O95*Assumptions!$B$11*L95</f>
        <v>119880</v>
      </c>
      <c r="T95" s="47" t="n">
        <f aca="false">N95*(Assumptions!$B$12+Assumptions!$B$13)</f>
        <v>676353.15</v>
      </c>
      <c r="U95" s="47" t="n">
        <f aca="false">N95*IF(N95&gt;=Assumptions!$B$16,Assumptions!$B$17,IF(N95&gt;=Assumptions!$B$14,Assumptions!$B$15,0))</f>
        <v>669054.375</v>
      </c>
      <c r="V95" s="48" t="n">
        <f aca="false">SUM(O95:U95)</f>
        <v>14356675.06875</v>
      </c>
      <c r="W95" s="48" t="n">
        <f aca="false">N95-V95</f>
        <v>-2192050.06875</v>
      </c>
      <c r="X95" s="49" t="n">
        <f aca="false">IF(V95=0,0,W95/V95)</f>
        <v>-0.152685079118452</v>
      </c>
      <c r="Y95" s="47" t="n">
        <f aca="false">MAX(0,(N95/(1+Assumptions!$B$23)-(J95*(Assumptions!$B$4+IF(H95="Yes",0,Assumptions!$B$5)))*(1+(Assumptions!$B$7*(Assumptions!$B$8*L95*Assumptions!$B$9+Assumptions!$B$10)))-N95*(Assumptions!$B$12+Assumptions!$B$13+IF(N95&gt;=Assumptions!$B$16,Assumptions!$B$17,IF(N95&gt;=Assumptions!$B$14,Assumptions!$B$15,0))))/((1+IF(H95="Yes",Assumptions!$B$6,0))*(1+(Assumptions!$B$7*(Assumptions!$B$8*L95*Assumptions!$B$9+Assumptions!$B$10)))+Assumptions!$B$11*L95))</f>
        <v>1596088.11680566</v>
      </c>
      <c r="Z95" s="50" t="n">
        <f aca="false">IF(Y95&lt;=0,"no price works",D95/Y95)</f>
        <v>3.12952646373733</v>
      </c>
      <c r="AA95" s="46" t="n">
        <f aca="false">INDEX(Assumptions!$B$32:$B$44,MATCH(AG95,Assumptions!$A$32:$A$44,0))*(1+Assumptions!$B$24)</f>
        <v>1250</v>
      </c>
      <c r="AB95" s="47" t="n">
        <f aca="false">(J95)*AA95-(((D95)+(J95)*Assumptions!$B$4+IF(H95="Yes",Assumptions!$B$6*(D95),(J95)*Assumptions!$B$5))*(1+Assumptions!$B$7*(Assumptions!$B$8*(L95)*Assumptions!$B$9+Assumptions!$B$10))+(D95)*Assumptions!$B$11*(L95)+(J95)*AA95*(Assumptions!$B$12+Assumptions!$B$13+IF((J95)*AA95&gt;=Assumptions!$B$16,Assumptions!$B$17,IF((J95)*AA95&gt;=Assumptions!$B$14,Assumptions!$B$15,0))))</f>
        <v>-3175615.29375</v>
      </c>
      <c r="AC95" s="46" t="n">
        <f aca="false">INDEX(Assumptions!$B$32:$B$44,MATCH(AG95,Assumptions!$A$32:$A$44,0))*(1+Assumptions!$B$25)</f>
        <v>1375</v>
      </c>
      <c r="AD95" s="47" t="n">
        <f aca="false">(J95)*AC95-(((D95)+(J95)*Assumptions!$B$4+IF(H95="Yes",Assumptions!$B$6*(D95),(J95)*Assumptions!$B$5))*(1+Assumptions!$B$7*(Assumptions!$B$8*(L95)*Assumptions!$B$9+Assumptions!$B$10))+(D95)*Assumptions!$B$11*(L95)+(J95)*AC95*(Assumptions!$B$12+Assumptions!$B$13+IF((J95)*AC95&gt;=Assumptions!$B$16,Assumptions!$B$17,IF((J95)*AC95&gt;=Assumptions!$B$14,Assumptions!$B$15,0))))</f>
        <v>-2192050.06875</v>
      </c>
      <c r="AE95" s="46" t="n">
        <f aca="false">INDEX(Assumptions!$B$32:$B$44,MATCH(AG95,Assumptions!$A$32:$A$44,0))*(1+Assumptions!$B$26)</f>
        <v>1500</v>
      </c>
      <c r="AF95" s="47" t="n">
        <f aca="false">(J95)*AE95-(((D95)+(J95)*Assumptions!$B$4+IF(H95="Yes",Assumptions!$B$6*(D95),(J95)*Assumptions!$B$5))*(1+Assumptions!$B$7*(Assumptions!$B$8*(L95)*Assumptions!$B$9+Assumptions!$B$10))+(D95)*Assumptions!$B$11*(L95)+(J95)*AE95*(Assumptions!$B$12+Assumptions!$B$13+IF((J95)*AE95&gt;=Assumptions!$B$16,Assumptions!$B$17,IF((J95)*AE95&gt;=Assumptions!$B$14,Assumptions!$B$15,0))))</f>
        <v>-1208484.84375</v>
      </c>
      <c r="AG95" s="40" t="s">
        <v>132</v>
      </c>
      <c r="AH95" s="45" t="n">
        <f aca="false">IF(G95&gt;0,G95,ROUND(F95*Assumptions!$B$18,0))</f>
        <v>8847</v>
      </c>
      <c r="AI95" s="45" t="n">
        <f aca="false">IF(H95="Yes",AH95,MAX(AH95,MIN(Assumptions!$B$20,ROUND(E95*Assumptions!$B$19,0))))</f>
        <v>8847</v>
      </c>
      <c r="AJ95" s="47" t="n">
        <f aca="false">(AH95)*AC95-(((D95)+(AH95)*Assumptions!$B$4+IF(H95="Yes",Assumptions!$B$6*(D95),(AH95)*Assumptions!$B$5))*(1+Assumptions!$B$7*(Assumptions!$B$8*(Assumptions!$B$21)*Assumptions!$B$9+Assumptions!$B$10))+(D95)*Assumptions!$B$11*(Assumptions!$B$21)+(AH95)*AC95*(Assumptions!$B$12+Assumptions!$B$13+IF((AH95)*AC95&gt;=Assumptions!$B$16,Assumptions!$B$17,IF((AH95)*AC95&gt;=Assumptions!$B$14,Assumptions!$B$15,0))))</f>
        <v>-2192050.06875</v>
      </c>
      <c r="AK95" s="47" t="n">
        <f aca="false">(AI95)*AC95-(((D95)+(AI95)*Assumptions!$B$4+IF(H95="Yes",Assumptions!$B$6*(D95),(AI95)*Assumptions!$B$5))*(1+Assumptions!$B$7*(Assumptions!$B$8*(IF(AI95&gt;AH95,Assumptions!$B$22,Assumptions!$B$21))*Assumptions!$B$9+Assumptions!$B$10))+(D95)*Assumptions!$B$11*(IF(AI95&gt;AH95,Assumptions!$B$22,Assumptions!$B$21))+(AI95)*AC95*(Assumptions!$B$12+Assumptions!$B$13+IF((AI95)*AC95&gt;=Assumptions!$B$16,Assumptions!$B$17,IF((AI95)*AC95&gt;=Assumptions!$B$14,Assumptions!$B$15,0))))</f>
        <v>-2192050.06875</v>
      </c>
      <c r="AL95" s="47" t="n">
        <f aca="false">Assumptions!$B$7*(O95+P95+Q95)</f>
        <v>7703426.25</v>
      </c>
    </row>
    <row r="96" customFormat="false" ht="15" hidden="false" customHeight="false" outlineLevel="0" collapsed="false">
      <c r="A96" s="40" t="n">
        <v>94</v>
      </c>
      <c r="B96" s="40" t="s">
        <v>229</v>
      </c>
      <c r="C96" s="40" t="s">
        <v>98</v>
      </c>
      <c r="D96" s="41" t="n">
        <v>2149000</v>
      </c>
      <c r="E96" s="42" t="n">
        <v>8071</v>
      </c>
      <c r="F96" s="42" t="n">
        <v>1505</v>
      </c>
      <c r="G96" s="42"/>
      <c r="H96" s="43" t="s">
        <v>67</v>
      </c>
      <c r="I96" s="44"/>
      <c r="J96" s="45" t="n">
        <f aca="false">IF(AK96&gt;AJ96,AI96,AH96)</f>
        <v>3228</v>
      </c>
      <c r="K96" s="40" t="str">
        <f aca="false">IF(AK96&gt;AJ96,"Zoning estimate",IF(H96="Yes","Approved plans",IF(G96&gt;0,"Listing claim","110% old house")))</f>
        <v>Zoning estimate</v>
      </c>
      <c r="L96" s="45" t="n">
        <f aca="false">IF(AK96&gt;AJ96,IF(AI96&gt;AH96,Assumptions!$B$22,Assumptions!$B$21),Assumptions!$B$21)</f>
        <v>3</v>
      </c>
      <c r="M96" s="46" t="n">
        <f aca="false">INDEX(Assumptions!$B$32:$B$44,MATCH(AG96,Assumptions!$A$32:$A$44,0))*(1+IF(UPPER(Assumptions!$B$27)="WORST",Assumptions!$B$24,IF(UPPER(Assumptions!$B$27)="BEST",Assumptions!$B$26,Assumptions!$B$25)))</f>
        <v>1375</v>
      </c>
      <c r="N96" s="47" t="n">
        <f aca="false">J96*M96</f>
        <v>4438500</v>
      </c>
      <c r="O96" s="47" t="n">
        <f aca="false">D96</f>
        <v>2149000</v>
      </c>
      <c r="P96" s="47" t="n">
        <f aca="false">J96*Assumptions!$B$4</f>
        <v>2259600</v>
      </c>
      <c r="Q96" s="47" t="n">
        <f aca="false">IF(H96="Yes",Assumptions!$B$6*(D96),(J96)*Assumptions!$B$5)</f>
        <v>242100</v>
      </c>
      <c r="R96" s="47" t="n">
        <f aca="false">AL96*(Assumptions!$B$8*L96*Assumptions!$B$9+Assumptions!$B$10)</f>
        <v>589476.225</v>
      </c>
      <c r="S96" s="47" t="n">
        <f aca="false">O96*Assumptions!$B$11*L96</f>
        <v>77364</v>
      </c>
      <c r="T96" s="47" t="n">
        <f aca="false">N96*(Assumptions!$B$12+Assumptions!$B$13)</f>
        <v>246780.6</v>
      </c>
      <c r="U96" s="47" t="n">
        <f aca="false">N96*IF(N96&gt;=Assumptions!$B$16,Assumptions!$B$17,IF(N96&gt;=Assumptions!$B$14,Assumptions!$B$15,0))</f>
        <v>0</v>
      </c>
      <c r="V96" s="48" t="n">
        <f aca="false">SUM(O96:U96)</f>
        <v>5564320.825</v>
      </c>
      <c r="W96" s="48" t="n">
        <f aca="false">N96-V96</f>
        <v>-1125820.825</v>
      </c>
      <c r="X96" s="49" t="n">
        <f aca="false">IF(V96=0,0,W96/V96)</f>
        <v>-0.202328524973216</v>
      </c>
      <c r="Y96" s="47" t="n">
        <f aca="false">MAX(0,(N96/(1+Assumptions!$B$23)-(J96*(Assumptions!$B$4+IF(H96="Yes",0,Assumptions!$B$5)))*(1+(Assumptions!$B$7*(Assumptions!$B$8*L96*Assumptions!$B$9+Assumptions!$B$10)))-N96*(Assumptions!$B$12+Assumptions!$B$13+IF(N96&gt;=Assumptions!$B$16,Assumptions!$B$17,IF(N96&gt;=Assumptions!$B$14,Assumptions!$B$15,0))))/((1+IF(H96="Yes",Assumptions!$B$6,0))*(1+(Assumptions!$B$7*(Assumptions!$B$8*L96*Assumptions!$B$9+Assumptions!$B$10)))+Assumptions!$B$11*L96))</f>
        <v>682858.86251671</v>
      </c>
      <c r="Z96" s="50" t="n">
        <f aca="false">IF(Y96&lt;=0,"no price works",D96/Y96)</f>
        <v>3.14706320436371</v>
      </c>
      <c r="AA96" s="46" t="n">
        <f aca="false">INDEX(Assumptions!$B$32:$B$44,MATCH(AG96,Assumptions!$A$32:$A$44,0))*(1+Assumptions!$B$24)</f>
        <v>1250</v>
      </c>
      <c r="AB96" s="47" t="n">
        <f aca="false">(J96)*AA96-(((D96)+(J96)*Assumptions!$B$4+IF(H96="Yes",Assumptions!$B$6*(D96),(J96)*Assumptions!$B$5))*(1+Assumptions!$B$7*(Assumptions!$B$8*(L96)*Assumptions!$B$9+Assumptions!$B$10))+(D96)*Assumptions!$B$11*(L96)+(J96)*AA96*(Assumptions!$B$12+Assumptions!$B$13+IF((J96)*AA96&gt;=Assumptions!$B$16,Assumptions!$B$17,IF((J96)*AA96&gt;=Assumptions!$B$14,Assumptions!$B$15,0))))</f>
        <v>-1506886.225</v>
      </c>
      <c r="AC96" s="46" t="n">
        <f aca="false">INDEX(Assumptions!$B$32:$B$44,MATCH(AG96,Assumptions!$A$32:$A$44,0))*(1+Assumptions!$B$25)</f>
        <v>1375</v>
      </c>
      <c r="AD96" s="47" t="n">
        <f aca="false">(J96)*AC96-(((D96)+(J96)*Assumptions!$B$4+IF(H96="Yes",Assumptions!$B$6*(D96),(J96)*Assumptions!$B$5))*(1+Assumptions!$B$7*(Assumptions!$B$8*(L96)*Assumptions!$B$9+Assumptions!$B$10))+(D96)*Assumptions!$B$11*(L96)+(J96)*AC96*(Assumptions!$B$12+Assumptions!$B$13+IF((J96)*AC96&gt;=Assumptions!$B$16,Assumptions!$B$17,IF((J96)*AC96&gt;=Assumptions!$B$14,Assumptions!$B$15,0))))</f>
        <v>-1125820.825</v>
      </c>
      <c r="AE96" s="46" t="n">
        <f aca="false">INDEX(Assumptions!$B$32:$B$44,MATCH(AG96,Assumptions!$A$32:$A$44,0))*(1+Assumptions!$B$26)</f>
        <v>1500</v>
      </c>
      <c r="AF96" s="47" t="n">
        <f aca="false">(J96)*AE96-(((D96)+(J96)*Assumptions!$B$4+IF(H96="Yes",Assumptions!$B$6*(D96),(J96)*Assumptions!$B$5))*(1+Assumptions!$B$7*(Assumptions!$B$8*(L96)*Assumptions!$B$9+Assumptions!$B$10))+(D96)*Assumptions!$B$11*(L96)+(J96)*AE96*(Assumptions!$B$12+Assumptions!$B$13+IF((J96)*AE96&gt;=Assumptions!$B$16,Assumptions!$B$17,IF((J96)*AE96&gt;=Assumptions!$B$14,Assumptions!$B$15,0))))</f>
        <v>-744755.425</v>
      </c>
      <c r="AG96" s="40" t="s">
        <v>100</v>
      </c>
      <c r="AH96" s="45" t="n">
        <f aca="false">IF(G96&gt;0,G96,ROUND(F96*Assumptions!$B$18,0))</f>
        <v>1656</v>
      </c>
      <c r="AI96" s="45" t="n">
        <f aca="false">IF(H96="Yes",AH96,MAX(AH96,MIN(Assumptions!$B$20,ROUND(E96*Assumptions!$B$19,0))))</f>
        <v>3228</v>
      </c>
      <c r="AJ96" s="47" t="n">
        <f aca="false">(AH96)*AC96-(((D96)+(AH96)*Assumptions!$B$4+IF(H96="Yes",Assumptions!$B$6*(D96),(AH96)*Assumptions!$B$5))*(1+Assumptions!$B$7*(Assumptions!$B$8*(Assumptions!$B$21)*Assumptions!$B$9+Assumptions!$B$10))+(D96)*Assumptions!$B$11*(Assumptions!$B$21)+(AH96)*AC96*(Assumptions!$B$12+Assumptions!$B$13+IF((AH96)*AC96&gt;=Assumptions!$B$16,Assumptions!$B$17,IF((AH96)*AC96&gt;=Assumptions!$B$14,Assumptions!$B$15,0))))</f>
        <v>-1634770.3</v>
      </c>
      <c r="AK96" s="47" t="n">
        <f aca="false">(AI96)*AC96-(((D96)+(AI96)*Assumptions!$B$4+IF(H96="Yes",Assumptions!$B$6*(D96),(AI96)*Assumptions!$B$5))*(1+Assumptions!$B$7*(Assumptions!$B$8*(IF(AI96&gt;AH96,Assumptions!$B$22,Assumptions!$B$21))*Assumptions!$B$9+Assumptions!$B$10))+(D96)*Assumptions!$B$11*(IF(AI96&gt;AH96,Assumptions!$B$22,Assumptions!$B$21))+(AI96)*AC96*(Assumptions!$B$12+Assumptions!$B$13+IF((AI96)*AC96&gt;=Assumptions!$B$16,Assumptions!$B$17,IF((AI96)*AC96&gt;=Assumptions!$B$14,Assumptions!$B$15,0))))</f>
        <v>-1125820.825</v>
      </c>
      <c r="AL96" s="47" t="n">
        <f aca="false">Assumptions!$B$7*(O96+P96+Q96)</f>
        <v>3022955</v>
      </c>
    </row>
    <row r="97" customFormat="false" ht="15" hidden="false" customHeight="false" outlineLevel="0" collapsed="false">
      <c r="A97" s="40" t="n">
        <v>95</v>
      </c>
      <c r="B97" s="40" t="s">
        <v>230</v>
      </c>
      <c r="C97" s="40" t="s">
        <v>115</v>
      </c>
      <c r="D97" s="41" t="n">
        <v>2150000</v>
      </c>
      <c r="E97" s="42" t="n">
        <v>4004</v>
      </c>
      <c r="F97" s="42" t="n">
        <v>1672</v>
      </c>
      <c r="G97" s="42"/>
      <c r="H97" s="43" t="s">
        <v>67</v>
      </c>
      <c r="I97" s="44" t="s">
        <v>72</v>
      </c>
      <c r="J97" s="45" t="n">
        <f aca="false">IF(AK97&gt;AJ97,AI97,AH97)</f>
        <v>1839</v>
      </c>
      <c r="K97" s="40" t="str">
        <f aca="false">IF(AK97&gt;AJ97,"Zoning estimate",IF(H97="Yes","Approved plans",IF(G97&gt;0,"Listing claim","110% old house")))</f>
        <v>110% old house</v>
      </c>
      <c r="L97" s="45" t="n">
        <f aca="false">IF(AK97&gt;AJ97,IF(AI97&gt;AH97,Assumptions!$B$22,Assumptions!$B$21),Assumptions!$B$21)</f>
        <v>2</v>
      </c>
      <c r="M97" s="46" t="n">
        <f aca="false">INDEX(Assumptions!$B$32:$B$44,MATCH(AG97,Assumptions!$A$32:$A$44,0))*(1+IF(UPPER(Assumptions!$B$27)="WORST",Assumptions!$B$24,IF(UPPER(Assumptions!$B$27)="BEST",Assumptions!$B$26,Assumptions!$B$25)))</f>
        <v>1540</v>
      </c>
      <c r="N97" s="47" t="n">
        <f aca="false">J97*M97</f>
        <v>2832060</v>
      </c>
      <c r="O97" s="47" t="n">
        <f aca="false">D97</f>
        <v>2150000</v>
      </c>
      <c r="P97" s="47" t="n">
        <f aca="false">J97*Assumptions!$B$4</f>
        <v>1287300</v>
      </c>
      <c r="Q97" s="47" t="n">
        <f aca="false">IF(H97="Yes",Assumptions!$B$6*(D97),(J97)*Assumptions!$B$5)</f>
        <v>137925</v>
      </c>
      <c r="R97" s="47" t="n">
        <f aca="false">AL97*(Assumptions!$B$8*L97*Assumptions!$B$9+Assumptions!$B$10)</f>
        <v>313725.99375</v>
      </c>
      <c r="S97" s="47" t="n">
        <f aca="false">O97*Assumptions!$B$11*L97</f>
        <v>51600</v>
      </c>
      <c r="T97" s="47" t="n">
        <f aca="false">N97*(Assumptions!$B$12+Assumptions!$B$13)</f>
        <v>157462.536</v>
      </c>
      <c r="U97" s="47" t="n">
        <f aca="false">N97*IF(N97&gt;=Assumptions!$B$16,Assumptions!$B$17,IF(N97&gt;=Assumptions!$B$14,Assumptions!$B$15,0))</f>
        <v>0</v>
      </c>
      <c r="V97" s="48" t="n">
        <f aca="false">SUM(O97:U97)</f>
        <v>4098013.52975</v>
      </c>
      <c r="W97" s="48" t="n">
        <f aca="false">N97-V97</f>
        <v>-1265953.52975</v>
      </c>
      <c r="X97" s="49" t="n">
        <f aca="false">IF(V97=0,0,W97/V97)</f>
        <v>-0.308918826294658</v>
      </c>
      <c r="Y97" s="47" t="n">
        <f aca="false">MAX(0,(N97/(1+Assumptions!$B$23)-(J97*(Assumptions!$B$4+IF(H97="Yes",0,Assumptions!$B$5)))*(1+(Assumptions!$B$7*(Assumptions!$B$8*L97*Assumptions!$B$9+Assumptions!$B$10)))-N97*(Assumptions!$B$12+Assumptions!$B$13+IF(N97&gt;=Assumptions!$B$16,Assumptions!$B$17,IF(N97&gt;=Assumptions!$B$14,Assumptions!$B$15,0))))/((1+IF(H97="Yes",Assumptions!$B$6,0))*(1+(Assumptions!$B$7*(Assumptions!$B$8*L97*Assumptions!$B$9+Assumptions!$B$10)))+Assumptions!$B$11*L97))</f>
        <v>679028.414495361</v>
      </c>
      <c r="Z97" s="50" t="n">
        <f aca="false">IF(Y97&lt;=0,"no price works",D97/Y97)</f>
        <v>3.16628870619182</v>
      </c>
      <c r="AA97" s="46" t="n">
        <f aca="false">INDEX(Assumptions!$B$32:$B$44,MATCH(AG97,Assumptions!$A$32:$A$44,0))*(1+Assumptions!$B$24)</f>
        <v>1400</v>
      </c>
      <c r="AB97" s="47" t="n">
        <f aca="false">(J97)*AA97-(((D97)+(J97)*Assumptions!$B$4+IF(H97="Yes",Assumptions!$B$6*(D97),(J97)*Assumptions!$B$5))*(1+Assumptions!$B$7*(Assumptions!$B$8*(L97)*Assumptions!$B$9+Assumptions!$B$10))+(D97)*Assumptions!$B$11*(L97)+(J97)*AA97*(Assumptions!$B$12+Assumptions!$B$13+IF((J97)*AA97&gt;=Assumptions!$B$16,Assumptions!$B$17,IF((J97)*AA97&gt;=Assumptions!$B$14,Assumptions!$B$15,0))))</f>
        <v>-1509098.75375</v>
      </c>
      <c r="AC97" s="46" t="n">
        <f aca="false">INDEX(Assumptions!$B$32:$B$44,MATCH(AG97,Assumptions!$A$32:$A$44,0))*(1+Assumptions!$B$25)</f>
        <v>1540</v>
      </c>
      <c r="AD97" s="47" t="n">
        <f aca="false">(J97)*AC97-(((D97)+(J97)*Assumptions!$B$4+IF(H97="Yes",Assumptions!$B$6*(D97),(J97)*Assumptions!$B$5))*(1+Assumptions!$B$7*(Assumptions!$B$8*(L97)*Assumptions!$B$9+Assumptions!$B$10))+(D97)*Assumptions!$B$11*(L97)+(J97)*AC97*(Assumptions!$B$12+Assumptions!$B$13+IF((J97)*AC97&gt;=Assumptions!$B$16,Assumptions!$B$17,IF((J97)*AC97&gt;=Assumptions!$B$14,Assumptions!$B$15,0))))</f>
        <v>-1265953.52975</v>
      </c>
      <c r="AE97" s="46" t="n">
        <f aca="false">INDEX(Assumptions!$B$32:$B$44,MATCH(AG97,Assumptions!$A$32:$A$44,0))*(1+Assumptions!$B$26)</f>
        <v>1680</v>
      </c>
      <c r="AF97" s="47" t="n">
        <f aca="false">(J97)*AE97-(((D97)+(J97)*Assumptions!$B$4+IF(H97="Yes",Assumptions!$B$6*(D97),(J97)*Assumptions!$B$5))*(1+Assumptions!$B$7*(Assumptions!$B$8*(L97)*Assumptions!$B$9+Assumptions!$B$10))+(D97)*Assumptions!$B$11*(L97)+(J97)*AE97*(Assumptions!$B$12+Assumptions!$B$13+IF((J97)*AE97&gt;=Assumptions!$B$16,Assumptions!$B$17,IF((J97)*AE97&gt;=Assumptions!$B$14,Assumptions!$B$15,0))))</f>
        <v>-1022808.30575</v>
      </c>
      <c r="AG97" s="40" t="s">
        <v>117</v>
      </c>
      <c r="AH97" s="45" t="n">
        <f aca="false">IF(G97&gt;0,G97,ROUND(F97*Assumptions!$B$18,0))</f>
        <v>1839</v>
      </c>
      <c r="AI97" s="45" t="n">
        <f aca="false">IF(H97="Yes",AH97,MAX(AH97,MIN(Assumptions!$B$20,ROUND(E97*Assumptions!$B$19,0))))</f>
        <v>1839</v>
      </c>
      <c r="AJ97" s="47" t="n">
        <f aca="false">(AH97)*AC97-(((D97)+(AH97)*Assumptions!$B$4+IF(H97="Yes",Assumptions!$B$6*(D97),(AH97)*Assumptions!$B$5))*(1+Assumptions!$B$7*(Assumptions!$B$8*(Assumptions!$B$21)*Assumptions!$B$9+Assumptions!$B$10))+(D97)*Assumptions!$B$11*(Assumptions!$B$21)+(AH97)*AC97*(Assumptions!$B$12+Assumptions!$B$13+IF((AH97)*AC97&gt;=Assumptions!$B$16,Assumptions!$B$17,IF((AH97)*AC97&gt;=Assumptions!$B$14,Assumptions!$B$15,0))))</f>
        <v>-1265953.52975</v>
      </c>
      <c r="AK97" s="47" t="n">
        <f aca="false">(AI97)*AC97-(((D97)+(AI97)*Assumptions!$B$4+IF(H97="Yes",Assumptions!$B$6*(D97),(AI97)*Assumptions!$B$5))*(1+Assumptions!$B$7*(Assumptions!$B$8*(IF(AI97&gt;AH97,Assumptions!$B$22,Assumptions!$B$21))*Assumptions!$B$9+Assumptions!$B$10))+(D97)*Assumptions!$B$11*(IF(AI97&gt;AH97,Assumptions!$B$22,Assumptions!$B$21))+(AI97)*AC97*(Assumptions!$B$12+Assumptions!$B$13+IF((AI97)*AC97&gt;=Assumptions!$B$16,Assumptions!$B$17,IF((AI97)*AC97&gt;=Assumptions!$B$14,Assumptions!$B$15,0))))</f>
        <v>-1265953.52975</v>
      </c>
      <c r="AL97" s="47" t="n">
        <f aca="false">Assumptions!$B$7*(O97+P97+Q97)</f>
        <v>2323896.25</v>
      </c>
    </row>
    <row r="98" customFormat="false" ht="15" hidden="false" customHeight="false" outlineLevel="0" collapsed="false">
      <c r="A98" s="40" t="n">
        <v>96</v>
      </c>
      <c r="B98" s="40" t="s">
        <v>231</v>
      </c>
      <c r="C98" s="40" t="s">
        <v>124</v>
      </c>
      <c r="D98" s="41" t="n">
        <v>2995000</v>
      </c>
      <c r="E98" s="42" t="n">
        <v>11316</v>
      </c>
      <c r="F98" s="42" t="n">
        <v>2318</v>
      </c>
      <c r="G98" s="42"/>
      <c r="H98" s="43" t="s">
        <v>67</v>
      </c>
      <c r="I98" s="44"/>
      <c r="J98" s="45" t="n">
        <f aca="false">IF(AK98&gt;AJ98,AI98,AH98)</f>
        <v>4526</v>
      </c>
      <c r="K98" s="40" t="str">
        <f aca="false">IF(AK98&gt;AJ98,"Zoning estimate",IF(H98="Yes","Approved plans",IF(G98&gt;0,"Listing claim","110% old house")))</f>
        <v>Zoning estimate</v>
      </c>
      <c r="L98" s="45" t="n">
        <f aca="false">IF(AK98&gt;AJ98,IF(AI98&gt;AH98,Assumptions!$B$22,Assumptions!$B$21),Assumptions!$B$21)</f>
        <v>3</v>
      </c>
      <c r="M98" s="46" t="n">
        <f aca="false">INDEX(Assumptions!$B$32:$B$44,MATCH(AG98,Assumptions!$A$32:$A$44,0))*(1+IF(UPPER(Assumptions!$B$27)="WORST",Assumptions!$B$24,IF(UPPER(Assumptions!$B$27)="BEST",Assumptions!$B$26,Assumptions!$B$25)))</f>
        <v>1430</v>
      </c>
      <c r="N98" s="47" t="n">
        <f aca="false">J98*M98</f>
        <v>6472180</v>
      </c>
      <c r="O98" s="47" t="n">
        <f aca="false">D98</f>
        <v>2995000</v>
      </c>
      <c r="P98" s="47" t="n">
        <f aca="false">J98*Assumptions!$B$4</f>
        <v>3168200</v>
      </c>
      <c r="Q98" s="47" t="n">
        <f aca="false">IF(H98="Yes",Assumptions!$B$6*(D98),(J98)*Assumptions!$B$5)</f>
        <v>339450</v>
      </c>
      <c r="R98" s="47" t="n">
        <f aca="false">AL98*(Assumptions!$B$8*L98*Assumptions!$B$9+Assumptions!$B$10)</f>
        <v>824210.8875</v>
      </c>
      <c r="S98" s="47" t="n">
        <f aca="false">O98*Assumptions!$B$11*L98</f>
        <v>107820</v>
      </c>
      <c r="T98" s="47" t="n">
        <f aca="false">N98*(Assumptions!$B$12+Assumptions!$B$13)</f>
        <v>359853.208</v>
      </c>
      <c r="U98" s="47" t="n">
        <f aca="false">N98*IF(N98&gt;=Assumptions!$B$16,Assumptions!$B$17,IF(N98&gt;=Assumptions!$B$14,Assumptions!$B$15,0))</f>
        <v>258887.2</v>
      </c>
      <c r="V98" s="48" t="n">
        <f aca="false">SUM(O98:U98)</f>
        <v>8053421.2955</v>
      </c>
      <c r="W98" s="48" t="n">
        <f aca="false">N98-V98</f>
        <v>-1581241.2955</v>
      </c>
      <c r="X98" s="49" t="n">
        <f aca="false">IF(V98=0,0,W98/V98)</f>
        <v>-0.196344042796264</v>
      </c>
      <c r="Y98" s="47" t="n">
        <f aca="false">MAX(0,(N98/(1+Assumptions!$B$23)-(J98*(Assumptions!$B$4+IF(H98="Yes",0,Assumptions!$B$5)))*(1+(Assumptions!$B$7*(Assumptions!$B$8*L98*Assumptions!$B$9+Assumptions!$B$10)))-N98*(Assumptions!$B$12+Assumptions!$B$13+IF(N98&gt;=Assumptions!$B$16,Assumptions!$B$17,IF(N98&gt;=Assumptions!$B$14,Assumptions!$B$15,0))))/((1+IF(H98="Yes",Assumptions!$B$6,0))*(1+(Assumptions!$B$7*(Assumptions!$B$8*L98*Assumptions!$B$9+Assumptions!$B$10)))+Assumptions!$B$11*L98))</f>
        <v>909049.7210885</v>
      </c>
      <c r="Z98" s="50" t="n">
        <f aca="false">IF(Y98&lt;=0,"no price works",D98/Y98)</f>
        <v>3.29464927002428</v>
      </c>
      <c r="AA98" s="46" t="n">
        <f aca="false">INDEX(Assumptions!$B$32:$B$44,MATCH(AG98,Assumptions!$A$32:$A$44,0))*(1+Assumptions!$B$24)</f>
        <v>1300</v>
      </c>
      <c r="AB98" s="47" t="n">
        <f aca="false">(J98)*AA98-(((D98)+(J98)*Assumptions!$B$4+IF(H98="Yes",Assumptions!$B$6*(D98),(J98)*Assumptions!$B$5))*(1+Assumptions!$B$7*(Assumptions!$B$8*(L98)*Assumptions!$B$9+Assumptions!$B$10))+(D98)*Assumptions!$B$11*(L98)+(J98)*AA98*(Assumptions!$B$12+Assumptions!$B$13+IF((J98)*AA98&gt;=Assumptions!$B$16,Assumptions!$B$17,IF((J98)*AA98&gt;=Assumptions!$B$14,Assumptions!$B$15,0))))</f>
        <v>-2113372.1675</v>
      </c>
      <c r="AC98" s="46" t="n">
        <f aca="false">INDEX(Assumptions!$B$32:$B$44,MATCH(AG98,Assumptions!$A$32:$A$44,0))*(1+Assumptions!$B$25)</f>
        <v>1430</v>
      </c>
      <c r="AD98" s="47" t="n">
        <f aca="false">(J98)*AC98-(((D98)+(J98)*Assumptions!$B$4+IF(H98="Yes",Assumptions!$B$6*(D98),(J98)*Assumptions!$B$5))*(1+Assumptions!$B$7*(Assumptions!$B$8*(L98)*Assumptions!$B$9+Assumptions!$B$10))+(D98)*Assumptions!$B$11*(L98)+(J98)*AC98*(Assumptions!$B$12+Assumptions!$B$13+IF((J98)*AC98&gt;=Assumptions!$B$16,Assumptions!$B$17,IF((J98)*AC98&gt;=Assumptions!$B$14,Assumptions!$B$15,0))))</f>
        <v>-1581241.2955</v>
      </c>
      <c r="AE98" s="46" t="n">
        <f aca="false">INDEX(Assumptions!$B$32:$B$44,MATCH(AG98,Assumptions!$A$32:$A$44,0))*(1+Assumptions!$B$26)</f>
        <v>1560</v>
      </c>
      <c r="AF98" s="47" t="n">
        <f aca="false">(J98)*AE98-(((D98)+(J98)*Assumptions!$B$4+IF(H98="Yes",Assumptions!$B$6*(D98),(J98)*Assumptions!$B$5))*(1+Assumptions!$B$7*(Assumptions!$B$8*(L98)*Assumptions!$B$9+Assumptions!$B$10))+(D98)*Assumptions!$B$11*(L98)+(J98)*AE98*(Assumptions!$B$12+Assumptions!$B$13+IF((J98)*AE98&gt;=Assumptions!$B$16,Assumptions!$B$17,IF((J98)*AE98&gt;=Assumptions!$B$14,Assumptions!$B$15,0))))</f>
        <v>-1049110.4235</v>
      </c>
      <c r="AG98" s="40" t="s">
        <v>126</v>
      </c>
      <c r="AH98" s="45" t="n">
        <f aca="false">IF(G98&gt;0,G98,ROUND(F98*Assumptions!$B$18,0))</f>
        <v>2550</v>
      </c>
      <c r="AI98" s="45" t="n">
        <f aca="false">IF(H98="Yes",AH98,MAX(AH98,MIN(Assumptions!$B$20,ROUND(E98*Assumptions!$B$19,0))))</f>
        <v>4526</v>
      </c>
      <c r="AJ98" s="47" t="n">
        <f aca="false">(AH98)*AC98-(((D98)+(AH98)*Assumptions!$B$4+IF(H98="Yes",Assumptions!$B$6*(D98),(AH98)*Assumptions!$B$5))*(1+Assumptions!$B$7*(Assumptions!$B$8*(Assumptions!$B$21)*Assumptions!$B$9+Assumptions!$B$10))+(D98)*Assumptions!$B$11*(Assumptions!$B$21)+(AH98)*AC98*(Assumptions!$B$12+Assumptions!$B$13+IF((AH98)*AC98&gt;=Assumptions!$B$16,Assumptions!$B$17,IF((AH98)*AC98&gt;=Assumptions!$B$14,Assumptions!$B$15,0))))</f>
        <v>-2035602.5875</v>
      </c>
      <c r="AK98" s="47" t="n">
        <f aca="false">(AI98)*AC98-(((D98)+(AI98)*Assumptions!$B$4+IF(H98="Yes",Assumptions!$B$6*(D98),(AI98)*Assumptions!$B$5))*(1+Assumptions!$B$7*(Assumptions!$B$8*(IF(AI98&gt;AH98,Assumptions!$B$22,Assumptions!$B$21))*Assumptions!$B$9+Assumptions!$B$10))+(D98)*Assumptions!$B$11*(IF(AI98&gt;AH98,Assumptions!$B$22,Assumptions!$B$21))+(AI98)*AC98*(Assumptions!$B$12+Assumptions!$B$13+IF((AI98)*AC98&gt;=Assumptions!$B$16,Assumptions!$B$17,IF((AI98)*AC98&gt;=Assumptions!$B$14,Assumptions!$B$15,0))))</f>
        <v>-1581241.2955</v>
      </c>
      <c r="AL98" s="47" t="n">
        <f aca="false">Assumptions!$B$7*(O98+P98+Q98)</f>
        <v>4226722.5</v>
      </c>
    </row>
    <row r="99" customFormat="false" ht="15" hidden="false" customHeight="false" outlineLevel="0" collapsed="false">
      <c r="A99" s="40" t="n">
        <v>97</v>
      </c>
      <c r="B99" s="40" t="s">
        <v>232</v>
      </c>
      <c r="C99" s="40" t="s">
        <v>98</v>
      </c>
      <c r="D99" s="41" t="n">
        <v>2950000</v>
      </c>
      <c r="E99" s="42" t="n">
        <v>9052</v>
      </c>
      <c r="F99" s="42" t="n">
        <v>3268</v>
      </c>
      <c r="G99" s="42"/>
      <c r="H99" s="43" t="s">
        <v>67</v>
      </c>
      <c r="I99" s="44" t="s">
        <v>214</v>
      </c>
      <c r="J99" s="45" t="n">
        <f aca="false">IF(AK99&gt;AJ99,AI99,AH99)</f>
        <v>3595</v>
      </c>
      <c r="K99" s="40" t="str">
        <f aca="false">IF(AK99&gt;AJ99,"Zoning estimate",IF(H99="Yes","Approved plans",IF(G99&gt;0,"Listing claim","110% old house")))</f>
        <v>110% old house</v>
      </c>
      <c r="L99" s="45" t="n">
        <f aca="false">IF(AK99&gt;AJ99,IF(AI99&gt;AH99,Assumptions!$B$22,Assumptions!$B$21),Assumptions!$B$21)</f>
        <v>2</v>
      </c>
      <c r="M99" s="46" t="n">
        <f aca="false">INDEX(Assumptions!$B$32:$B$44,MATCH(AG99,Assumptions!$A$32:$A$44,0))*(1+IF(UPPER(Assumptions!$B$27)="WORST",Assumptions!$B$24,IF(UPPER(Assumptions!$B$27)="BEST",Assumptions!$B$26,Assumptions!$B$25)))</f>
        <v>1375</v>
      </c>
      <c r="N99" s="47" t="n">
        <f aca="false">J99*M99</f>
        <v>4943125</v>
      </c>
      <c r="O99" s="47" t="n">
        <f aca="false">D99</f>
        <v>2950000</v>
      </c>
      <c r="P99" s="47" t="n">
        <f aca="false">J99*Assumptions!$B$4</f>
        <v>2516500</v>
      </c>
      <c r="Q99" s="47" t="n">
        <f aca="false">IF(H99="Yes",Assumptions!$B$6*(D99),(J99)*Assumptions!$B$5)</f>
        <v>269625</v>
      </c>
      <c r="R99" s="47" t="n">
        <f aca="false">AL99*(Assumptions!$B$8*L99*Assumptions!$B$9+Assumptions!$B$10)</f>
        <v>503344.96875</v>
      </c>
      <c r="S99" s="47" t="n">
        <f aca="false">O99*Assumptions!$B$11*L99</f>
        <v>70800</v>
      </c>
      <c r="T99" s="47" t="n">
        <f aca="false">N99*(Assumptions!$B$12+Assumptions!$B$13)</f>
        <v>274837.75</v>
      </c>
      <c r="U99" s="47" t="n">
        <f aca="false">N99*IF(N99&gt;=Assumptions!$B$16,Assumptions!$B$17,IF(N99&gt;=Assumptions!$B$14,Assumptions!$B$15,0))</f>
        <v>0</v>
      </c>
      <c r="V99" s="48" t="n">
        <f aca="false">SUM(O99:U99)</f>
        <v>6585107.71875</v>
      </c>
      <c r="W99" s="48" t="n">
        <f aca="false">N99-V99</f>
        <v>-1641982.71875</v>
      </c>
      <c r="X99" s="49" t="n">
        <f aca="false">IF(V99=0,0,W99/V99)</f>
        <v>-0.24934789055534</v>
      </c>
      <c r="Y99" s="47" t="n">
        <f aca="false">MAX(0,(N99/(1+Assumptions!$B$23)-(J99*(Assumptions!$B$4+IF(H99="Yes",0,Assumptions!$B$5)))*(1+(Assumptions!$B$7*(Assumptions!$B$8*L99*Assumptions!$B$9+Assumptions!$B$10)))-N99*(Assumptions!$B$12+Assumptions!$B$13+IF(N99&gt;=Assumptions!$B$16,Assumptions!$B$17,IF(N99&gt;=Assumptions!$B$14,Assumptions!$B$15,0))))/((1+IF(H99="Yes",Assumptions!$B$6,0))*(1+(Assumptions!$B$7*(Assumptions!$B$8*L99*Assumptions!$B$9+Assumptions!$B$10)))+Assumptions!$B$11*L99))</f>
        <v>893118.368758616</v>
      </c>
      <c r="Z99" s="50" t="n">
        <f aca="false">IF(Y99&lt;=0,"no price works",D99/Y99)</f>
        <v>3.30303362151238</v>
      </c>
      <c r="AA99" s="46" t="n">
        <f aca="false">INDEX(Assumptions!$B$32:$B$44,MATCH(AG99,Assumptions!$A$32:$A$44,0))*(1+Assumptions!$B$24)</f>
        <v>1250</v>
      </c>
      <c r="AB99" s="47" t="n">
        <f aca="false">(J99)*AA99-(((D99)+(J99)*Assumptions!$B$4+IF(H99="Yes",Assumptions!$B$6*(D99),(J99)*Assumptions!$B$5))*(1+Assumptions!$B$7*(Assumptions!$B$8*(L99)*Assumptions!$B$9+Assumptions!$B$10))+(D99)*Assumptions!$B$11*(L99)+(J99)*AA99*(Assumptions!$B$12+Assumptions!$B$13+IF((J99)*AA99&gt;=Assumptions!$B$16,Assumptions!$B$17,IF((J99)*AA99&gt;=Assumptions!$B$14,Assumptions!$B$15,0))))</f>
        <v>-2066372.46875</v>
      </c>
      <c r="AC99" s="46" t="n">
        <f aca="false">INDEX(Assumptions!$B$32:$B$44,MATCH(AG99,Assumptions!$A$32:$A$44,0))*(1+Assumptions!$B$25)</f>
        <v>1375</v>
      </c>
      <c r="AD99" s="47" t="n">
        <f aca="false">(J99)*AC99-(((D99)+(J99)*Assumptions!$B$4+IF(H99="Yes",Assumptions!$B$6*(D99),(J99)*Assumptions!$B$5))*(1+Assumptions!$B$7*(Assumptions!$B$8*(L99)*Assumptions!$B$9+Assumptions!$B$10))+(D99)*Assumptions!$B$11*(L99)+(J99)*AC99*(Assumptions!$B$12+Assumptions!$B$13+IF((J99)*AC99&gt;=Assumptions!$B$16,Assumptions!$B$17,IF((J99)*AC99&gt;=Assumptions!$B$14,Assumptions!$B$15,0))))</f>
        <v>-1641982.71875</v>
      </c>
      <c r="AE99" s="46" t="n">
        <f aca="false">INDEX(Assumptions!$B$32:$B$44,MATCH(AG99,Assumptions!$A$32:$A$44,0))*(1+Assumptions!$B$26)</f>
        <v>1500</v>
      </c>
      <c r="AF99" s="47" t="n">
        <f aca="false">(J99)*AE99-(((D99)+(J99)*Assumptions!$B$4+IF(H99="Yes",Assumptions!$B$6*(D99),(J99)*Assumptions!$B$5))*(1+Assumptions!$B$7*(Assumptions!$B$8*(L99)*Assumptions!$B$9+Assumptions!$B$10))+(D99)*Assumptions!$B$11*(L99)+(J99)*AE99*(Assumptions!$B$12+Assumptions!$B$13+IF((J99)*AE99&gt;=Assumptions!$B$16,Assumptions!$B$17,IF((J99)*AE99&gt;=Assumptions!$B$14,Assumptions!$B$15,0))))</f>
        <v>-1217592.96875</v>
      </c>
      <c r="AG99" s="40" t="s">
        <v>100</v>
      </c>
      <c r="AH99" s="45" t="n">
        <f aca="false">IF(G99&gt;0,G99,ROUND(F99*Assumptions!$B$18,0))</f>
        <v>3595</v>
      </c>
      <c r="AI99" s="45" t="n">
        <f aca="false">IF(H99="Yes",AH99,MAX(AH99,MIN(Assumptions!$B$20,ROUND(E99*Assumptions!$B$19,0))))</f>
        <v>3621</v>
      </c>
      <c r="AJ99" s="47" t="n">
        <f aca="false">(AH99)*AC99-(((D99)+(AH99)*Assumptions!$B$4+IF(H99="Yes",Assumptions!$B$6*(D99),(AH99)*Assumptions!$B$5))*(1+Assumptions!$B$7*(Assumptions!$B$8*(Assumptions!$B$21)*Assumptions!$B$9+Assumptions!$B$10))+(D99)*Assumptions!$B$11*(Assumptions!$B$21)+(AH99)*AC99*(Assumptions!$B$12+Assumptions!$B$13+IF((AH99)*AC99&gt;=Assumptions!$B$16,Assumptions!$B$17,IF((AH99)*AC99&gt;=Assumptions!$B$14,Assumptions!$B$15,0))))</f>
        <v>-1641982.71875</v>
      </c>
      <c r="AK99" s="47" t="n">
        <f aca="false">(AI99)*AC99-(((D99)+(AI99)*Assumptions!$B$4+IF(H99="Yes",Assumptions!$B$6*(D99),(AI99)*Assumptions!$B$5))*(1+Assumptions!$B$7*(Assumptions!$B$8*(IF(AI99&gt;AH99,Assumptions!$B$22,Assumptions!$B$21))*Assumptions!$B$9+Assumptions!$B$10))+(D99)*Assumptions!$B$11*(IF(AI99&gt;AH99,Assumptions!$B$22,Assumptions!$B$21))+(AI99)*AC99*(Assumptions!$B$12+Assumptions!$B$13+IF((AI99)*AC99&gt;=Assumptions!$B$16,Assumptions!$B$17,IF((AI99)*AC99&gt;=Assumptions!$B$14,Assumptions!$B$15,0))))</f>
        <v>-1890033.30625</v>
      </c>
      <c r="AL99" s="47" t="n">
        <f aca="false">Assumptions!$B$7*(O99+P99+Q99)</f>
        <v>3728481.25</v>
      </c>
    </row>
    <row r="100" customFormat="false" ht="15" hidden="false" customHeight="false" outlineLevel="0" collapsed="false">
      <c r="A100" s="40" t="n">
        <v>98</v>
      </c>
      <c r="B100" s="40" t="s">
        <v>233</v>
      </c>
      <c r="C100" s="40" t="s">
        <v>201</v>
      </c>
      <c r="D100" s="41" t="n">
        <v>1575000</v>
      </c>
      <c r="E100" s="42" t="n">
        <v>3846</v>
      </c>
      <c r="F100" s="42" t="n">
        <v>2072</v>
      </c>
      <c r="G100" s="42"/>
      <c r="H100" s="43" t="s">
        <v>67</v>
      </c>
      <c r="I100" s="44" t="s">
        <v>234</v>
      </c>
      <c r="J100" s="45" t="n">
        <f aca="false">IF(AK100&gt;AJ100,AI100,AH100)</f>
        <v>2279</v>
      </c>
      <c r="K100" s="40" t="str">
        <f aca="false">IF(AK100&gt;AJ100,"Zoning estimate",IF(H100="Yes","Approved plans",IF(G100&gt;0,"Listing claim","110% old house")))</f>
        <v>110% old house</v>
      </c>
      <c r="L100" s="45" t="n">
        <f aca="false">IF(AK100&gt;AJ100,IF(AI100&gt;AH100,Assumptions!$B$22,Assumptions!$B$21),Assumptions!$B$21)</f>
        <v>2</v>
      </c>
      <c r="M100" s="46" t="n">
        <f aca="false">INDEX(Assumptions!$B$32:$B$44,MATCH(AG100,Assumptions!$A$32:$A$44,0))*(1+IF(UPPER(Assumptions!$B$27)="WORST",Assumptions!$B$24,IF(UPPER(Assumptions!$B$27)="BEST",Assumptions!$B$26,Assumptions!$B$25)))</f>
        <v>1320</v>
      </c>
      <c r="N100" s="47" t="n">
        <f aca="false">J100*M100</f>
        <v>3008280</v>
      </c>
      <c r="O100" s="47" t="n">
        <f aca="false">D100</f>
        <v>1575000</v>
      </c>
      <c r="P100" s="47" t="n">
        <f aca="false">J100*Assumptions!$B$4</f>
        <v>1595300</v>
      </c>
      <c r="Q100" s="47" t="n">
        <f aca="false">IF(H100="Yes",Assumptions!$B$6*(D100),(J100)*Assumptions!$B$5)</f>
        <v>170925</v>
      </c>
      <c r="R100" s="47" t="n">
        <f aca="false">AL100*(Assumptions!$B$8*L100*Assumptions!$B$9+Assumptions!$B$10)</f>
        <v>293192.49375</v>
      </c>
      <c r="S100" s="47" t="n">
        <f aca="false">O100*Assumptions!$B$11*L100</f>
        <v>37800</v>
      </c>
      <c r="T100" s="47" t="n">
        <f aca="false">N100*(Assumptions!$B$12+Assumptions!$B$13)</f>
        <v>167260.368</v>
      </c>
      <c r="U100" s="47" t="n">
        <f aca="false">N100*IF(N100&gt;=Assumptions!$B$16,Assumptions!$B$17,IF(N100&gt;=Assumptions!$B$14,Assumptions!$B$15,0))</f>
        <v>0</v>
      </c>
      <c r="V100" s="48" t="n">
        <f aca="false">SUM(O100:U100)</f>
        <v>3839477.86175</v>
      </c>
      <c r="W100" s="48" t="n">
        <f aca="false">N100-V100</f>
        <v>-831197.86175</v>
      </c>
      <c r="X100" s="49" t="n">
        <f aca="false">IF(V100=0,0,W100/V100)</f>
        <v>-0.216487213022019</v>
      </c>
      <c r="Y100" s="47" t="n">
        <f aca="false">MAX(0,(N100/(1+Assumptions!$B$23)-(J100*(Assumptions!$B$4+IF(H100="Yes",0,Assumptions!$B$5)))*(1+(Assumptions!$B$7*(Assumptions!$B$8*L100*Assumptions!$B$9+Assumptions!$B$10)))-N100*(Assumptions!$B$12+Assumptions!$B$13+IF(N100&gt;=Assumptions!$B$16,Assumptions!$B$17,IF(N100&gt;=Assumptions!$B$14,Assumptions!$B$15,0))))/((1+IF(H100="Yes",Assumptions!$B$6,0))*(1+(Assumptions!$B$7*(Assumptions!$B$8*L100*Assumptions!$B$9+Assumptions!$B$10)))+Assumptions!$B$11*L100))</f>
        <v>474408.851292029</v>
      </c>
      <c r="Z100" s="50" t="n">
        <f aca="false">IF(Y100&lt;=0,"no price works",D100/Y100)</f>
        <v>3.31992119394604</v>
      </c>
      <c r="AA100" s="46" t="n">
        <f aca="false">INDEX(Assumptions!$B$32:$B$44,MATCH(AG100,Assumptions!$A$32:$A$44,0))*(1+Assumptions!$B$24)</f>
        <v>1200</v>
      </c>
      <c r="AB100" s="47" t="n">
        <f aca="false">(J100)*AA100-(((D100)+(J100)*Assumptions!$B$4+IF(H100="Yes",Assumptions!$B$6*(D100),(J100)*Assumptions!$B$5))*(1+Assumptions!$B$7*(Assumptions!$B$8*(L100)*Assumptions!$B$9+Assumptions!$B$10))+(D100)*Assumptions!$B$11*(L100)+(J100)*AA100*(Assumptions!$B$12+Assumptions!$B$13+IF((J100)*AA100&gt;=Assumptions!$B$16,Assumptions!$B$17,IF((J100)*AA100&gt;=Assumptions!$B$14,Assumptions!$B$15,0))))</f>
        <v>-1089472.37375</v>
      </c>
      <c r="AC100" s="46" t="n">
        <f aca="false">INDEX(Assumptions!$B$32:$B$44,MATCH(AG100,Assumptions!$A$32:$A$44,0))*(1+Assumptions!$B$25)</f>
        <v>1320</v>
      </c>
      <c r="AD100" s="47" t="n">
        <f aca="false">(J100)*AC100-(((D100)+(J100)*Assumptions!$B$4+IF(H100="Yes",Assumptions!$B$6*(D100),(J100)*Assumptions!$B$5))*(1+Assumptions!$B$7*(Assumptions!$B$8*(L100)*Assumptions!$B$9+Assumptions!$B$10))+(D100)*Assumptions!$B$11*(L100)+(J100)*AC100*(Assumptions!$B$12+Assumptions!$B$13+IF((J100)*AC100&gt;=Assumptions!$B$16,Assumptions!$B$17,IF((J100)*AC100&gt;=Assumptions!$B$14,Assumptions!$B$15,0))))</f>
        <v>-831197.86175</v>
      </c>
      <c r="AE100" s="46" t="n">
        <f aca="false">INDEX(Assumptions!$B$32:$B$44,MATCH(AG100,Assumptions!$A$32:$A$44,0))*(1+Assumptions!$B$26)</f>
        <v>1440</v>
      </c>
      <c r="AF100" s="47" t="n">
        <f aca="false">(J100)*AE100-(((D100)+(J100)*Assumptions!$B$4+IF(H100="Yes",Assumptions!$B$6*(D100),(J100)*Assumptions!$B$5))*(1+Assumptions!$B$7*(Assumptions!$B$8*(L100)*Assumptions!$B$9+Assumptions!$B$10))+(D100)*Assumptions!$B$11*(L100)+(J100)*AE100*(Assumptions!$B$12+Assumptions!$B$13+IF((J100)*AE100&gt;=Assumptions!$B$16,Assumptions!$B$17,IF((J100)*AE100&gt;=Assumptions!$B$14,Assumptions!$B$15,0))))</f>
        <v>-572923.34975</v>
      </c>
      <c r="AG100" s="40" t="s">
        <v>202</v>
      </c>
      <c r="AH100" s="45" t="n">
        <f aca="false">IF(G100&gt;0,G100,ROUND(F100*Assumptions!$B$18,0))</f>
        <v>2279</v>
      </c>
      <c r="AI100" s="45" t="n">
        <f aca="false">IF(H100="Yes",AH100,MAX(AH100,MIN(Assumptions!$B$20,ROUND(E100*Assumptions!$B$19,0))))</f>
        <v>2279</v>
      </c>
      <c r="AJ100" s="47" t="n">
        <f aca="false">(AH100)*AC100-(((D100)+(AH100)*Assumptions!$B$4+IF(H100="Yes",Assumptions!$B$6*(D100),(AH100)*Assumptions!$B$5))*(1+Assumptions!$B$7*(Assumptions!$B$8*(Assumptions!$B$21)*Assumptions!$B$9+Assumptions!$B$10))+(D100)*Assumptions!$B$11*(Assumptions!$B$21)+(AH100)*AC100*(Assumptions!$B$12+Assumptions!$B$13+IF((AH100)*AC100&gt;=Assumptions!$B$16,Assumptions!$B$17,IF((AH100)*AC100&gt;=Assumptions!$B$14,Assumptions!$B$15,0))))</f>
        <v>-831197.86175</v>
      </c>
      <c r="AK100" s="47" t="n">
        <f aca="false">(AI100)*AC100-(((D100)+(AI100)*Assumptions!$B$4+IF(H100="Yes",Assumptions!$B$6*(D100),(AI100)*Assumptions!$B$5))*(1+Assumptions!$B$7*(Assumptions!$B$8*(IF(AI100&gt;AH100,Assumptions!$B$22,Assumptions!$B$21))*Assumptions!$B$9+Assumptions!$B$10))+(D100)*Assumptions!$B$11*(IF(AI100&gt;AH100,Assumptions!$B$22,Assumptions!$B$21))+(AI100)*AC100*(Assumptions!$B$12+Assumptions!$B$13+IF((AI100)*AC100&gt;=Assumptions!$B$16,Assumptions!$B$17,IF((AI100)*AC100&gt;=Assumptions!$B$14,Assumptions!$B$15,0))))</f>
        <v>-831197.86175</v>
      </c>
      <c r="AL100" s="47" t="n">
        <f aca="false">Assumptions!$B$7*(O100+P100+Q100)</f>
        <v>2171796.25</v>
      </c>
    </row>
    <row r="101" customFormat="false" ht="15" hidden="false" customHeight="false" outlineLevel="0" collapsed="false">
      <c r="A101" s="40" t="n">
        <v>99</v>
      </c>
      <c r="B101" s="40" t="s">
        <v>235</v>
      </c>
      <c r="C101" s="40" t="s">
        <v>124</v>
      </c>
      <c r="D101" s="41" t="n">
        <v>2150000</v>
      </c>
      <c r="E101" s="42" t="n">
        <v>6418</v>
      </c>
      <c r="F101" s="42" t="n">
        <v>1207</v>
      </c>
      <c r="G101" s="42"/>
      <c r="H101" s="43" t="s">
        <v>67</v>
      </c>
      <c r="I101" s="44" t="s">
        <v>236</v>
      </c>
      <c r="J101" s="45" t="n">
        <f aca="false">IF(AK101&gt;AJ101,AI101,AH101)</f>
        <v>2567</v>
      </c>
      <c r="K101" s="40" t="str">
        <f aca="false">IF(AK101&gt;AJ101,"Zoning estimate",IF(H101="Yes","Approved plans",IF(G101&gt;0,"Listing claim","110% old house")))</f>
        <v>Zoning estimate</v>
      </c>
      <c r="L101" s="45" t="n">
        <f aca="false">IF(AK101&gt;AJ101,IF(AI101&gt;AH101,Assumptions!$B$22,Assumptions!$B$21),Assumptions!$B$21)</f>
        <v>3</v>
      </c>
      <c r="M101" s="46" t="n">
        <f aca="false">INDEX(Assumptions!$B$32:$B$44,MATCH(AG101,Assumptions!$A$32:$A$44,0))*(1+IF(UPPER(Assumptions!$B$27)="WORST",Assumptions!$B$24,IF(UPPER(Assumptions!$B$27)="BEST",Assumptions!$B$26,Assumptions!$B$25)))</f>
        <v>1430</v>
      </c>
      <c r="N101" s="47" t="n">
        <f aca="false">J101*M101</f>
        <v>3670810</v>
      </c>
      <c r="O101" s="47" t="n">
        <f aca="false">D101</f>
        <v>2150000</v>
      </c>
      <c r="P101" s="47" t="n">
        <f aca="false">J101*Assumptions!$B$4</f>
        <v>1796900</v>
      </c>
      <c r="Q101" s="47" t="n">
        <f aca="false">IF(H101="Yes",Assumptions!$B$6*(D101),(J101)*Assumptions!$B$5)</f>
        <v>192525</v>
      </c>
      <c r="R101" s="47" t="n">
        <f aca="false">AL101*(Assumptions!$B$8*L101*Assumptions!$B$9+Assumptions!$B$10)</f>
        <v>524672.11875</v>
      </c>
      <c r="S101" s="47" t="n">
        <f aca="false">O101*Assumptions!$B$11*L101</f>
        <v>77400</v>
      </c>
      <c r="T101" s="47" t="n">
        <f aca="false">N101*(Assumptions!$B$12+Assumptions!$B$13)</f>
        <v>204097.036</v>
      </c>
      <c r="U101" s="47" t="n">
        <f aca="false">N101*IF(N101&gt;=Assumptions!$B$16,Assumptions!$B$17,IF(N101&gt;=Assumptions!$B$14,Assumptions!$B$15,0))</f>
        <v>0</v>
      </c>
      <c r="V101" s="48" t="n">
        <f aca="false">SUM(O101:U101)</f>
        <v>4945594.15475</v>
      </c>
      <c r="W101" s="48" t="n">
        <f aca="false">N101-V101</f>
        <v>-1274784.15475</v>
      </c>
      <c r="X101" s="49" t="n">
        <f aca="false">IF(V101=0,0,W101/V101)</f>
        <v>-0.257761578257616</v>
      </c>
      <c r="Y101" s="47" t="n">
        <f aca="false">MAX(0,(N101/(1+Assumptions!$B$23)-(J101*(Assumptions!$B$4+IF(H101="Yes",0,Assumptions!$B$5)))*(1+(Assumptions!$B$7*(Assumptions!$B$8*L101*Assumptions!$B$9+Assumptions!$B$10)))-N101*(Assumptions!$B$12+Assumptions!$B$13+IF(N101&gt;=Assumptions!$B$16,Assumptions!$B$17,IF(N101&gt;=Assumptions!$B$14,Assumptions!$B$15,0))))/((1+IF(H101="Yes",Assumptions!$B$6,0))*(1+(Assumptions!$B$7*(Assumptions!$B$8*L101*Assumptions!$B$9+Assumptions!$B$10)))+Assumptions!$B$11*L101))</f>
        <v>641863.720406085</v>
      </c>
      <c r="Z101" s="50" t="n">
        <f aca="false">IF(Y101&lt;=0,"no price works",D101/Y101)</f>
        <v>3.34962069306514</v>
      </c>
      <c r="AA101" s="46" t="n">
        <f aca="false">INDEX(Assumptions!$B$32:$B$44,MATCH(AG101,Assumptions!$A$32:$A$44,0))*(1+Assumptions!$B$24)</f>
        <v>1300</v>
      </c>
      <c r="AB101" s="47" t="n">
        <f aca="false">(J101)*AA101-(((D101)+(J101)*Assumptions!$B$4+IF(H101="Yes",Assumptions!$B$6*(D101),(J101)*Assumptions!$B$5))*(1+Assumptions!$B$7*(Assumptions!$B$8*(L101)*Assumptions!$B$9+Assumptions!$B$10))+(D101)*Assumptions!$B$11*(L101)+(J101)*AA101*(Assumptions!$B$12+Assumptions!$B$13+IF((J101)*AA101&gt;=Assumptions!$B$16,Assumptions!$B$17,IF((J101)*AA101&gt;=Assumptions!$B$14,Assumptions!$B$15,0))))</f>
        <v>-1589939.87875</v>
      </c>
      <c r="AC101" s="46" t="n">
        <f aca="false">INDEX(Assumptions!$B$32:$B$44,MATCH(AG101,Assumptions!$A$32:$A$44,0))*(1+Assumptions!$B$25)</f>
        <v>1430</v>
      </c>
      <c r="AD101" s="47" t="n">
        <f aca="false">(J101)*AC101-(((D101)+(J101)*Assumptions!$B$4+IF(H101="Yes",Assumptions!$B$6*(D101),(J101)*Assumptions!$B$5))*(1+Assumptions!$B$7*(Assumptions!$B$8*(L101)*Assumptions!$B$9+Assumptions!$B$10))+(D101)*Assumptions!$B$11*(L101)+(J101)*AC101*(Assumptions!$B$12+Assumptions!$B$13+IF((J101)*AC101&gt;=Assumptions!$B$16,Assumptions!$B$17,IF((J101)*AC101&gt;=Assumptions!$B$14,Assumptions!$B$15,0))))</f>
        <v>-1274784.15475</v>
      </c>
      <c r="AE101" s="46" t="n">
        <f aca="false">INDEX(Assumptions!$B$32:$B$44,MATCH(AG101,Assumptions!$A$32:$A$44,0))*(1+Assumptions!$B$26)</f>
        <v>1560</v>
      </c>
      <c r="AF101" s="47" t="n">
        <f aca="false">(J101)*AE101-(((D101)+(J101)*Assumptions!$B$4+IF(H101="Yes",Assumptions!$B$6*(D101),(J101)*Assumptions!$B$5))*(1+Assumptions!$B$7*(Assumptions!$B$8*(L101)*Assumptions!$B$9+Assumptions!$B$10))+(D101)*Assumptions!$B$11*(L101)+(J101)*AE101*(Assumptions!$B$12+Assumptions!$B$13+IF((J101)*AE101&gt;=Assumptions!$B$16,Assumptions!$B$17,IF((J101)*AE101&gt;=Assumptions!$B$14,Assumptions!$B$15,0))))</f>
        <v>-959628.430749999</v>
      </c>
      <c r="AG101" s="40" t="s">
        <v>126</v>
      </c>
      <c r="AH101" s="45" t="n">
        <f aca="false">IF(G101&gt;0,G101,ROUND(F101*Assumptions!$B$18,0))</f>
        <v>1328</v>
      </c>
      <c r="AI101" s="45" t="n">
        <f aca="false">IF(H101="Yes",AH101,MAX(AH101,MIN(Assumptions!$B$20,ROUND(E101*Assumptions!$B$19,0))))</f>
        <v>2567</v>
      </c>
      <c r="AJ101" s="47" t="n">
        <f aca="false">(AH101)*AC101-(((D101)+(AH101)*Assumptions!$B$4+IF(H101="Yes",Assumptions!$B$6*(D101),(AH101)*Assumptions!$B$5))*(1+Assumptions!$B$7*(Assumptions!$B$8*(Assumptions!$B$21)*Assumptions!$B$9+Assumptions!$B$10))+(D101)*Assumptions!$B$11*(Assumptions!$B$21)+(AH101)*AC101*(Assumptions!$B$12+Assumptions!$B$13+IF((AH101)*AC101&gt;=Assumptions!$B$16,Assumptions!$B$17,IF((AH101)*AC101&gt;=Assumptions!$B$14,Assumptions!$B$15,0))))</f>
        <v>-1716321.424</v>
      </c>
      <c r="AK101" s="47" t="n">
        <f aca="false">(AI101)*AC101-(((D101)+(AI101)*Assumptions!$B$4+IF(H101="Yes",Assumptions!$B$6*(D101),(AI101)*Assumptions!$B$5))*(1+Assumptions!$B$7*(Assumptions!$B$8*(IF(AI101&gt;AH101,Assumptions!$B$22,Assumptions!$B$21))*Assumptions!$B$9+Assumptions!$B$10))+(D101)*Assumptions!$B$11*(IF(AI101&gt;AH101,Assumptions!$B$22,Assumptions!$B$21))+(AI101)*AC101*(Assumptions!$B$12+Assumptions!$B$13+IF((AI101)*AC101&gt;=Assumptions!$B$16,Assumptions!$B$17,IF((AI101)*AC101&gt;=Assumptions!$B$14,Assumptions!$B$15,0))))</f>
        <v>-1274784.15475</v>
      </c>
      <c r="AL101" s="47" t="n">
        <f aca="false">Assumptions!$B$7*(O101+P101+Q101)</f>
        <v>2690626.25</v>
      </c>
    </row>
    <row r="102" customFormat="false" ht="15" hidden="false" customHeight="false" outlineLevel="0" collapsed="false">
      <c r="A102" s="40" t="n">
        <v>100</v>
      </c>
      <c r="B102" s="40" t="s">
        <v>237</v>
      </c>
      <c r="C102" s="40" t="s">
        <v>124</v>
      </c>
      <c r="D102" s="41" t="n">
        <v>2850000</v>
      </c>
      <c r="E102" s="42" t="n">
        <v>10428</v>
      </c>
      <c r="F102" s="42" t="n">
        <v>2474</v>
      </c>
      <c r="G102" s="42"/>
      <c r="H102" s="43" t="s">
        <v>67</v>
      </c>
      <c r="I102" s="44" t="s">
        <v>238</v>
      </c>
      <c r="J102" s="45" t="n">
        <f aca="false">IF(AK102&gt;AJ102,AI102,AH102)</f>
        <v>4171</v>
      </c>
      <c r="K102" s="40" t="str">
        <f aca="false">IF(AK102&gt;AJ102,"Zoning estimate",IF(H102="Yes","Approved plans",IF(G102&gt;0,"Listing claim","110% old house")))</f>
        <v>Zoning estimate</v>
      </c>
      <c r="L102" s="45" t="n">
        <f aca="false">IF(AK102&gt;AJ102,IF(AI102&gt;AH102,Assumptions!$B$22,Assumptions!$B$21),Assumptions!$B$21)</f>
        <v>3</v>
      </c>
      <c r="M102" s="46" t="n">
        <f aca="false">INDEX(Assumptions!$B$32:$B$44,MATCH(AG102,Assumptions!$A$32:$A$44,0))*(1+IF(UPPER(Assumptions!$B$27)="WORST",Assumptions!$B$24,IF(UPPER(Assumptions!$B$27)="BEST",Assumptions!$B$26,Assumptions!$B$25)))</f>
        <v>1430</v>
      </c>
      <c r="N102" s="47" t="n">
        <f aca="false">J102*M102</f>
        <v>5964530</v>
      </c>
      <c r="O102" s="47" t="n">
        <f aca="false">D102</f>
        <v>2850000</v>
      </c>
      <c r="P102" s="47" t="n">
        <f aca="false">J102*Assumptions!$B$4</f>
        <v>2919700</v>
      </c>
      <c r="Q102" s="47" t="n">
        <f aca="false">IF(H102="Yes",Assumptions!$B$6*(D102),(J102)*Assumptions!$B$5)</f>
        <v>312825</v>
      </c>
      <c r="R102" s="47" t="n">
        <f aca="false">AL102*(Assumptions!$B$8*L102*Assumptions!$B$9+Assumptions!$B$10)</f>
        <v>770960.04375</v>
      </c>
      <c r="S102" s="47" t="n">
        <f aca="false">O102*Assumptions!$B$11*L102</f>
        <v>102600</v>
      </c>
      <c r="T102" s="47" t="n">
        <f aca="false">N102*(Assumptions!$B$12+Assumptions!$B$13)</f>
        <v>331627.868</v>
      </c>
      <c r="U102" s="47" t="n">
        <f aca="false">N102*IF(N102&gt;=Assumptions!$B$16,Assumptions!$B$17,IF(N102&gt;=Assumptions!$B$14,Assumptions!$B$15,0))</f>
        <v>238581.2</v>
      </c>
      <c r="V102" s="48" t="n">
        <f aca="false">SUM(O102:U102)</f>
        <v>7526294.11175</v>
      </c>
      <c r="W102" s="48" t="n">
        <f aca="false">N102-V102</f>
        <v>-1561764.11175</v>
      </c>
      <c r="X102" s="49" t="n">
        <f aca="false">IF(V102=0,0,W102/V102)</f>
        <v>-0.207507717418561</v>
      </c>
      <c r="Y102" s="47" t="n">
        <f aca="false">MAX(0,(N102/(1+Assumptions!$B$23)-(J102*(Assumptions!$B$4+IF(H102="Yes",0,Assumptions!$B$5)))*(1+(Assumptions!$B$7*(Assumptions!$B$8*L102*Assumptions!$B$9+Assumptions!$B$10)))-N102*(Assumptions!$B$12+Assumptions!$B$13+IF(N102&gt;=Assumptions!$B$16,Assumptions!$B$17,IF(N102&gt;=Assumptions!$B$14,Assumptions!$B$15,0))))/((1+IF(H102="Yes",Assumptions!$B$6,0))*(1+(Assumptions!$B$7*(Assumptions!$B$8*L102*Assumptions!$B$9+Assumptions!$B$10)))+Assumptions!$B$11*L102))</f>
        <v>837747.765501577</v>
      </c>
      <c r="Z102" s="50" t="n">
        <f aca="false">IF(Y102&lt;=0,"no price works",D102/Y102)</f>
        <v>3.40197863529203</v>
      </c>
      <c r="AA102" s="46" t="n">
        <f aca="false">INDEX(Assumptions!$B$32:$B$44,MATCH(AG102,Assumptions!$A$32:$A$44,0))*(1+Assumptions!$B$24)</f>
        <v>1300</v>
      </c>
      <c r="AB102" s="47" t="n">
        <f aca="false">(J102)*AA102-(((D102)+(J102)*Assumptions!$B$4+IF(H102="Yes",Assumptions!$B$6*(D102),(J102)*Assumptions!$B$5))*(1+Assumptions!$B$7*(Assumptions!$B$8*(L102)*Assumptions!$B$9+Assumptions!$B$10))+(D102)*Assumptions!$B$11*(L102)+(J102)*AA102*(Assumptions!$B$12+Assumptions!$B$13+IF((J102)*AA102&gt;=Assumptions!$B$16,Assumptions!$B$17,IF((J102)*AA102&gt;=Assumptions!$B$14,Assumptions!$B$15,0))))</f>
        <v>-2052156.92375</v>
      </c>
      <c r="AC102" s="46" t="n">
        <f aca="false">INDEX(Assumptions!$B$32:$B$44,MATCH(AG102,Assumptions!$A$32:$A$44,0))*(1+Assumptions!$B$25)</f>
        <v>1430</v>
      </c>
      <c r="AD102" s="47" t="n">
        <f aca="false">(J102)*AC102-(((D102)+(J102)*Assumptions!$B$4+IF(H102="Yes",Assumptions!$B$6*(D102),(J102)*Assumptions!$B$5))*(1+Assumptions!$B$7*(Assumptions!$B$8*(L102)*Assumptions!$B$9+Assumptions!$B$10))+(D102)*Assumptions!$B$11*(L102)+(J102)*AC102*(Assumptions!$B$12+Assumptions!$B$13+IF((J102)*AC102&gt;=Assumptions!$B$16,Assumptions!$B$17,IF((J102)*AC102&gt;=Assumptions!$B$14,Assumptions!$B$15,0))))</f>
        <v>-1561764.11175</v>
      </c>
      <c r="AE102" s="46" t="n">
        <f aca="false">INDEX(Assumptions!$B$32:$B$44,MATCH(AG102,Assumptions!$A$32:$A$44,0))*(1+Assumptions!$B$26)</f>
        <v>1560</v>
      </c>
      <c r="AF102" s="47" t="n">
        <f aca="false">(J102)*AE102-(((D102)+(J102)*Assumptions!$B$4+IF(H102="Yes",Assumptions!$B$6*(D102),(J102)*Assumptions!$B$5))*(1+Assumptions!$B$7*(Assumptions!$B$8*(L102)*Assumptions!$B$9+Assumptions!$B$10))+(D102)*Assumptions!$B$11*(L102)+(J102)*AE102*(Assumptions!$B$12+Assumptions!$B$13+IF((J102)*AE102&gt;=Assumptions!$B$16,Assumptions!$B$17,IF((J102)*AE102&gt;=Assumptions!$B$14,Assumptions!$B$15,0))))</f>
        <v>-1071371.29975</v>
      </c>
      <c r="AG102" s="40" t="s">
        <v>126</v>
      </c>
      <c r="AH102" s="45" t="n">
        <f aca="false">IF(G102&gt;0,G102,ROUND(F102*Assumptions!$B$18,0))</f>
        <v>2721</v>
      </c>
      <c r="AI102" s="45" t="n">
        <f aca="false">IF(H102="Yes",AH102,MAX(AH102,MIN(Assumptions!$B$20,ROUND(E102*Assumptions!$B$19,0))))</f>
        <v>4171</v>
      </c>
      <c r="AJ102" s="47" t="n">
        <f aca="false">(AH102)*AC102-(((D102)+(AH102)*Assumptions!$B$4+IF(H102="Yes",Assumptions!$B$6*(D102),(AH102)*Assumptions!$B$5))*(1+Assumptions!$B$7*(Assumptions!$B$8*(Assumptions!$B$21)*Assumptions!$B$9+Assumptions!$B$10))+(D102)*Assumptions!$B$11*(Assumptions!$B$21)+(AH102)*AC102*(Assumptions!$B$12+Assumptions!$B$13+IF((AH102)*AC102&gt;=Assumptions!$B$16,Assumptions!$B$17,IF((AH102)*AC102&gt;=Assumptions!$B$14,Assumptions!$B$15,0))))</f>
        <v>-1787618.77425</v>
      </c>
      <c r="AK102" s="47" t="n">
        <f aca="false">(AI102)*AC102-(((D102)+(AI102)*Assumptions!$B$4+IF(H102="Yes",Assumptions!$B$6*(D102),(AI102)*Assumptions!$B$5))*(1+Assumptions!$B$7*(Assumptions!$B$8*(IF(AI102&gt;AH102,Assumptions!$B$22,Assumptions!$B$21))*Assumptions!$B$9+Assumptions!$B$10))+(D102)*Assumptions!$B$11*(IF(AI102&gt;AH102,Assumptions!$B$22,Assumptions!$B$21))+(AI102)*AC102*(Assumptions!$B$12+Assumptions!$B$13+IF((AI102)*AC102&gt;=Assumptions!$B$16,Assumptions!$B$17,IF((AI102)*AC102&gt;=Assumptions!$B$14,Assumptions!$B$15,0))))</f>
        <v>-1561764.11175</v>
      </c>
      <c r="AL102" s="47" t="n">
        <f aca="false">Assumptions!$B$7*(O102+P102+Q102)</f>
        <v>3953641.25</v>
      </c>
    </row>
    <row r="103" customFormat="false" ht="15" hidden="false" customHeight="false" outlineLevel="0" collapsed="false">
      <c r="A103" s="40" t="n">
        <v>101</v>
      </c>
      <c r="B103" s="40" t="s">
        <v>239</v>
      </c>
      <c r="C103" s="40" t="s">
        <v>124</v>
      </c>
      <c r="D103" s="41" t="n">
        <v>2999000</v>
      </c>
      <c r="E103" s="42" t="n">
        <v>6500</v>
      </c>
      <c r="F103" s="42" t="n">
        <v>2688</v>
      </c>
      <c r="G103" s="42"/>
      <c r="H103" s="43" t="s">
        <v>67</v>
      </c>
      <c r="I103" s="44" t="s">
        <v>240</v>
      </c>
      <c r="J103" s="45" t="n">
        <f aca="false">IF(AK103&gt;AJ103,AI103,AH103)</f>
        <v>2957</v>
      </c>
      <c r="K103" s="40" t="str">
        <f aca="false">IF(AK103&gt;AJ103,"Zoning estimate",IF(H103="Yes","Approved plans",IF(G103&gt;0,"Listing claim","110% old house")))</f>
        <v>110% old house</v>
      </c>
      <c r="L103" s="45" t="n">
        <f aca="false">IF(AK103&gt;AJ103,IF(AI103&gt;AH103,Assumptions!$B$22,Assumptions!$B$21),Assumptions!$B$21)</f>
        <v>2</v>
      </c>
      <c r="M103" s="46" t="n">
        <f aca="false">INDEX(Assumptions!$B$32:$B$44,MATCH(AG103,Assumptions!$A$32:$A$44,0))*(1+IF(UPPER(Assumptions!$B$27)="WORST",Assumptions!$B$24,IF(UPPER(Assumptions!$B$27)="BEST",Assumptions!$B$26,Assumptions!$B$25)))</f>
        <v>1430</v>
      </c>
      <c r="N103" s="47" t="n">
        <f aca="false">J103*M103</f>
        <v>4228510</v>
      </c>
      <c r="O103" s="47" t="n">
        <f aca="false">D103</f>
        <v>2999000</v>
      </c>
      <c r="P103" s="47" t="n">
        <f aca="false">J103*Assumptions!$B$4</f>
        <v>2069900</v>
      </c>
      <c r="Q103" s="47" t="n">
        <f aca="false">IF(H103="Yes",Assumptions!$B$6*(D103),(J103)*Assumptions!$B$5)</f>
        <v>221775</v>
      </c>
      <c r="R103" s="47" t="n">
        <f aca="false">AL103*(Assumptions!$B$8*L103*Assumptions!$B$9+Assumptions!$B$10)</f>
        <v>464256.73125</v>
      </c>
      <c r="S103" s="47" t="n">
        <f aca="false">O103*Assumptions!$B$11*L103</f>
        <v>71976</v>
      </c>
      <c r="T103" s="47" t="n">
        <f aca="false">N103*(Assumptions!$B$12+Assumptions!$B$13)</f>
        <v>235105.156</v>
      </c>
      <c r="U103" s="47" t="n">
        <f aca="false">N103*IF(N103&gt;=Assumptions!$B$16,Assumptions!$B$17,IF(N103&gt;=Assumptions!$B$14,Assumptions!$B$15,0))</f>
        <v>0</v>
      </c>
      <c r="V103" s="48" t="n">
        <f aca="false">SUM(O103:U103)</f>
        <v>6062012.88725</v>
      </c>
      <c r="W103" s="48" t="n">
        <f aca="false">N103-V103</f>
        <v>-1833502.88725</v>
      </c>
      <c r="X103" s="49" t="n">
        <f aca="false">IF(V103=0,0,W103/V103)</f>
        <v>-0.302457767964555</v>
      </c>
      <c r="Y103" s="47" t="n">
        <f aca="false">MAX(0,(N103/(1+Assumptions!$B$23)-(J103*(Assumptions!$B$4+IF(H103="Yes",0,Assumptions!$B$5)))*(1+(Assumptions!$B$7*(Assumptions!$B$8*L103*Assumptions!$B$9+Assumptions!$B$10)))-N103*(Assumptions!$B$12+Assumptions!$B$13+IF(N103&gt;=Assumptions!$B$16,Assumptions!$B$17,IF(N103&gt;=Assumptions!$B$14,Assumptions!$B$15,0))))/((1+IF(H103="Yes",Assumptions!$B$6,0))*(1+(Assumptions!$B$7*(Assumptions!$B$8*L103*Assumptions!$B$9+Assumptions!$B$10)))+Assumptions!$B$11*L103))</f>
        <v>853690.650003423</v>
      </c>
      <c r="Z103" s="50" t="n">
        <f aca="false">IF(Y103&lt;=0,"no price works",D103/Y103)</f>
        <v>3.51298213233093</v>
      </c>
      <c r="AA103" s="46" t="n">
        <f aca="false">INDEX(Assumptions!$B$32:$B$44,MATCH(AG103,Assumptions!$A$32:$A$44,0))*(1+Assumptions!$B$24)</f>
        <v>1300</v>
      </c>
      <c r="AB103" s="47" t="n">
        <f aca="false">(J103)*AA103-(((D103)+(J103)*Assumptions!$B$4+IF(H103="Yes",Assumptions!$B$6*(D103),(J103)*Assumptions!$B$5))*(1+Assumptions!$B$7*(Assumptions!$B$8*(L103)*Assumptions!$B$9+Assumptions!$B$10))+(D103)*Assumptions!$B$11*(L103)+(J103)*AA103*(Assumptions!$B$12+Assumptions!$B$13+IF((J103)*AA103&gt;=Assumptions!$B$16,Assumptions!$B$17,IF((J103)*AA103&gt;=Assumptions!$B$14,Assumptions!$B$15,0))))</f>
        <v>-2196539.69125</v>
      </c>
      <c r="AC103" s="46" t="n">
        <f aca="false">INDEX(Assumptions!$B$32:$B$44,MATCH(AG103,Assumptions!$A$32:$A$44,0))*(1+Assumptions!$B$25)</f>
        <v>1430</v>
      </c>
      <c r="AD103" s="47" t="n">
        <f aca="false">(J103)*AC103-(((D103)+(J103)*Assumptions!$B$4+IF(H103="Yes",Assumptions!$B$6*(D103),(J103)*Assumptions!$B$5))*(1+Assumptions!$B$7*(Assumptions!$B$8*(L103)*Assumptions!$B$9+Assumptions!$B$10))+(D103)*Assumptions!$B$11*(L103)+(J103)*AC103*(Assumptions!$B$12+Assumptions!$B$13+IF((J103)*AC103&gt;=Assumptions!$B$16,Assumptions!$B$17,IF((J103)*AC103&gt;=Assumptions!$B$14,Assumptions!$B$15,0))))</f>
        <v>-1833502.88725</v>
      </c>
      <c r="AE103" s="46" t="n">
        <f aca="false">INDEX(Assumptions!$B$32:$B$44,MATCH(AG103,Assumptions!$A$32:$A$44,0))*(1+Assumptions!$B$26)</f>
        <v>1560</v>
      </c>
      <c r="AF103" s="47" t="n">
        <f aca="false">(J103)*AE103-(((D103)+(J103)*Assumptions!$B$4+IF(H103="Yes",Assumptions!$B$6*(D103),(J103)*Assumptions!$B$5))*(1+Assumptions!$B$7*(Assumptions!$B$8*(L103)*Assumptions!$B$9+Assumptions!$B$10))+(D103)*Assumptions!$B$11*(L103)+(J103)*AE103*(Assumptions!$B$12+Assumptions!$B$13+IF((J103)*AE103&gt;=Assumptions!$B$16,Assumptions!$B$17,IF((J103)*AE103&gt;=Assumptions!$B$14,Assumptions!$B$15,0))))</f>
        <v>-1470466.08325</v>
      </c>
      <c r="AG103" s="40" t="s">
        <v>126</v>
      </c>
      <c r="AH103" s="45" t="n">
        <f aca="false">IF(G103&gt;0,G103,ROUND(F103*Assumptions!$B$18,0))</f>
        <v>2957</v>
      </c>
      <c r="AI103" s="45" t="n">
        <f aca="false">IF(H103="Yes",AH103,MAX(AH103,MIN(Assumptions!$B$20,ROUND(E103*Assumptions!$B$19,0))))</f>
        <v>2957</v>
      </c>
      <c r="AJ103" s="47" t="n">
        <f aca="false">(AH103)*AC103-(((D103)+(AH103)*Assumptions!$B$4+IF(H103="Yes",Assumptions!$B$6*(D103),(AH103)*Assumptions!$B$5))*(1+Assumptions!$B$7*(Assumptions!$B$8*(Assumptions!$B$21)*Assumptions!$B$9+Assumptions!$B$10))+(D103)*Assumptions!$B$11*(Assumptions!$B$21)+(AH103)*AC103*(Assumptions!$B$12+Assumptions!$B$13+IF((AH103)*AC103&gt;=Assumptions!$B$16,Assumptions!$B$17,IF((AH103)*AC103&gt;=Assumptions!$B$14,Assumptions!$B$15,0))))</f>
        <v>-1833502.88725</v>
      </c>
      <c r="AK103" s="47" t="n">
        <f aca="false">(AI103)*AC103-(((D103)+(AI103)*Assumptions!$B$4+IF(H103="Yes",Assumptions!$B$6*(D103),(AI103)*Assumptions!$B$5))*(1+Assumptions!$B$7*(Assumptions!$B$8*(IF(AI103&gt;AH103,Assumptions!$B$22,Assumptions!$B$21))*Assumptions!$B$9+Assumptions!$B$10))+(D103)*Assumptions!$B$11*(IF(AI103&gt;AH103,Assumptions!$B$22,Assumptions!$B$21))+(AI103)*AC103*(Assumptions!$B$12+Assumptions!$B$13+IF((AI103)*AC103&gt;=Assumptions!$B$16,Assumptions!$B$17,IF((AI103)*AC103&gt;=Assumptions!$B$14,Assumptions!$B$15,0))))</f>
        <v>-1833502.88725</v>
      </c>
      <c r="AL103" s="47" t="n">
        <f aca="false">Assumptions!$B$7*(O103+P103+Q103)</f>
        <v>3438938.75</v>
      </c>
    </row>
    <row r="104" customFormat="false" ht="15" hidden="false" customHeight="false" outlineLevel="0" collapsed="false">
      <c r="A104" s="40" t="n">
        <v>102</v>
      </c>
      <c r="B104" s="40" t="s">
        <v>241</v>
      </c>
      <c r="C104" s="40" t="s">
        <v>124</v>
      </c>
      <c r="D104" s="41" t="n">
        <v>1835000</v>
      </c>
      <c r="E104" s="42" t="n">
        <v>5199</v>
      </c>
      <c r="F104" s="42" t="n">
        <v>1631</v>
      </c>
      <c r="G104" s="42"/>
      <c r="H104" s="43" t="s">
        <v>67</v>
      </c>
      <c r="I104" s="44" t="s">
        <v>242</v>
      </c>
      <c r="J104" s="45" t="n">
        <f aca="false">IF(AK104&gt;AJ104,AI104,AH104)</f>
        <v>1794</v>
      </c>
      <c r="K104" s="40" t="str">
        <f aca="false">IF(AK104&gt;AJ104,"Zoning estimate",IF(H104="Yes","Approved plans",IF(G104&gt;0,"Listing claim","110% old house")))</f>
        <v>110% old house</v>
      </c>
      <c r="L104" s="45" t="n">
        <f aca="false">IF(AK104&gt;AJ104,IF(AI104&gt;AH104,Assumptions!$B$22,Assumptions!$B$21),Assumptions!$B$21)</f>
        <v>2</v>
      </c>
      <c r="M104" s="46" t="n">
        <f aca="false">INDEX(Assumptions!$B$32:$B$44,MATCH(AG104,Assumptions!$A$32:$A$44,0))*(1+IF(UPPER(Assumptions!$B$27)="WORST",Assumptions!$B$24,IF(UPPER(Assumptions!$B$27)="BEST",Assumptions!$B$26,Assumptions!$B$25)))</f>
        <v>1430</v>
      </c>
      <c r="N104" s="47" t="n">
        <f aca="false">J104*M104</f>
        <v>2565420</v>
      </c>
      <c r="O104" s="47" t="n">
        <f aca="false">D104</f>
        <v>1835000</v>
      </c>
      <c r="P104" s="47" t="n">
        <f aca="false">J104*Assumptions!$B$4</f>
        <v>1255800</v>
      </c>
      <c r="Q104" s="47" t="n">
        <f aca="false">IF(H104="Yes",Assumptions!$B$6*(D104),(J104)*Assumptions!$B$5)</f>
        <v>134550</v>
      </c>
      <c r="R104" s="47" t="n">
        <f aca="false">AL104*(Assumptions!$B$8*L104*Assumptions!$B$9+Assumptions!$B$10)</f>
        <v>283024.4625</v>
      </c>
      <c r="S104" s="47" t="n">
        <f aca="false">O104*Assumptions!$B$11*L104</f>
        <v>44040</v>
      </c>
      <c r="T104" s="47" t="n">
        <f aca="false">N104*(Assumptions!$B$12+Assumptions!$B$13)</f>
        <v>142637.352</v>
      </c>
      <c r="U104" s="47" t="n">
        <f aca="false">N104*IF(N104&gt;=Assumptions!$B$16,Assumptions!$B$17,IF(N104&gt;=Assumptions!$B$14,Assumptions!$B$15,0))</f>
        <v>0</v>
      </c>
      <c r="V104" s="48" t="n">
        <f aca="false">SUM(O104:U104)</f>
        <v>3695051.8145</v>
      </c>
      <c r="W104" s="48" t="n">
        <f aca="false">N104-V104</f>
        <v>-1129631.8145</v>
      </c>
      <c r="X104" s="49" t="n">
        <f aca="false">IF(V104=0,0,W104/V104)</f>
        <v>-0.305714742636933</v>
      </c>
      <c r="Y104" s="47" t="n">
        <f aca="false">MAX(0,(N104/(1+Assumptions!$B$23)-(J104*(Assumptions!$B$4+IF(H104="Yes",0,Assumptions!$B$5)))*(1+(Assumptions!$B$7*(Assumptions!$B$8*L104*Assumptions!$B$9+Assumptions!$B$10)))-N104*(Assumptions!$B$12+Assumptions!$B$13+IF(N104&gt;=Assumptions!$B$16,Assumptions!$B$17,IF(N104&gt;=Assumptions!$B$14,Assumptions!$B$15,0))))/((1+IF(H104="Yes",Assumptions!$B$6,0))*(1+(Assumptions!$B$7*(Assumptions!$B$8*L104*Assumptions!$B$9+Assumptions!$B$10)))+Assumptions!$B$11*L104))</f>
        <v>517930.681807961</v>
      </c>
      <c r="Z104" s="50" t="n">
        <f aca="false">IF(Y104&lt;=0,"no price works",D104/Y104)</f>
        <v>3.54294515550709</v>
      </c>
      <c r="AA104" s="46" t="n">
        <f aca="false">INDEX(Assumptions!$B$32:$B$44,MATCH(AG104,Assumptions!$A$32:$A$44,0))*(1+Assumptions!$B$24)</f>
        <v>1300</v>
      </c>
      <c r="AB104" s="47" t="n">
        <f aca="false">(J104)*AA104-(((D104)+(J104)*Assumptions!$B$4+IF(H104="Yes",Assumptions!$B$6*(D104),(J104)*Assumptions!$B$5))*(1+Assumptions!$B$7*(Assumptions!$B$8*(L104)*Assumptions!$B$9+Assumptions!$B$10))+(D104)*Assumptions!$B$11*(L104)+(J104)*AA104*(Assumptions!$B$12+Assumptions!$B$13+IF((J104)*AA104&gt;=Assumptions!$B$16,Assumptions!$B$17,IF((J104)*AA104&gt;=Assumptions!$B$14,Assumptions!$B$15,0))))</f>
        <v>-1349884.7825</v>
      </c>
      <c r="AC104" s="46" t="n">
        <f aca="false">INDEX(Assumptions!$B$32:$B$44,MATCH(AG104,Assumptions!$A$32:$A$44,0))*(1+Assumptions!$B$25)</f>
        <v>1430</v>
      </c>
      <c r="AD104" s="47" t="n">
        <f aca="false">(J104)*AC104-(((D104)+(J104)*Assumptions!$B$4+IF(H104="Yes",Assumptions!$B$6*(D104),(J104)*Assumptions!$B$5))*(1+Assumptions!$B$7*(Assumptions!$B$8*(L104)*Assumptions!$B$9+Assumptions!$B$10))+(D104)*Assumptions!$B$11*(L104)+(J104)*AC104*(Assumptions!$B$12+Assumptions!$B$13+IF((J104)*AC104&gt;=Assumptions!$B$16,Assumptions!$B$17,IF((J104)*AC104&gt;=Assumptions!$B$14,Assumptions!$B$15,0))))</f>
        <v>-1129631.8145</v>
      </c>
      <c r="AE104" s="46" t="n">
        <f aca="false">INDEX(Assumptions!$B$32:$B$44,MATCH(AG104,Assumptions!$A$32:$A$44,0))*(1+Assumptions!$B$26)</f>
        <v>1560</v>
      </c>
      <c r="AF104" s="47" t="n">
        <f aca="false">(J104)*AE104-(((D104)+(J104)*Assumptions!$B$4+IF(H104="Yes",Assumptions!$B$6*(D104),(J104)*Assumptions!$B$5))*(1+Assumptions!$B$7*(Assumptions!$B$8*(L104)*Assumptions!$B$9+Assumptions!$B$10))+(D104)*Assumptions!$B$11*(L104)+(J104)*AE104*(Assumptions!$B$12+Assumptions!$B$13+IF((J104)*AE104&gt;=Assumptions!$B$16,Assumptions!$B$17,IF((J104)*AE104&gt;=Assumptions!$B$14,Assumptions!$B$15,0))))</f>
        <v>-909378.8465</v>
      </c>
      <c r="AG104" s="40" t="s">
        <v>126</v>
      </c>
      <c r="AH104" s="45" t="n">
        <f aca="false">IF(G104&gt;0,G104,ROUND(F104*Assumptions!$B$18,0))</f>
        <v>1794</v>
      </c>
      <c r="AI104" s="45" t="n">
        <f aca="false">IF(H104="Yes",AH104,MAX(AH104,MIN(Assumptions!$B$20,ROUND(E104*Assumptions!$B$19,0))))</f>
        <v>2080</v>
      </c>
      <c r="AJ104" s="47" t="n">
        <f aca="false">(AH104)*AC104-(((D104)+(AH104)*Assumptions!$B$4+IF(H104="Yes",Assumptions!$B$6*(D104),(AH104)*Assumptions!$B$5))*(1+Assumptions!$B$7*(Assumptions!$B$8*(Assumptions!$B$21)*Assumptions!$B$9+Assumptions!$B$10))+(D104)*Assumptions!$B$11*(Assumptions!$B$21)+(AH104)*AC104*(Assumptions!$B$12+Assumptions!$B$13+IF((AH104)*AC104&gt;=Assumptions!$B$16,Assumptions!$B$17,IF((AH104)*AC104&gt;=Assumptions!$B$14,Assumptions!$B$15,0))))</f>
        <v>-1129631.8145</v>
      </c>
      <c r="AK104" s="47" t="n">
        <f aca="false">(AI104)*AC104-(((D104)+(AI104)*Assumptions!$B$4+IF(H104="Yes",Assumptions!$B$6*(D104),(AI104)*Assumptions!$B$5))*(1+Assumptions!$B$7*(Assumptions!$B$8*(IF(AI104&gt;AH104,Assumptions!$B$22,Assumptions!$B$21))*Assumptions!$B$9+Assumptions!$B$10))+(D104)*Assumptions!$B$11*(IF(AI104&gt;AH104,Assumptions!$B$22,Assumptions!$B$21))+(AI104)*AC104*(Assumptions!$B$12+Assumptions!$B$13+IF((AI104)*AC104&gt;=Assumptions!$B$16,Assumptions!$B$17,IF((AI104)*AC104&gt;=Assumptions!$B$14,Assumptions!$B$15,0))))</f>
        <v>-1140943.89</v>
      </c>
      <c r="AL104" s="47" t="n">
        <f aca="false">Assumptions!$B$7*(O104+P104+Q104)</f>
        <v>2096477.5</v>
      </c>
    </row>
    <row r="105" customFormat="false" ht="15" hidden="false" customHeight="false" outlineLevel="0" collapsed="false">
      <c r="A105" s="40" t="n">
        <v>103</v>
      </c>
      <c r="B105" s="40" t="s">
        <v>243</v>
      </c>
      <c r="C105" s="40" t="s">
        <v>124</v>
      </c>
      <c r="D105" s="41" t="n">
        <v>2500000</v>
      </c>
      <c r="E105" s="42" t="n">
        <v>7017</v>
      </c>
      <c r="F105" s="42" t="n">
        <v>1235</v>
      </c>
      <c r="G105" s="42"/>
      <c r="H105" s="43" t="s">
        <v>67</v>
      </c>
      <c r="I105" s="44"/>
      <c r="J105" s="45" t="n">
        <f aca="false">IF(AK105&gt;AJ105,AI105,AH105)</f>
        <v>2807</v>
      </c>
      <c r="K105" s="40" t="str">
        <f aca="false">IF(AK105&gt;AJ105,"Zoning estimate",IF(H105="Yes","Approved plans",IF(G105&gt;0,"Listing claim","110% old house")))</f>
        <v>Zoning estimate</v>
      </c>
      <c r="L105" s="45" t="n">
        <f aca="false">IF(AK105&gt;AJ105,IF(AI105&gt;AH105,Assumptions!$B$22,Assumptions!$B$21),Assumptions!$B$21)</f>
        <v>3</v>
      </c>
      <c r="M105" s="46" t="n">
        <f aca="false">INDEX(Assumptions!$B$32:$B$44,MATCH(AG105,Assumptions!$A$32:$A$44,0))*(1+IF(UPPER(Assumptions!$B$27)="WORST",Assumptions!$B$24,IF(UPPER(Assumptions!$B$27)="BEST",Assumptions!$B$26,Assumptions!$B$25)))</f>
        <v>1430</v>
      </c>
      <c r="N105" s="47" t="n">
        <f aca="false">J105*M105</f>
        <v>4014010</v>
      </c>
      <c r="O105" s="47" t="n">
        <f aca="false">D105</f>
        <v>2500000</v>
      </c>
      <c r="P105" s="47" t="n">
        <f aca="false">J105*Assumptions!$B$4</f>
        <v>1964900</v>
      </c>
      <c r="Q105" s="47" t="n">
        <f aca="false">IF(H105="Yes",Assumptions!$B$6*(D105),(J105)*Assumptions!$B$5)</f>
        <v>210525</v>
      </c>
      <c r="R105" s="47" t="n">
        <f aca="false">AL105*(Assumptions!$B$8*L105*Assumptions!$B$9+Assumptions!$B$10)</f>
        <v>592610.11875</v>
      </c>
      <c r="S105" s="47" t="n">
        <f aca="false">O105*Assumptions!$B$11*L105</f>
        <v>90000</v>
      </c>
      <c r="T105" s="47" t="n">
        <f aca="false">N105*(Assumptions!$B$12+Assumptions!$B$13)</f>
        <v>223178.956</v>
      </c>
      <c r="U105" s="47" t="n">
        <f aca="false">N105*IF(N105&gt;=Assumptions!$B$16,Assumptions!$B$17,IF(N105&gt;=Assumptions!$B$14,Assumptions!$B$15,0))</f>
        <v>0</v>
      </c>
      <c r="V105" s="48" t="n">
        <f aca="false">SUM(O105:U105)</f>
        <v>5581214.07475</v>
      </c>
      <c r="W105" s="48" t="n">
        <f aca="false">N105-V105</f>
        <v>-1567204.07475</v>
      </c>
      <c r="X105" s="49" t="n">
        <f aca="false">IF(V105=0,0,W105/V105)</f>
        <v>-0.280799849953829</v>
      </c>
      <c r="Y105" s="47" t="n">
        <f aca="false">MAX(0,(N105/(1+Assumptions!$B$23)-(J105*(Assumptions!$B$4+IF(H105="Yes",0,Assumptions!$B$5)))*(1+(Assumptions!$B$7*(Assumptions!$B$8*L105*Assumptions!$B$9+Assumptions!$B$10)))-N105*(Assumptions!$B$12+Assumptions!$B$13+IF(N105&gt;=Assumptions!$B$16,Assumptions!$B$17,IF(N105&gt;=Assumptions!$B$14,Assumptions!$B$15,0))))/((1+IF(H105="Yes",Assumptions!$B$6,0))*(1+(Assumptions!$B$7*(Assumptions!$B$8*L105*Assumptions!$B$9+Assumptions!$B$10)))+Assumptions!$B$11*L105))</f>
        <v>701874.35262169</v>
      </c>
      <c r="Z105" s="50" t="n">
        <f aca="false">IF(Y105&lt;=0,"no price works",D105/Y105)</f>
        <v>3.56189108586434</v>
      </c>
      <c r="AA105" s="46" t="n">
        <f aca="false">INDEX(Assumptions!$B$32:$B$44,MATCH(AG105,Assumptions!$A$32:$A$44,0))*(1+Assumptions!$B$24)</f>
        <v>1300</v>
      </c>
      <c r="AB105" s="47" t="n">
        <f aca="false">(J105)*AA105-(((D105)+(J105)*Assumptions!$B$4+IF(H105="Yes",Assumptions!$B$6*(D105),(J105)*Assumptions!$B$5))*(1+Assumptions!$B$7*(Assumptions!$B$8*(L105)*Assumptions!$B$9+Assumptions!$B$10))+(D105)*Assumptions!$B$11*(L105)+(J105)*AA105*(Assumptions!$B$12+Assumptions!$B$13+IF((J105)*AA105&gt;=Assumptions!$B$16,Assumptions!$B$17,IF((J105)*AA105&gt;=Assumptions!$B$14,Assumptions!$B$15,0))))</f>
        <v>-1911825.07875</v>
      </c>
      <c r="AC105" s="46" t="n">
        <f aca="false">INDEX(Assumptions!$B$32:$B$44,MATCH(AG105,Assumptions!$A$32:$A$44,0))*(1+Assumptions!$B$25)</f>
        <v>1430</v>
      </c>
      <c r="AD105" s="47" t="n">
        <f aca="false">(J105)*AC105-(((D105)+(J105)*Assumptions!$B$4+IF(H105="Yes",Assumptions!$B$6*(D105),(J105)*Assumptions!$B$5))*(1+Assumptions!$B$7*(Assumptions!$B$8*(L105)*Assumptions!$B$9+Assumptions!$B$10))+(D105)*Assumptions!$B$11*(L105)+(J105)*AC105*(Assumptions!$B$12+Assumptions!$B$13+IF((J105)*AC105&gt;=Assumptions!$B$16,Assumptions!$B$17,IF((J105)*AC105&gt;=Assumptions!$B$14,Assumptions!$B$15,0))))</f>
        <v>-1567204.07475</v>
      </c>
      <c r="AE105" s="46" t="n">
        <f aca="false">INDEX(Assumptions!$B$32:$B$44,MATCH(AG105,Assumptions!$A$32:$A$44,0))*(1+Assumptions!$B$26)</f>
        <v>1560</v>
      </c>
      <c r="AF105" s="47" t="n">
        <f aca="false">(J105)*AE105-(((D105)+(J105)*Assumptions!$B$4+IF(H105="Yes",Assumptions!$B$6*(D105),(J105)*Assumptions!$B$5))*(1+Assumptions!$B$7*(Assumptions!$B$8*(L105)*Assumptions!$B$9+Assumptions!$B$10))+(D105)*Assumptions!$B$11*(L105)+(J105)*AE105*(Assumptions!$B$12+Assumptions!$B$13+IF((J105)*AE105&gt;=Assumptions!$B$16,Assumptions!$B$17,IF((J105)*AE105&gt;=Assumptions!$B$14,Assumptions!$B$15,0))))</f>
        <v>-1222583.07075</v>
      </c>
      <c r="AG105" s="40" t="s">
        <v>126</v>
      </c>
      <c r="AH105" s="45" t="n">
        <f aca="false">IF(G105&gt;0,G105,ROUND(F105*Assumptions!$B$18,0))</f>
        <v>1359</v>
      </c>
      <c r="AI105" s="45" t="n">
        <f aca="false">IF(H105="Yes",AH105,MAX(AH105,MIN(Assumptions!$B$20,ROUND(E105*Assumptions!$B$19,0))))</f>
        <v>2807</v>
      </c>
      <c r="AJ105" s="47" t="n">
        <f aca="false">(AH105)*AC105-(((D105)+(AH105)*Assumptions!$B$4+IF(H105="Yes",Assumptions!$B$6*(D105),(AH105)*Assumptions!$B$5))*(1+Assumptions!$B$7*(Assumptions!$B$8*(Assumptions!$B$21)*Assumptions!$B$9+Assumptions!$B$10))+(D105)*Assumptions!$B$11*(Assumptions!$B$21)+(AH105)*AC105*(Assumptions!$B$12+Assumptions!$B$13+IF((AH105)*AC105&gt;=Assumptions!$B$16,Assumptions!$B$17,IF((AH105)*AC105&gt;=Assumptions!$B$14,Assumptions!$B$15,0))))</f>
        <v>-2089701.86575</v>
      </c>
      <c r="AK105" s="47" t="n">
        <f aca="false">(AI105)*AC105-(((D105)+(AI105)*Assumptions!$B$4+IF(H105="Yes",Assumptions!$B$6*(D105),(AI105)*Assumptions!$B$5))*(1+Assumptions!$B$7*(Assumptions!$B$8*(IF(AI105&gt;AH105,Assumptions!$B$22,Assumptions!$B$21))*Assumptions!$B$9+Assumptions!$B$10))+(D105)*Assumptions!$B$11*(IF(AI105&gt;AH105,Assumptions!$B$22,Assumptions!$B$21))+(AI105)*AC105*(Assumptions!$B$12+Assumptions!$B$13+IF((AI105)*AC105&gt;=Assumptions!$B$16,Assumptions!$B$17,IF((AI105)*AC105&gt;=Assumptions!$B$14,Assumptions!$B$15,0))))</f>
        <v>-1567204.07475</v>
      </c>
      <c r="AL105" s="47" t="n">
        <f aca="false">Assumptions!$B$7*(O105+P105+Q105)</f>
        <v>3039026.25</v>
      </c>
    </row>
    <row r="106" customFormat="false" ht="23.85" hidden="false" customHeight="false" outlineLevel="0" collapsed="false">
      <c r="A106" s="40" t="n">
        <v>104</v>
      </c>
      <c r="B106" s="40" t="s">
        <v>244</v>
      </c>
      <c r="C106" s="40" t="s">
        <v>124</v>
      </c>
      <c r="D106" s="41" t="n">
        <v>2395000</v>
      </c>
      <c r="E106" s="42" t="n">
        <v>6501</v>
      </c>
      <c r="F106" s="42" t="n">
        <v>1116</v>
      </c>
      <c r="G106" s="42"/>
      <c r="H106" s="43" t="s">
        <v>67</v>
      </c>
      <c r="I106" s="44" t="s">
        <v>245</v>
      </c>
      <c r="J106" s="45" t="n">
        <f aca="false">IF(AK106&gt;AJ106,AI106,AH106)</f>
        <v>2600</v>
      </c>
      <c r="K106" s="40" t="str">
        <f aca="false">IF(AK106&gt;AJ106,"Zoning estimate",IF(H106="Yes","Approved plans",IF(G106&gt;0,"Listing claim","110% old house")))</f>
        <v>Zoning estimate</v>
      </c>
      <c r="L106" s="45" t="n">
        <f aca="false">IF(AK106&gt;AJ106,IF(AI106&gt;AH106,Assumptions!$B$22,Assumptions!$B$21),Assumptions!$B$21)</f>
        <v>3</v>
      </c>
      <c r="M106" s="46" t="n">
        <f aca="false">INDEX(Assumptions!$B$32:$B$44,MATCH(AG106,Assumptions!$A$32:$A$44,0))*(1+IF(UPPER(Assumptions!$B$27)="WORST",Assumptions!$B$24,IF(UPPER(Assumptions!$B$27)="BEST",Assumptions!$B$26,Assumptions!$B$25)))</f>
        <v>1430</v>
      </c>
      <c r="N106" s="47" t="n">
        <f aca="false">J106*M106</f>
        <v>3718000</v>
      </c>
      <c r="O106" s="47" t="n">
        <f aca="false">D106</f>
        <v>2395000</v>
      </c>
      <c r="P106" s="47" t="n">
        <f aca="false">J106*Assumptions!$B$4</f>
        <v>1820000</v>
      </c>
      <c r="Q106" s="47" t="n">
        <f aca="false">IF(H106="Yes",Assumptions!$B$6*(D106),(J106)*Assumptions!$B$5)</f>
        <v>195000</v>
      </c>
      <c r="R106" s="47" t="n">
        <f aca="false">AL106*(Assumptions!$B$8*L106*Assumptions!$B$9+Assumptions!$B$10)</f>
        <v>558967.5</v>
      </c>
      <c r="S106" s="47" t="n">
        <f aca="false">O106*Assumptions!$B$11*L106</f>
        <v>86220</v>
      </c>
      <c r="T106" s="47" t="n">
        <f aca="false">N106*(Assumptions!$B$12+Assumptions!$B$13)</f>
        <v>206720.8</v>
      </c>
      <c r="U106" s="47" t="n">
        <f aca="false">N106*IF(N106&gt;=Assumptions!$B$16,Assumptions!$B$17,IF(N106&gt;=Assumptions!$B$14,Assumptions!$B$15,0))</f>
        <v>0</v>
      </c>
      <c r="V106" s="48" t="n">
        <f aca="false">SUM(O106:U106)</f>
        <v>5261908.3</v>
      </c>
      <c r="W106" s="48" t="n">
        <f aca="false">N106-V106</f>
        <v>-1543908.3</v>
      </c>
      <c r="X106" s="49" t="n">
        <f aca="false">IF(V106=0,0,W106/V106)</f>
        <v>-0.293412239814213</v>
      </c>
      <c r="Y106" s="47" t="n">
        <f aca="false">MAX(0,(N106/(1+Assumptions!$B$23)-(J106*(Assumptions!$B$4+IF(H106="Yes",0,Assumptions!$B$5)))*(1+(Assumptions!$B$7*(Assumptions!$B$8*L106*Assumptions!$B$9+Assumptions!$B$10)))-N106*(Assumptions!$B$12+Assumptions!$B$13+IF(N106&gt;=Assumptions!$B$16,Assumptions!$B$17,IF(N106&gt;=Assumptions!$B$14,Assumptions!$B$15,0))))/((1+IF(H106="Yes",Assumptions!$B$6,0))*(1+(Assumptions!$B$7*(Assumptions!$B$8*L106*Assumptions!$B$9+Assumptions!$B$10)))+Assumptions!$B$11*L106))</f>
        <v>650115.18233573</v>
      </c>
      <c r="Z106" s="50" t="n">
        <f aca="false">IF(Y106&lt;=0,"no price works",D106/Y106)</f>
        <v>3.68396257320935</v>
      </c>
      <c r="AA106" s="46" t="n">
        <f aca="false">INDEX(Assumptions!$B$32:$B$44,MATCH(AG106,Assumptions!$A$32:$A$44,0))*(1+Assumptions!$B$24)</f>
        <v>1300</v>
      </c>
      <c r="AB106" s="47" t="n">
        <f aca="false">(J106)*AA106-(((D106)+(J106)*Assumptions!$B$4+IF(H106="Yes",Assumptions!$B$6*(D106),(J106)*Assumptions!$B$5))*(1+Assumptions!$B$7*(Assumptions!$B$8*(L106)*Assumptions!$B$9+Assumptions!$B$10))+(D106)*Assumptions!$B$11*(L106)+(J106)*AA106*(Assumptions!$B$12+Assumptions!$B$13+IF((J106)*AA106&gt;=Assumptions!$B$16,Assumptions!$B$17,IF((J106)*AA106&gt;=Assumptions!$B$14,Assumptions!$B$15,0))))</f>
        <v>-1863115.5</v>
      </c>
      <c r="AC106" s="46" t="n">
        <f aca="false">INDEX(Assumptions!$B$32:$B$44,MATCH(AG106,Assumptions!$A$32:$A$44,0))*(1+Assumptions!$B$25)</f>
        <v>1430</v>
      </c>
      <c r="AD106" s="47" t="n">
        <f aca="false">(J106)*AC106-(((D106)+(J106)*Assumptions!$B$4+IF(H106="Yes",Assumptions!$B$6*(D106),(J106)*Assumptions!$B$5))*(1+Assumptions!$B$7*(Assumptions!$B$8*(L106)*Assumptions!$B$9+Assumptions!$B$10))+(D106)*Assumptions!$B$11*(L106)+(J106)*AC106*(Assumptions!$B$12+Assumptions!$B$13+IF((J106)*AC106&gt;=Assumptions!$B$16,Assumptions!$B$17,IF((J106)*AC106&gt;=Assumptions!$B$14,Assumptions!$B$15,0))))</f>
        <v>-1543908.3</v>
      </c>
      <c r="AE106" s="46" t="n">
        <f aca="false">INDEX(Assumptions!$B$32:$B$44,MATCH(AG106,Assumptions!$A$32:$A$44,0))*(1+Assumptions!$B$26)</f>
        <v>1560</v>
      </c>
      <c r="AF106" s="47" t="n">
        <f aca="false">(J106)*AE106-(((D106)+(J106)*Assumptions!$B$4+IF(H106="Yes",Assumptions!$B$6*(D106),(J106)*Assumptions!$B$5))*(1+Assumptions!$B$7*(Assumptions!$B$8*(L106)*Assumptions!$B$9+Assumptions!$B$10))+(D106)*Assumptions!$B$11*(L106)+(J106)*AE106*(Assumptions!$B$12+Assumptions!$B$13+IF((J106)*AE106&gt;=Assumptions!$B$16,Assumptions!$B$17,IF((J106)*AE106&gt;=Assumptions!$B$14,Assumptions!$B$15,0))))</f>
        <v>-1224701.1</v>
      </c>
      <c r="AG106" s="40" t="s">
        <v>126</v>
      </c>
      <c r="AH106" s="45" t="n">
        <f aca="false">IF(G106&gt;0,G106,ROUND(F106*Assumptions!$B$18,0))</f>
        <v>1228</v>
      </c>
      <c r="AI106" s="45" t="n">
        <f aca="false">IF(H106="Yes",AH106,MAX(AH106,MIN(Assumptions!$B$20,ROUND(E106*Assumptions!$B$19,0))))</f>
        <v>2600</v>
      </c>
      <c r="AJ106" s="47" t="n">
        <f aca="false">(AH106)*AC106-(((D106)+(AH106)*Assumptions!$B$4+IF(H106="Yes",Assumptions!$B$6*(D106),(AH106)*Assumptions!$B$5))*(1+Assumptions!$B$7*(Assumptions!$B$8*(Assumptions!$B$21)*Assumptions!$B$9+Assumptions!$B$10))+(D106)*Assumptions!$B$11*(Assumptions!$B$21)+(AH106)*AC106*(Assumptions!$B$12+Assumptions!$B$13+IF((AH106)*AC106&gt;=Assumptions!$B$16,Assumptions!$B$17,IF((AH106)*AC106&gt;=Assumptions!$B$14,Assumptions!$B$15,0))))</f>
        <v>-2039448.749</v>
      </c>
      <c r="AK106" s="47" t="n">
        <f aca="false">(AI106)*AC106-(((D106)+(AI106)*Assumptions!$B$4+IF(H106="Yes",Assumptions!$B$6*(D106),(AI106)*Assumptions!$B$5))*(1+Assumptions!$B$7*(Assumptions!$B$8*(IF(AI106&gt;AH106,Assumptions!$B$22,Assumptions!$B$21))*Assumptions!$B$9+Assumptions!$B$10))+(D106)*Assumptions!$B$11*(IF(AI106&gt;AH106,Assumptions!$B$22,Assumptions!$B$21))+(AI106)*AC106*(Assumptions!$B$12+Assumptions!$B$13+IF((AI106)*AC106&gt;=Assumptions!$B$16,Assumptions!$B$17,IF((AI106)*AC106&gt;=Assumptions!$B$14,Assumptions!$B$15,0))))</f>
        <v>-1543908.3</v>
      </c>
      <c r="AL106" s="47" t="n">
        <f aca="false">Assumptions!$B$7*(O106+P106+Q106)</f>
        <v>2866500</v>
      </c>
    </row>
    <row r="107" customFormat="false" ht="15" hidden="false" customHeight="false" outlineLevel="0" collapsed="false">
      <c r="A107" s="40" t="n">
        <v>105</v>
      </c>
      <c r="B107" s="40" t="s">
        <v>246</v>
      </c>
      <c r="C107" s="40" t="s">
        <v>124</v>
      </c>
      <c r="D107" s="41" t="n">
        <v>1925000</v>
      </c>
      <c r="E107" s="42" t="n">
        <v>5197</v>
      </c>
      <c r="F107" s="42" t="n">
        <v>1216</v>
      </c>
      <c r="G107" s="42"/>
      <c r="H107" s="43" t="s">
        <v>67</v>
      </c>
      <c r="I107" s="44" t="s">
        <v>247</v>
      </c>
      <c r="J107" s="45" t="n">
        <f aca="false">IF(AK107&gt;AJ107,AI107,AH107)</f>
        <v>2079</v>
      </c>
      <c r="K107" s="40" t="str">
        <f aca="false">IF(AK107&gt;AJ107,"Zoning estimate",IF(H107="Yes","Approved plans",IF(G107&gt;0,"Listing claim","110% old house")))</f>
        <v>Zoning estimate</v>
      </c>
      <c r="L107" s="45" t="n">
        <f aca="false">IF(AK107&gt;AJ107,IF(AI107&gt;AH107,Assumptions!$B$22,Assumptions!$B$21),Assumptions!$B$21)</f>
        <v>3</v>
      </c>
      <c r="M107" s="46" t="n">
        <f aca="false">INDEX(Assumptions!$B$32:$B$44,MATCH(AG107,Assumptions!$A$32:$A$44,0))*(1+IF(UPPER(Assumptions!$B$27)="WORST",Assumptions!$B$24,IF(UPPER(Assumptions!$B$27)="BEST",Assumptions!$B$26,Assumptions!$B$25)))</f>
        <v>1430</v>
      </c>
      <c r="N107" s="47" t="n">
        <f aca="false">J107*M107</f>
        <v>2972970</v>
      </c>
      <c r="O107" s="47" t="n">
        <f aca="false">D107</f>
        <v>1925000</v>
      </c>
      <c r="P107" s="47" t="n">
        <f aca="false">J107*Assumptions!$B$4</f>
        <v>1455300</v>
      </c>
      <c r="Q107" s="47" t="n">
        <f aca="false">IF(H107="Yes",Assumptions!$B$6*(D107),(J107)*Assumptions!$B$5)</f>
        <v>155925</v>
      </c>
      <c r="R107" s="47" t="n">
        <f aca="false">AL107*(Assumptions!$B$8*L107*Assumptions!$B$9+Assumptions!$B$10)</f>
        <v>448216.51875</v>
      </c>
      <c r="S107" s="47" t="n">
        <f aca="false">O107*Assumptions!$B$11*L107</f>
        <v>69300</v>
      </c>
      <c r="T107" s="47" t="n">
        <f aca="false">N107*(Assumptions!$B$12+Assumptions!$B$13)</f>
        <v>165297.132</v>
      </c>
      <c r="U107" s="47" t="n">
        <f aca="false">N107*IF(N107&gt;=Assumptions!$B$16,Assumptions!$B$17,IF(N107&gt;=Assumptions!$B$14,Assumptions!$B$15,0))</f>
        <v>0</v>
      </c>
      <c r="V107" s="48" t="n">
        <f aca="false">SUM(O107:U107)</f>
        <v>4219038.65075</v>
      </c>
      <c r="W107" s="48" t="n">
        <f aca="false">N107-V107</f>
        <v>-1246068.65075</v>
      </c>
      <c r="X107" s="49" t="n">
        <f aca="false">IF(V107=0,0,W107/V107)</f>
        <v>-0.295344213196172</v>
      </c>
      <c r="Y107" s="47" t="n">
        <f aca="false">MAX(0,(N107/(1+Assumptions!$B$23)-(J107*(Assumptions!$B$4+IF(H107="Yes",0,Assumptions!$B$5)))*(1+(Assumptions!$B$7*(Assumptions!$B$8*L107*Assumptions!$B$9+Assumptions!$B$10)))-N107*(Assumptions!$B$12+Assumptions!$B$13+IF(N107&gt;=Assumptions!$B$16,Assumptions!$B$17,IF(N107&gt;=Assumptions!$B$14,Assumptions!$B$15,0))))/((1+IF(H107="Yes",Assumptions!$B$6,0))*(1+(Assumptions!$B$7*(Assumptions!$B$8*L107*Assumptions!$B$9+Assumptions!$B$10)))+Assumptions!$B$11*L107))</f>
        <v>519842.101567686</v>
      </c>
      <c r="Z107" s="50" t="n">
        <f aca="false">IF(Y107&lt;=0,"no price works",D107/Y107)</f>
        <v>3.70304751037822</v>
      </c>
      <c r="AA107" s="46" t="n">
        <f aca="false">INDEX(Assumptions!$B$32:$B$44,MATCH(AG107,Assumptions!$A$32:$A$44,0))*(1+Assumptions!$B$24)</f>
        <v>1300</v>
      </c>
      <c r="AB107" s="47" t="n">
        <f aca="false">(J107)*AA107-(((D107)+(J107)*Assumptions!$B$4+IF(H107="Yes",Assumptions!$B$6*(D107),(J107)*Assumptions!$B$5))*(1+Assumptions!$B$7*(Assumptions!$B$8*(L107)*Assumptions!$B$9+Assumptions!$B$10))+(D107)*Assumptions!$B$11*(L107)+(J107)*AA107*(Assumptions!$B$12+Assumptions!$B$13+IF((J107)*AA107&gt;=Assumptions!$B$16,Assumptions!$B$17,IF((J107)*AA107&gt;=Assumptions!$B$14,Assumptions!$B$15,0))))</f>
        <v>-1501311.63875</v>
      </c>
      <c r="AC107" s="46" t="n">
        <f aca="false">INDEX(Assumptions!$B$32:$B$44,MATCH(AG107,Assumptions!$A$32:$A$44,0))*(1+Assumptions!$B$25)</f>
        <v>1430</v>
      </c>
      <c r="AD107" s="47" t="n">
        <f aca="false">(J107)*AC107-(((D107)+(J107)*Assumptions!$B$4+IF(H107="Yes",Assumptions!$B$6*(D107),(J107)*Assumptions!$B$5))*(1+Assumptions!$B$7*(Assumptions!$B$8*(L107)*Assumptions!$B$9+Assumptions!$B$10))+(D107)*Assumptions!$B$11*(L107)+(J107)*AC107*(Assumptions!$B$12+Assumptions!$B$13+IF((J107)*AC107&gt;=Assumptions!$B$16,Assumptions!$B$17,IF((J107)*AC107&gt;=Assumptions!$B$14,Assumptions!$B$15,0))))</f>
        <v>-1246068.65075</v>
      </c>
      <c r="AE107" s="46" t="n">
        <f aca="false">INDEX(Assumptions!$B$32:$B$44,MATCH(AG107,Assumptions!$A$32:$A$44,0))*(1+Assumptions!$B$26)</f>
        <v>1560</v>
      </c>
      <c r="AF107" s="47" t="n">
        <f aca="false">(J107)*AE107-(((D107)+(J107)*Assumptions!$B$4+IF(H107="Yes",Assumptions!$B$6*(D107),(J107)*Assumptions!$B$5))*(1+Assumptions!$B$7*(Assumptions!$B$8*(L107)*Assumptions!$B$9+Assumptions!$B$10))+(D107)*Assumptions!$B$11*(L107)+(J107)*AE107*(Assumptions!$B$12+Assumptions!$B$13+IF((J107)*AE107&gt;=Assumptions!$B$16,Assumptions!$B$17,IF((J107)*AE107&gt;=Assumptions!$B$14,Assumptions!$B$15,0))))</f>
        <v>-990825.66275</v>
      </c>
      <c r="AG107" s="40" t="s">
        <v>126</v>
      </c>
      <c r="AH107" s="45" t="n">
        <f aca="false">IF(G107&gt;0,G107,ROUND(F107*Assumptions!$B$18,0))</f>
        <v>1338</v>
      </c>
      <c r="AI107" s="45" t="n">
        <f aca="false">IF(H107="Yes",AH107,MAX(AH107,MIN(Assumptions!$B$20,ROUND(E107*Assumptions!$B$19,0))))</f>
        <v>2079</v>
      </c>
      <c r="AJ107" s="47" t="n">
        <f aca="false">(AH107)*AC107-(((D107)+(AH107)*Assumptions!$B$4+IF(H107="Yes",Assumptions!$B$6*(D107),(AH107)*Assumptions!$B$5))*(1+Assumptions!$B$7*(Assumptions!$B$8*(Assumptions!$B$21)*Assumptions!$B$9+Assumptions!$B$10))+(D107)*Assumptions!$B$11*(Assumptions!$B$21)+(AH107)*AC107*(Assumptions!$B$12+Assumptions!$B$13+IF((AH107)*AC107&gt;=Assumptions!$B$16,Assumptions!$B$17,IF((AH107)*AC107&gt;=Assumptions!$B$14,Assumptions!$B$15,0))))</f>
        <v>-1461102.8165</v>
      </c>
      <c r="AK107" s="47" t="n">
        <f aca="false">(AI107)*AC107-(((D107)+(AI107)*Assumptions!$B$4+IF(H107="Yes",Assumptions!$B$6*(D107),(AI107)*Assumptions!$B$5))*(1+Assumptions!$B$7*(Assumptions!$B$8*(IF(AI107&gt;AH107,Assumptions!$B$22,Assumptions!$B$21))*Assumptions!$B$9+Assumptions!$B$10))+(D107)*Assumptions!$B$11*(IF(AI107&gt;AH107,Assumptions!$B$22,Assumptions!$B$21))+(AI107)*AC107*(Assumptions!$B$12+Assumptions!$B$13+IF((AI107)*AC107&gt;=Assumptions!$B$16,Assumptions!$B$17,IF((AI107)*AC107&gt;=Assumptions!$B$14,Assumptions!$B$15,0))))</f>
        <v>-1246068.65075</v>
      </c>
      <c r="AL107" s="47" t="n">
        <f aca="false">Assumptions!$B$7*(O107+P107+Q107)</f>
        <v>2298546.25</v>
      </c>
    </row>
    <row r="108" customFormat="false" ht="23.85" hidden="false" customHeight="false" outlineLevel="0" collapsed="false">
      <c r="A108" s="40" t="n">
        <v>106</v>
      </c>
      <c r="B108" s="40" t="s">
        <v>248</v>
      </c>
      <c r="C108" s="40" t="s">
        <v>124</v>
      </c>
      <c r="D108" s="41" t="n">
        <v>3535000</v>
      </c>
      <c r="E108" s="42" t="n">
        <v>11832</v>
      </c>
      <c r="F108" s="42" t="n">
        <v>3602</v>
      </c>
      <c r="G108" s="42"/>
      <c r="H108" s="43" t="s">
        <v>67</v>
      </c>
      <c r="I108" s="44" t="s">
        <v>249</v>
      </c>
      <c r="J108" s="45" t="n">
        <f aca="false">IF(AK108&gt;AJ108,AI108,AH108)</f>
        <v>4733</v>
      </c>
      <c r="K108" s="40" t="str">
        <f aca="false">IF(AK108&gt;AJ108,"Zoning estimate",IF(H108="Yes","Approved plans",IF(G108&gt;0,"Listing claim","110% old house")))</f>
        <v>Zoning estimate</v>
      </c>
      <c r="L108" s="45" t="n">
        <f aca="false">IF(AK108&gt;AJ108,IF(AI108&gt;AH108,Assumptions!$B$22,Assumptions!$B$21),Assumptions!$B$21)</f>
        <v>3</v>
      </c>
      <c r="M108" s="46" t="n">
        <f aca="false">INDEX(Assumptions!$B$32:$B$44,MATCH(AG108,Assumptions!$A$32:$A$44,0))*(1+IF(UPPER(Assumptions!$B$27)="WORST",Assumptions!$B$24,IF(UPPER(Assumptions!$B$27)="BEST",Assumptions!$B$26,Assumptions!$B$25)))</f>
        <v>1430</v>
      </c>
      <c r="N108" s="47" t="n">
        <f aca="false">J108*M108</f>
        <v>6768190</v>
      </c>
      <c r="O108" s="47" t="n">
        <f aca="false">D108</f>
        <v>3535000</v>
      </c>
      <c r="P108" s="47" t="n">
        <f aca="false">J108*Assumptions!$B$4</f>
        <v>3313100</v>
      </c>
      <c r="Q108" s="47" t="n">
        <f aca="false">IF(H108="Yes",Assumptions!$B$6*(D108),(J108)*Assumptions!$B$5)</f>
        <v>354975</v>
      </c>
      <c r="R108" s="47" t="n">
        <f aca="false">AL108*(Assumptions!$B$8*L108*Assumptions!$B$9+Assumptions!$B$10)</f>
        <v>912989.75625</v>
      </c>
      <c r="S108" s="47" t="n">
        <f aca="false">O108*Assumptions!$B$11*L108</f>
        <v>127260</v>
      </c>
      <c r="T108" s="47" t="n">
        <f aca="false">N108*(Assumptions!$B$12+Assumptions!$B$13)</f>
        <v>376311.364</v>
      </c>
      <c r="U108" s="47" t="n">
        <f aca="false">N108*IF(N108&gt;=Assumptions!$B$16,Assumptions!$B$17,IF(N108&gt;=Assumptions!$B$14,Assumptions!$B$15,0))</f>
        <v>270727.6</v>
      </c>
      <c r="V108" s="48" t="n">
        <f aca="false">SUM(O108:U108)</f>
        <v>8890363.72025</v>
      </c>
      <c r="W108" s="48" t="n">
        <f aca="false">N108-V108</f>
        <v>-2122173.72025</v>
      </c>
      <c r="X108" s="49" t="n">
        <f aca="false">IF(V108=0,0,W108/V108)</f>
        <v>-0.238704937956163</v>
      </c>
      <c r="Y108" s="47" t="n">
        <f aca="false">MAX(0,(N108/(1+Assumptions!$B$23)-(J108*(Assumptions!$B$4+IF(H108="Yes",0,Assumptions!$B$5)))*(1+(Assumptions!$B$7*(Assumptions!$B$8*L108*Assumptions!$B$9+Assumptions!$B$10)))-N108*(Assumptions!$B$12+Assumptions!$B$13+IF(N108&gt;=Assumptions!$B$16,Assumptions!$B$17,IF(N108&gt;=Assumptions!$B$14,Assumptions!$B$15,0))))/((1+IF(H108="Yes",Assumptions!$B$6,0))*(1+(Assumptions!$B$7*(Assumptions!$B$8*L108*Assumptions!$B$9+Assumptions!$B$10)))+Assumptions!$B$11*L108))</f>
        <v>950625.790965946</v>
      </c>
      <c r="Z108" s="50" t="n">
        <f aca="false">IF(Y108&lt;=0,"no price works",D108/Y108)</f>
        <v>3.71860308608715</v>
      </c>
      <c r="AA108" s="46" t="n">
        <f aca="false">INDEX(Assumptions!$B$32:$B$44,MATCH(AG108,Assumptions!$A$32:$A$44,0))*(1+Assumptions!$B$24)</f>
        <v>1300</v>
      </c>
      <c r="AB108" s="47" t="n">
        <f aca="false">(J108)*AA108-(((D108)+(J108)*Assumptions!$B$4+IF(H108="Yes",Assumptions!$B$6*(D108),(J108)*Assumptions!$B$5))*(1+Assumptions!$B$7*(Assumptions!$B$8*(L108)*Assumptions!$B$9+Assumptions!$B$10))+(D108)*Assumptions!$B$11*(L108)+(J108)*AA108*(Assumptions!$B$12+Assumptions!$B$13+IF((J108)*AA108&gt;=Assumptions!$B$16,Assumptions!$B$17,IF((J108)*AA108&gt;=Assumptions!$B$14,Assumptions!$B$15,0))))</f>
        <v>-2678641.99625</v>
      </c>
      <c r="AC108" s="46" t="n">
        <f aca="false">INDEX(Assumptions!$B$32:$B$44,MATCH(AG108,Assumptions!$A$32:$A$44,0))*(1+Assumptions!$B$25)</f>
        <v>1430</v>
      </c>
      <c r="AD108" s="47" t="n">
        <f aca="false">(J108)*AC108-(((D108)+(J108)*Assumptions!$B$4+IF(H108="Yes",Assumptions!$B$6*(D108),(J108)*Assumptions!$B$5))*(1+Assumptions!$B$7*(Assumptions!$B$8*(L108)*Assumptions!$B$9+Assumptions!$B$10))+(D108)*Assumptions!$B$11*(L108)+(J108)*AC108*(Assumptions!$B$12+Assumptions!$B$13+IF((J108)*AC108&gt;=Assumptions!$B$16,Assumptions!$B$17,IF((J108)*AC108&gt;=Assumptions!$B$14,Assumptions!$B$15,0))))</f>
        <v>-2122173.72025</v>
      </c>
      <c r="AE108" s="46" t="n">
        <f aca="false">INDEX(Assumptions!$B$32:$B$44,MATCH(AG108,Assumptions!$A$32:$A$44,0))*(1+Assumptions!$B$26)</f>
        <v>1560</v>
      </c>
      <c r="AF108" s="47" t="n">
        <f aca="false">(J108)*AE108-(((D108)+(J108)*Assumptions!$B$4+IF(H108="Yes",Assumptions!$B$6*(D108),(J108)*Assumptions!$B$5))*(1+Assumptions!$B$7*(Assumptions!$B$8*(L108)*Assumptions!$B$9+Assumptions!$B$10))+(D108)*Assumptions!$B$11*(L108)+(J108)*AE108*(Assumptions!$B$12+Assumptions!$B$13+IF((J108)*AE108&gt;=Assumptions!$B$16,Assumptions!$B$17,IF((J108)*AE108&gt;=Assumptions!$B$14,Assumptions!$B$15,0))))</f>
        <v>-1565705.44425</v>
      </c>
      <c r="AG108" s="40" t="s">
        <v>126</v>
      </c>
      <c r="AH108" s="45" t="n">
        <f aca="false">IF(G108&gt;0,G108,ROUND(F108*Assumptions!$B$18,0))</f>
        <v>3962</v>
      </c>
      <c r="AI108" s="45" t="n">
        <f aca="false">IF(H108="Yes",AH108,MAX(AH108,MIN(Assumptions!$B$20,ROUND(E108*Assumptions!$B$19,0))))</f>
        <v>4733</v>
      </c>
      <c r="AJ108" s="47" t="n">
        <f aca="false">(AH108)*AC108-(((D108)+(AH108)*Assumptions!$B$4+IF(H108="Yes",Assumptions!$B$6*(D108),(AH108)*Assumptions!$B$5))*(1+Assumptions!$B$7*(Assumptions!$B$8*(Assumptions!$B$21)*Assumptions!$B$9+Assumptions!$B$10))+(D108)*Assumptions!$B$11*(Assumptions!$B$21)+(AH108)*AC108*(Assumptions!$B$12+Assumptions!$B$13+IF((AH108)*AC108&gt;=Assumptions!$B$16,Assumptions!$B$17,IF((AH108)*AC108&gt;=Assumptions!$B$14,Assumptions!$B$15,0))))</f>
        <v>-2146004.1085</v>
      </c>
      <c r="AK108" s="47" t="n">
        <f aca="false">(AI108)*AC108-(((D108)+(AI108)*Assumptions!$B$4+IF(H108="Yes",Assumptions!$B$6*(D108),(AI108)*Assumptions!$B$5))*(1+Assumptions!$B$7*(Assumptions!$B$8*(IF(AI108&gt;AH108,Assumptions!$B$22,Assumptions!$B$21))*Assumptions!$B$9+Assumptions!$B$10))+(D108)*Assumptions!$B$11*(IF(AI108&gt;AH108,Assumptions!$B$22,Assumptions!$B$21))+(AI108)*AC108*(Assumptions!$B$12+Assumptions!$B$13+IF((AI108)*AC108&gt;=Assumptions!$B$16,Assumptions!$B$17,IF((AI108)*AC108&gt;=Assumptions!$B$14,Assumptions!$B$15,0))))</f>
        <v>-2122173.72025</v>
      </c>
      <c r="AL108" s="47" t="n">
        <f aca="false">Assumptions!$B$7*(O108+P108+Q108)</f>
        <v>4681998.75</v>
      </c>
    </row>
    <row r="109" customFormat="false" ht="15" hidden="false" customHeight="false" outlineLevel="0" collapsed="false">
      <c r="A109" s="40" t="n">
        <v>107</v>
      </c>
      <c r="B109" s="40" t="s">
        <v>250</v>
      </c>
      <c r="C109" s="40" t="s">
        <v>201</v>
      </c>
      <c r="D109" s="41" t="n">
        <v>1850000</v>
      </c>
      <c r="E109" s="42" t="n">
        <v>7165</v>
      </c>
      <c r="F109" s="42" t="n">
        <v>2028</v>
      </c>
      <c r="G109" s="42"/>
      <c r="H109" s="43" t="s">
        <v>67</v>
      </c>
      <c r="I109" s="44"/>
      <c r="J109" s="45" t="n">
        <f aca="false">IF(AK109&gt;AJ109,AI109,AH109)</f>
        <v>2866</v>
      </c>
      <c r="K109" s="40" t="str">
        <f aca="false">IF(AK109&gt;AJ109,"Zoning estimate",IF(H109="Yes","Approved plans",IF(G109&gt;0,"Listing claim","110% old house")))</f>
        <v>Zoning estimate</v>
      </c>
      <c r="L109" s="45" t="n">
        <f aca="false">IF(AK109&gt;AJ109,IF(AI109&gt;AH109,Assumptions!$B$22,Assumptions!$B$21),Assumptions!$B$21)</f>
        <v>3</v>
      </c>
      <c r="M109" s="46" t="n">
        <f aca="false">INDEX(Assumptions!$B$32:$B$44,MATCH(AG109,Assumptions!$A$32:$A$44,0))*(1+IF(UPPER(Assumptions!$B$27)="WORST",Assumptions!$B$24,IF(UPPER(Assumptions!$B$27)="BEST",Assumptions!$B$26,Assumptions!$B$25)))</f>
        <v>1320</v>
      </c>
      <c r="N109" s="47" t="n">
        <f aca="false">J109*M109</f>
        <v>3783120</v>
      </c>
      <c r="O109" s="47" t="n">
        <f aca="false">D109</f>
        <v>1850000</v>
      </c>
      <c r="P109" s="47" t="n">
        <f aca="false">J109*Assumptions!$B$4</f>
        <v>2006200</v>
      </c>
      <c r="Q109" s="47" t="n">
        <f aca="false">IF(H109="Yes",Assumptions!$B$6*(D109),(J109)*Assumptions!$B$5)</f>
        <v>214950</v>
      </c>
      <c r="R109" s="47" t="n">
        <f aca="false">AL109*(Assumptions!$B$8*L109*Assumptions!$B$9+Assumptions!$B$10)</f>
        <v>516018.2625</v>
      </c>
      <c r="S109" s="47" t="n">
        <f aca="false">O109*Assumptions!$B$11*L109</f>
        <v>66600</v>
      </c>
      <c r="T109" s="47" t="n">
        <f aca="false">N109*(Assumptions!$B$12+Assumptions!$B$13)</f>
        <v>210341.472</v>
      </c>
      <c r="U109" s="47" t="n">
        <f aca="false">N109*IF(N109&gt;=Assumptions!$B$16,Assumptions!$B$17,IF(N109&gt;=Assumptions!$B$14,Assumptions!$B$15,0))</f>
        <v>0</v>
      </c>
      <c r="V109" s="48" t="n">
        <f aca="false">SUM(O109:U109)</f>
        <v>4864109.7345</v>
      </c>
      <c r="W109" s="48" t="n">
        <f aca="false">N109-V109</f>
        <v>-1080989.7345</v>
      </c>
      <c r="X109" s="49" t="n">
        <f aca="false">IF(V109=0,0,W109/V109)</f>
        <v>-0.222237941474221</v>
      </c>
      <c r="Y109" s="47" t="n">
        <f aca="false">MAX(0,(N109/(1+Assumptions!$B$23)-(J109*(Assumptions!$B$4+IF(H109="Yes",0,Assumptions!$B$5)))*(1+(Assumptions!$B$7*(Assumptions!$B$8*L109*Assumptions!$B$9+Assumptions!$B$10)))-N109*(Assumptions!$B$12+Assumptions!$B$13+IF(N109&gt;=Assumptions!$B$16,Assumptions!$B$17,IF(N109&gt;=Assumptions!$B$14,Assumptions!$B$15,0))))/((1+IF(H109="Yes",Assumptions!$B$6,0))*(1+(Assumptions!$B$7*(Assumptions!$B$8*L109*Assumptions!$B$9+Assumptions!$B$10)))+Assumptions!$B$11*L109))</f>
        <v>495934.062109131</v>
      </c>
      <c r="Z109" s="50" t="n">
        <f aca="false">IF(Y109&lt;=0,"no price works",D109/Y109)</f>
        <v>3.73033461773575</v>
      </c>
      <c r="AA109" s="46" t="n">
        <f aca="false">INDEX(Assumptions!$B$32:$B$44,MATCH(AG109,Assumptions!$A$32:$A$44,0))*(1+Assumptions!$B$24)</f>
        <v>1200</v>
      </c>
      <c r="AB109" s="47" t="n">
        <f aca="false">(J109)*AA109-(((D109)+(J109)*Assumptions!$B$4+IF(H109="Yes",Assumptions!$B$6*(D109),(J109)*Assumptions!$B$5))*(1+Assumptions!$B$7*(Assumptions!$B$8*(L109)*Assumptions!$B$9+Assumptions!$B$10))+(D109)*Assumptions!$B$11*(L109)+(J109)*AA109*(Assumptions!$B$12+Assumptions!$B$13+IF((J109)*AA109&gt;=Assumptions!$B$16,Assumptions!$B$17,IF((J109)*AA109&gt;=Assumptions!$B$14,Assumptions!$B$15,0))))</f>
        <v>-1405787.7825</v>
      </c>
      <c r="AC109" s="46" t="n">
        <f aca="false">INDEX(Assumptions!$B$32:$B$44,MATCH(AG109,Assumptions!$A$32:$A$44,0))*(1+Assumptions!$B$25)</f>
        <v>1320</v>
      </c>
      <c r="AD109" s="47" t="n">
        <f aca="false">(J109)*AC109-(((D109)+(J109)*Assumptions!$B$4+IF(H109="Yes",Assumptions!$B$6*(D109),(J109)*Assumptions!$B$5))*(1+Assumptions!$B$7*(Assumptions!$B$8*(L109)*Assumptions!$B$9+Assumptions!$B$10))+(D109)*Assumptions!$B$11*(L109)+(J109)*AC109*(Assumptions!$B$12+Assumptions!$B$13+IF((J109)*AC109&gt;=Assumptions!$B$16,Assumptions!$B$17,IF((J109)*AC109&gt;=Assumptions!$B$14,Assumptions!$B$15,0))))</f>
        <v>-1080989.7345</v>
      </c>
      <c r="AE109" s="46" t="n">
        <f aca="false">INDEX(Assumptions!$B$32:$B$44,MATCH(AG109,Assumptions!$A$32:$A$44,0))*(1+Assumptions!$B$26)</f>
        <v>1440</v>
      </c>
      <c r="AF109" s="47" t="n">
        <f aca="false">(J109)*AE109-(((D109)+(J109)*Assumptions!$B$4+IF(H109="Yes",Assumptions!$B$6*(D109),(J109)*Assumptions!$B$5))*(1+Assumptions!$B$7*(Assumptions!$B$8*(L109)*Assumptions!$B$9+Assumptions!$B$10))+(D109)*Assumptions!$B$11*(L109)+(J109)*AE109*(Assumptions!$B$12+Assumptions!$B$13+IF((J109)*AE109&gt;=Assumptions!$B$16,Assumptions!$B$17,IF((J109)*AE109&gt;=Assumptions!$B$14,Assumptions!$B$15,0))))</f>
        <v>-756191.686499999</v>
      </c>
      <c r="AG109" s="40" t="s">
        <v>202</v>
      </c>
      <c r="AH109" s="45" t="n">
        <f aca="false">IF(G109&gt;0,G109,ROUND(F109*Assumptions!$B$18,0))</f>
        <v>2231</v>
      </c>
      <c r="AI109" s="45" t="n">
        <f aca="false">IF(H109="Yes",AH109,MAX(AH109,MIN(Assumptions!$B$20,ROUND(E109*Assumptions!$B$19,0))))</f>
        <v>2866</v>
      </c>
      <c r="AJ109" s="47" t="n">
        <f aca="false">(AH109)*AC109-(((D109)+(AH109)*Assumptions!$B$4+IF(H109="Yes",Assumptions!$B$6*(D109),(AH109)*Assumptions!$B$5))*(1+Assumptions!$B$7*(Assumptions!$B$8*(Assumptions!$B$21)*Assumptions!$B$9+Assumptions!$B$10))+(D109)*Assumptions!$B$11*(Assumptions!$B$21)+(AH109)*AC109*(Assumptions!$B$12+Assumptions!$B$13+IF((AH109)*AC109&gt;=Assumptions!$B$16,Assumptions!$B$17,IF((AH109)*AC109&gt;=Assumptions!$B$14,Assumptions!$B$15,0))))</f>
        <v>-1156301.99575</v>
      </c>
      <c r="AK109" s="47" t="n">
        <f aca="false">(AI109)*AC109-(((D109)+(AI109)*Assumptions!$B$4+IF(H109="Yes",Assumptions!$B$6*(D109),(AI109)*Assumptions!$B$5))*(1+Assumptions!$B$7*(Assumptions!$B$8*(IF(AI109&gt;AH109,Assumptions!$B$22,Assumptions!$B$21))*Assumptions!$B$9+Assumptions!$B$10))+(D109)*Assumptions!$B$11*(IF(AI109&gt;AH109,Assumptions!$B$22,Assumptions!$B$21))+(AI109)*AC109*(Assumptions!$B$12+Assumptions!$B$13+IF((AI109)*AC109&gt;=Assumptions!$B$16,Assumptions!$B$17,IF((AI109)*AC109&gt;=Assumptions!$B$14,Assumptions!$B$15,0))))</f>
        <v>-1080989.7345</v>
      </c>
      <c r="AL109" s="47" t="n">
        <f aca="false">Assumptions!$B$7*(O109+P109+Q109)</f>
        <v>2646247.5</v>
      </c>
    </row>
    <row r="110" customFormat="false" ht="15" hidden="false" customHeight="false" outlineLevel="0" collapsed="false">
      <c r="A110" s="40" t="n">
        <v>108</v>
      </c>
      <c r="B110" s="40" t="s">
        <v>251</v>
      </c>
      <c r="C110" s="40" t="s">
        <v>201</v>
      </c>
      <c r="D110" s="41" t="n">
        <v>2850000</v>
      </c>
      <c r="E110" s="42" t="n">
        <v>8922</v>
      </c>
      <c r="F110" s="42" t="n">
        <v>4200</v>
      </c>
      <c r="G110" s="42"/>
      <c r="H110" s="43" t="s">
        <v>67</v>
      </c>
      <c r="I110" s="44"/>
      <c r="J110" s="45" t="n">
        <f aca="false">IF(AK110&gt;AJ110,AI110,AH110)</f>
        <v>4620</v>
      </c>
      <c r="K110" s="40" t="str">
        <f aca="false">IF(AK110&gt;AJ110,"Zoning estimate",IF(H110="Yes","Approved plans",IF(G110&gt;0,"Listing claim","110% old house")))</f>
        <v>110% old house</v>
      </c>
      <c r="L110" s="45" t="n">
        <f aca="false">IF(AK110&gt;AJ110,IF(AI110&gt;AH110,Assumptions!$B$22,Assumptions!$B$21),Assumptions!$B$21)</f>
        <v>2</v>
      </c>
      <c r="M110" s="46" t="n">
        <f aca="false">INDEX(Assumptions!$B$32:$B$44,MATCH(AG110,Assumptions!$A$32:$A$44,0))*(1+IF(UPPER(Assumptions!$B$27)="WORST",Assumptions!$B$24,IF(UPPER(Assumptions!$B$27)="BEST",Assumptions!$B$26,Assumptions!$B$25)))</f>
        <v>1320</v>
      </c>
      <c r="N110" s="47" t="n">
        <f aca="false">J110*M110</f>
        <v>6098400</v>
      </c>
      <c r="O110" s="47" t="n">
        <f aca="false">D110</f>
        <v>2850000</v>
      </c>
      <c r="P110" s="47" t="n">
        <f aca="false">J110*Assumptions!$B$4</f>
        <v>3234000</v>
      </c>
      <c r="Q110" s="47" t="n">
        <f aca="false">IF(H110="Yes",Assumptions!$B$6*(D110),(J110)*Assumptions!$B$5)</f>
        <v>346500</v>
      </c>
      <c r="R110" s="47" t="n">
        <f aca="false">AL110*(Assumptions!$B$8*L110*Assumptions!$B$9+Assumptions!$B$10)</f>
        <v>564276.375</v>
      </c>
      <c r="S110" s="47" t="n">
        <f aca="false">O110*Assumptions!$B$11*L110</f>
        <v>68400</v>
      </c>
      <c r="T110" s="47" t="n">
        <f aca="false">N110*(Assumptions!$B$12+Assumptions!$B$13)</f>
        <v>339071.04</v>
      </c>
      <c r="U110" s="47" t="n">
        <f aca="false">N110*IF(N110&gt;=Assumptions!$B$16,Assumptions!$B$17,IF(N110&gt;=Assumptions!$B$14,Assumptions!$B$15,0))</f>
        <v>243936</v>
      </c>
      <c r="V110" s="48" t="n">
        <f aca="false">SUM(O110:U110)</f>
        <v>7646183.415</v>
      </c>
      <c r="W110" s="48" t="n">
        <f aca="false">N110-V110</f>
        <v>-1547783.415</v>
      </c>
      <c r="X110" s="49" t="n">
        <f aca="false">IF(V110=0,0,W110/V110)</f>
        <v>-0.20242561955336</v>
      </c>
      <c r="Y110" s="47" t="n">
        <f aca="false">MAX(0,(N110/(1+Assumptions!$B$23)-(J110*(Assumptions!$B$4+IF(H110="Yes",0,Assumptions!$B$5)))*(1+(Assumptions!$B$7*(Assumptions!$B$8*L110*Assumptions!$B$9+Assumptions!$B$10)))-N110*(Assumptions!$B$12+Assumptions!$B$13+IF(N110&gt;=Assumptions!$B$16,Assumptions!$B$17,IF(N110&gt;=Assumptions!$B$14,Assumptions!$B$15,0))))/((1+IF(H110="Yes",Assumptions!$B$6,0))*(1+(Assumptions!$B$7*(Assumptions!$B$8*L110*Assumptions!$B$9+Assumptions!$B$10)))+Assumptions!$B$11*L110))</f>
        <v>742307.71912672</v>
      </c>
      <c r="Z110" s="50" t="n">
        <f aca="false">IF(Y110&lt;=0,"no price works",D110/Y110)</f>
        <v>3.83937809962808</v>
      </c>
      <c r="AA110" s="46" t="n">
        <f aca="false">INDEX(Assumptions!$B$32:$B$44,MATCH(AG110,Assumptions!$A$32:$A$44,0))*(1+Assumptions!$B$24)</f>
        <v>1200</v>
      </c>
      <c r="AB110" s="47" t="n">
        <f aca="false">(J110)*AA110-(((D110)+(J110)*Assumptions!$B$4+IF(H110="Yes",Assumptions!$B$6*(D110),(J110)*Assumptions!$B$5))*(1+Assumptions!$B$7*(Assumptions!$B$8*(L110)*Assumptions!$B$9+Assumptions!$B$10))+(D110)*Assumptions!$B$11*(L110)+(J110)*AA110*(Assumptions!$B$12+Assumptions!$B$13+IF((J110)*AA110&gt;=Assumptions!$B$16,Assumptions!$B$17,IF((J110)*AA110&gt;=Assumptions!$B$14,Assumptions!$B$15,0))))</f>
        <v>-2049182.775</v>
      </c>
      <c r="AC110" s="46" t="n">
        <f aca="false">INDEX(Assumptions!$B$32:$B$44,MATCH(AG110,Assumptions!$A$32:$A$44,0))*(1+Assumptions!$B$25)</f>
        <v>1320</v>
      </c>
      <c r="AD110" s="47" t="n">
        <f aca="false">(J110)*AC110-(((D110)+(J110)*Assumptions!$B$4+IF(H110="Yes",Assumptions!$B$6*(D110),(J110)*Assumptions!$B$5))*(1+Assumptions!$B$7*(Assumptions!$B$8*(L110)*Assumptions!$B$9+Assumptions!$B$10))+(D110)*Assumptions!$B$11*(L110)+(J110)*AC110*(Assumptions!$B$12+Assumptions!$B$13+IF((J110)*AC110&gt;=Assumptions!$B$16,Assumptions!$B$17,IF((J110)*AC110&gt;=Assumptions!$B$14,Assumptions!$B$15,0))))</f>
        <v>-1547783.415</v>
      </c>
      <c r="AE110" s="46" t="n">
        <f aca="false">INDEX(Assumptions!$B$32:$B$44,MATCH(AG110,Assumptions!$A$32:$A$44,0))*(1+Assumptions!$B$26)</f>
        <v>1440</v>
      </c>
      <c r="AF110" s="47" t="n">
        <f aca="false">(J110)*AE110-(((D110)+(J110)*Assumptions!$B$4+IF(H110="Yes",Assumptions!$B$6*(D110),(J110)*Assumptions!$B$5))*(1+Assumptions!$B$7*(Assumptions!$B$8*(L110)*Assumptions!$B$9+Assumptions!$B$10))+(D110)*Assumptions!$B$11*(L110)+(J110)*AE110*(Assumptions!$B$12+Assumptions!$B$13+IF((J110)*AE110&gt;=Assumptions!$B$16,Assumptions!$B$17,IF((J110)*AE110&gt;=Assumptions!$B$14,Assumptions!$B$15,0))))</f>
        <v>-1046384.055</v>
      </c>
      <c r="AG110" s="40" t="s">
        <v>202</v>
      </c>
      <c r="AH110" s="45" t="n">
        <f aca="false">IF(G110&gt;0,G110,ROUND(F110*Assumptions!$B$18,0))</f>
        <v>4620</v>
      </c>
      <c r="AI110" s="45" t="n">
        <f aca="false">IF(H110="Yes",AH110,MAX(AH110,MIN(Assumptions!$B$20,ROUND(E110*Assumptions!$B$19,0))))</f>
        <v>4620</v>
      </c>
      <c r="AJ110" s="47" t="n">
        <f aca="false">(AH110)*AC110-(((D110)+(AH110)*Assumptions!$B$4+IF(H110="Yes",Assumptions!$B$6*(D110),(AH110)*Assumptions!$B$5))*(1+Assumptions!$B$7*(Assumptions!$B$8*(Assumptions!$B$21)*Assumptions!$B$9+Assumptions!$B$10))+(D110)*Assumptions!$B$11*(Assumptions!$B$21)+(AH110)*AC110*(Assumptions!$B$12+Assumptions!$B$13+IF((AH110)*AC110&gt;=Assumptions!$B$16,Assumptions!$B$17,IF((AH110)*AC110&gt;=Assumptions!$B$14,Assumptions!$B$15,0))))</f>
        <v>-1547783.415</v>
      </c>
      <c r="AK110" s="47" t="n">
        <f aca="false">(AI110)*AC110-(((D110)+(AI110)*Assumptions!$B$4+IF(H110="Yes",Assumptions!$B$6*(D110),(AI110)*Assumptions!$B$5))*(1+Assumptions!$B$7*(Assumptions!$B$8*(IF(AI110&gt;AH110,Assumptions!$B$22,Assumptions!$B$21))*Assumptions!$B$9+Assumptions!$B$10))+(D110)*Assumptions!$B$11*(IF(AI110&gt;AH110,Assumptions!$B$22,Assumptions!$B$21))+(AI110)*AC110*(Assumptions!$B$12+Assumptions!$B$13+IF((AI110)*AC110&gt;=Assumptions!$B$16,Assumptions!$B$17,IF((AI110)*AC110&gt;=Assumptions!$B$14,Assumptions!$B$15,0))))</f>
        <v>-1547783.415</v>
      </c>
      <c r="AL110" s="47" t="n">
        <f aca="false">Assumptions!$B$7*(O110+P110+Q110)</f>
        <v>4179825</v>
      </c>
    </row>
    <row r="111" customFormat="false" ht="15" hidden="false" customHeight="false" outlineLevel="0" collapsed="false">
      <c r="A111" s="40" t="n">
        <v>109</v>
      </c>
      <c r="B111" s="40" t="s">
        <v>252</v>
      </c>
      <c r="C111" s="40" t="s">
        <v>98</v>
      </c>
      <c r="D111" s="41" t="n">
        <v>2690000</v>
      </c>
      <c r="E111" s="42" t="n">
        <v>9820</v>
      </c>
      <c r="F111" s="42" t="n">
        <v>2079</v>
      </c>
      <c r="G111" s="42"/>
      <c r="H111" s="43" t="s">
        <v>67</v>
      </c>
      <c r="I111" s="44"/>
      <c r="J111" s="45" t="n">
        <f aca="false">IF(AK111&gt;AJ111,AI111,AH111)</f>
        <v>3928</v>
      </c>
      <c r="K111" s="40" t="str">
        <f aca="false">IF(AK111&gt;AJ111,"Zoning estimate",IF(H111="Yes","Approved plans",IF(G111&gt;0,"Listing claim","110% old house")))</f>
        <v>Zoning estimate</v>
      </c>
      <c r="L111" s="45" t="n">
        <f aca="false">IF(AK111&gt;AJ111,IF(AI111&gt;AH111,Assumptions!$B$22,Assumptions!$B$21),Assumptions!$B$21)</f>
        <v>3</v>
      </c>
      <c r="M111" s="46" t="n">
        <f aca="false">INDEX(Assumptions!$B$32:$B$44,MATCH(AG111,Assumptions!$A$32:$A$44,0))*(1+IF(UPPER(Assumptions!$B$27)="WORST",Assumptions!$B$24,IF(UPPER(Assumptions!$B$27)="BEST",Assumptions!$B$26,Assumptions!$B$25)))</f>
        <v>1375</v>
      </c>
      <c r="N111" s="47" t="n">
        <f aca="false">J111*M111</f>
        <v>5401000</v>
      </c>
      <c r="O111" s="47" t="n">
        <f aca="false">D111</f>
        <v>2690000</v>
      </c>
      <c r="P111" s="47" t="n">
        <f aca="false">J111*Assumptions!$B$4</f>
        <v>2749600</v>
      </c>
      <c r="Q111" s="47" t="n">
        <f aca="false">IF(H111="Yes",Assumptions!$B$6*(D111),(J111)*Assumptions!$B$5)</f>
        <v>294600</v>
      </c>
      <c r="R111" s="47" t="n">
        <f aca="false">AL111*(Assumptions!$B$8*L111*Assumptions!$B$9+Assumptions!$B$10)</f>
        <v>726809.85</v>
      </c>
      <c r="S111" s="47" t="n">
        <f aca="false">O111*Assumptions!$B$11*L111</f>
        <v>96840</v>
      </c>
      <c r="T111" s="47" t="n">
        <f aca="false">N111*(Assumptions!$B$12+Assumptions!$B$13)</f>
        <v>300295.6</v>
      </c>
      <c r="U111" s="47" t="n">
        <f aca="false">N111*IF(N111&gt;=Assumptions!$B$16,Assumptions!$B$17,IF(N111&gt;=Assumptions!$B$14,Assumptions!$B$15,0))</f>
        <v>216040</v>
      </c>
      <c r="V111" s="48" t="n">
        <f aca="false">SUM(O111:U111)</f>
        <v>7074185.45</v>
      </c>
      <c r="W111" s="48" t="n">
        <f aca="false">N111-V111</f>
        <v>-1673185.45</v>
      </c>
      <c r="X111" s="49" t="n">
        <f aca="false">IF(V111=0,0,W111/V111)</f>
        <v>-0.236519873818123</v>
      </c>
      <c r="Y111" s="47" t="n">
        <f aca="false">MAX(0,(N111/(1+Assumptions!$B$23)-(J111*(Assumptions!$B$4+IF(H111="Yes",0,Assumptions!$B$5)))*(1+(Assumptions!$B$7*(Assumptions!$B$8*L111*Assumptions!$B$9+Assumptions!$B$10)))-N111*(Assumptions!$B$12+Assumptions!$B$13+IF(N111&gt;=Assumptions!$B$16,Assumptions!$B$17,IF(N111&gt;=Assumptions!$B$14,Assumptions!$B$15,0))))/((1+IF(H111="Yes",Assumptions!$B$6,0))*(1+(Assumptions!$B$7*(Assumptions!$B$8*L111*Assumptions!$B$9+Assumptions!$B$10)))+Assumptions!$B$11*L111))</f>
        <v>645137.638469521</v>
      </c>
      <c r="Z111" s="50" t="n">
        <f aca="false">IF(Y111&lt;=0,"no price works",D111/Y111)</f>
        <v>4.16965286102601</v>
      </c>
      <c r="AA111" s="46" t="n">
        <f aca="false">INDEX(Assumptions!$B$32:$B$44,MATCH(AG111,Assumptions!$A$32:$A$44,0))*(1+Assumptions!$B$24)</f>
        <v>1250</v>
      </c>
      <c r="AB111" s="47" t="n">
        <f aca="false">(J111)*AA111-(((D111)+(J111)*Assumptions!$B$4+IF(H111="Yes",Assumptions!$B$6*(D111),(J111)*Assumptions!$B$5))*(1+Assumptions!$B$7*(Assumptions!$B$8*(L111)*Assumptions!$B$9+Assumptions!$B$10))+(D111)*Assumptions!$B$11*(L111)+(J111)*AA111*(Assumptions!$B$12+Assumptions!$B$13+IF((J111)*AA111&gt;=Assumptions!$B$16,Assumptions!$B$17,IF((J111)*AA111&gt;=Assumptions!$B$14,Assumptions!$B$15,0))))</f>
        <v>-1920845.85</v>
      </c>
      <c r="AC111" s="46" t="n">
        <f aca="false">INDEX(Assumptions!$B$32:$B$44,MATCH(AG111,Assumptions!$A$32:$A$44,0))*(1+Assumptions!$B$25)</f>
        <v>1375</v>
      </c>
      <c r="AD111" s="47" t="n">
        <f aca="false">(J111)*AC111-(((D111)+(J111)*Assumptions!$B$4+IF(H111="Yes",Assumptions!$B$6*(D111),(J111)*Assumptions!$B$5))*(1+Assumptions!$B$7*(Assumptions!$B$8*(L111)*Assumptions!$B$9+Assumptions!$B$10))+(D111)*Assumptions!$B$11*(L111)+(J111)*AC111*(Assumptions!$B$12+Assumptions!$B$13+IF((J111)*AC111&gt;=Assumptions!$B$16,Assumptions!$B$17,IF((J111)*AC111&gt;=Assumptions!$B$14,Assumptions!$B$15,0))))</f>
        <v>-1673185.45</v>
      </c>
      <c r="AE111" s="46" t="n">
        <f aca="false">INDEX(Assumptions!$B$32:$B$44,MATCH(AG111,Assumptions!$A$32:$A$44,0))*(1+Assumptions!$B$26)</f>
        <v>1500</v>
      </c>
      <c r="AF111" s="47" t="n">
        <f aca="false">(J111)*AE111-(((D111)+(J111)*Assumptions!$B$4+IF(H111="Yes",Assumptions!$B$6*(D111),(J111)*Assumptions!$B$5))*(1+Assumptions!$B$7*(Assumptions!$B$8*(L111)*Assumptions!$B$9+Assumptions!$B$10))+(D111)*Assumptions!$B$11*(L111)+(J111)*AE111*(Assumptions!$B$12+Assumptions!$B$13+IF((J111)*AE111&gt;=Assumptions!$B$16,Assumptions!$B$17,IF((J111)*AE111&gt;=Assumptions!$B$14,Assumptions!$B$15,0))))</f>
        <v>-1229125.05</v>
      </c>
      <c r="AG111" s="40" t="s">
        <v>100</v>
      </c>
      <c r="AH111" s="45" t="n">
        <f aca="false">IF(G111&gt;0,G111,ROUND(F111*Assumptions!$B$18,0))</f>
        <v>2287</v>
      </c>
      <c r="AI111" s="45" t="n">
        <f aca="false">IF(H111="Yes",AH111,MAX(AH111,MIN(Assumptions!$B$20,ROUND(E111*Assumptions!$B$19,0))))</f>
        <v>3928</v>
      </c>
      <c r="AJ111" s="47" t="n">
        <f aca="false">(AH111)*AC111-(((D111)+(AH111)*Assumptions!$B$4+IF(H111="Yes",Assumptions!$B$6*(D111),(AH111)*Assumptions!$B$5))*(1+Assumptions!$B$7*(Assumptions!$B$8*(Assumptions!$B$21)*Assumptions!$B$9+Assumptions!$B$10))+(D111)*Assumptions!$B$11*(Assumptions!$B$21)+(AH111)*AC111*(Assumptions!$B$12+Assumptions!$B$13+IF((AH111)*AC111&gt;=Assumptions!$B$16,Assumptions!$B$17,IF((AH111)*AC111&gt;=Assumptions!$B$14,Assumptions!$B$15,0))))</f>
        <v>-1948778.94375</v>
      </c>
      <c r="AK111" s="47" t="n">
        <f aca="false">(AI111)*AC111-(((D111)+(AI111)*Assumptions!$B$4+IF(H111="Yes",Assumptions!$B$6*(D111),(AI111)*Assumptions!$B$5))*(1+Assumptions!$B$7*(Assumptions!$B$8*(IF(AI111&gt;AH111,Assumptions!$B$22,Assumptions!$B$21))*Assumptions!$B$9+Assumptions!$B$10))+(D111)*Assumptions!$B$11*(IF(AI111&gt;AH111,Assumptions!$B$22,Assumptions!$B$21))+(AI111)*AC111*(Assumptions!$B$12+Assumptions!$B$13+IF((AI111)*AC111&gt;=Assumptions!$B$16,Assumptions!$B$17,IF((AI111)*AC111&gt;=Assumptions!$B$14,Assumptions!$B$15,0))))</f>
        <v>-1673185.45</v>
      </c>
      <c r="AL111" s="47" t="n">
        <f aca="false">Assumptions!$B$7*(O111+P111+Q111)</f>
        <v>3727230</v>
      </c>
    </row>
    <row r="112" customFormat="false" ht="15" hidden="false" customHeight="false" outlineLevel="0" collapsed="false">
      <c r="A112" s="40" t="n">
        <v>110</v>
      </c>
      <c r="B112" s="40" t="s">
        <v>253</v>
      </c>
      <c r="C112" s="40" t="s">
        <v>98</v>
      </c>
      <c r="D112" s="41" t="n">
        <v>4998000</v>
      </c>
      <c r="E112" s="42" t="n">
        <v>37240</v>
      </c>
      <c r="F112" s="42" t="n">
        <v>3213</v>
      </c>
      <c r="G112" s="42"/>
      <c r="H112" s="43" t="s">
        <v>67</v>
      </c>
      <c r="I112" s="44"/>
      <c r="J112" s="45" t="n">
        <f aca="false">IF(AK112&gt;AJ112,AI112,AH112)</f>
        <v>8000</v>
      </c>
      <c r="K112" s="40" t="str">
        <f aca="false">IF(AK112&gt;AJ112,"Zoning estimate",IF(H112="Yes","Approved plans",IF(G112&gt;0,"Listing claim","110% old house")))</f>
        <v>Zoning estimate</v>
      </c>
      <c r="L112" s="45" t="n">
        <f aca="false">IF(AK112&gt;AJ112,IF(AI112&gt;AH112,Assumptions!$B$22,Assumptions!$B$21),Assumptions!$B$21)</f>
        <v>3</v>
      </c>
      <c r="M112" s="46" t="n">
        <f aca="false">INDEX(Assumptions!$B$32:$B$44,MATCH(AG112,Assumptions!$A$32:$A$44,0))*(1+IF(UPPER(Assumptions!$B$27)="WORST",Assumptions!$B$24,IF(UPPER(Assumptions!$B$27)="BEST",Assumptions!$B$26,Assumptions!$B$25)))</f>
        <v>1375</v>
      </c>
      <c r="N112" s="47" t="n">
        <f aca="false">J112*M112</f>
        <v>11000000</v>
      </c>
      <c r="O112" s="47" t="n">
        <f aca="false">D112</f>
        <v>4998000</v>
      </c>
      <c r="P112" s="47" t="n">
        <f aca="false">J112*Assumptions!$B$4</f>
        <v>5600000</v>
      </c>
      <c r="Q112" s="47" t="n">
        <f aca="false">IF(H112="Yes",Assumptions!$B$6*(D112),(J112)*Assumptions!$B$5)</f>
        <v>600000</v>
      </c>
      <c r="R112" s="47" t="n">
        <f aca="false">AL112*(Assumptions!$B$8*L112*Assumptions!$B$9+Assumptions!$B$10)</f>
        <v>1419346.5</v>
      </c>
      <c r="S112" s="47" t="n">
        <f aca="false">O112*Assumptions!$B$11*L112</f>
        <v>179928</v>
      </c>
      <c r="T112" s="47" t="n">
        <f aca="false">N112*(Assumptions!$B$12+Assumptions!$B$13)</f>
        <v>611600</v>
      </c>
      <c r="U112" s="47" t="n">
        <f aca="false">N112*IF(N112&gt;=Assumptions!$B$16,Assumptions!$B$17,IF(N112&gt;=Assumptions!$B$14,Assumptions!$B$15,0))</f>
        <v>605000</v>
      </c>
      <c r="V112" s="48" t="n">
        <f aca="false">SUM(O112:U112)</f>
        <v>14013874.5</v>
      </c>
      <c r="W112" s="48" t="n">
        <f aca="false">N112-V112</f>
        <v>-3013874.5</v>
      </c>
      <c r="X112" s="49" t="n">
        <f aca="false">IF(V112=0,0,W112/V112)</f>
        <v>-0.215063614277408</v>
      </c>
      <c r="Y112" s="47" t="n">
        <f aca="false">MAX(0,(N112/(1+Assumptions!$B$23)-(J112*(Assumptions!$B$4+IF(H112="Yes",0,Assumptions!$B$5)))*(1+(Assumptions!$B$7*(Assumptions!$B$8*L112*Assumptions!$B$9+Assumptions!$B$10)))-N112*(Assumptions!$B$12+Assumptions!$B$13+IF(N112&gt;=Assumptions!$B$16,Assumptions!$B$17,IF(N112&gt;=Assumptions!$B$14,Assumptions!$B$15,0))))/((1+IF(H112="Yes",Assumptions!$B$6,0))*(1+(Assumptions!$B$7*(Assumptions!$B$8*L112*Assumptions!$B$9+Assumptions!$B$10)))+Assumptions!$B$11*L112))</f>
        <v>1172020.97725594</v>
      </c>
      <c r="Z112" s="50" t="n">
        <f aca="false">IF(Y112&lt;=0,"no price works",D112/Y112)</f>
        <v>4.26442879179674</v>
      </c>
      <c r="AA112" s="46" t="n">
        <f aca="false">INDEX(Assumptions!$B$32:$B$44,MATCH(AG112,Assumptions!$A$32:$A$44,0))*(1+Assumptions!$B$24)</f>
        <v>1250</v>
      </c>
      <c r="AB112" s="47" t="n">
        <f aca="false">(J112)*AA112-(((D112)+(J112)*Assumptions!$B$4+IF(H112="Yes",Assumptions!$B$6*(D112),(J112)*Assumptions!$B$5))*(1+Assumptions!$B$7*(Assumptions!$B$8*(L112)*Assumptions!$B$9+Assumptions!$B$10))+(D112)*Assumptions!$B$11*(L112)+(J112)*AA112*(Assumptions!$B$12+Assumptions!$B$13+IF((J112)*AA112&gt;=Assumptions!$B$16,Assumptions!$B$17,IF((J112)*AA112&gt;=Assumptions!$B$14,Assumptions!$B$15,0))))</f>
        <v>-3753274.5</v>
      </c>
      <c r="AC112" s="46" t="n">
        <f aca="false">INDEX(Assumptions!$B$32:$B$44,MATCH(AG112,Assumptions!$A$32:$A$44,0))*(1+Assumptions!$B$25)</f>
        <v>1375</v>
      </c>
      <c r="AD112" s="47" t="n">
        <f aca="false">(J112)*AC112-(((D112)+(J112)*Assumptions!$B$4+IF(H112="Yes",Assumptions!$B$6*(D112),(J112)*Assumptions!$B$5))*(1+Assumptions!$B$7*(Assumptions!$B$8*(L112)*Assumptions!$B$9+Assumptions!$B$10))+(D112)*Assumptions!$B$11*(L112)+(J112)*AC112*(Assumptions!$B$12+Assumptions!$B$13+IF((J112)*AC112&gt;=Assumptions!$B$16,Assumptions!$B$17,IF((J112)*AC112&gt;=Assumptions!$B$14,Assumptions!$B$15,0))))</f>
        <v>-3013874.5</v>
      </c>
      <c r="AE112" s="46" t="n">
        <f aca="false">INDEX(Assumptions!$B$32:$B$44,MATCH(AG112,Assumptions!$A$32:$A$44,0))*(1+Assumptions!$B$26)</f>
        <v>1500</v>
      </c>
      <c r="AF112" s="47" t="n">
        <f aca="false">(J112)*AE112-(((D112)+(J112)*Assumptions!$B$4+IF(H112="Yes",Assumptions!$B$6*(D112),(J112)*Assumptions!$B$5))*(1+Assumptions!$B$7*(Assumptions!$B$8*(L112)*Assumptions!$B$9+Assumptions!$B$10))+(D112)*Assumptions!$B$11*(L112)+(J112)*AE112*(Assumptions!$B$12+Assumptions!$B$13+IF((J112)*AE112&gt;=Assumptions!$B$16,Assumptions!$B$17,IF((J112)*AE112&gt;=Assumptions!$B$14,Assumptions!$B$15,0))))</f>
        <v>-2124474.5</v>
      </c>
      <c r="AG112" s="40" t="s">
        <v>100</v>
      </c>
      <c r="AH112" s="45" t="n">
        <f aca="false">IF(G112&gt;0,G112,ROUND(F112*Assumptions!$B$18,0))</f>
        <v>3534</v>
      </c>
      <c r="AI112" s="45" t="n">
        <f aca="false">IF(H112="Yes",AH112,MAX(AH112,MIN(Assumptions!$B$20,ROUND(E112*Assumptions!$B$19,0))))</f>
        <v>8000</v>
      </c>
      <c r="AJ112" s="47" t="n">
        <f aca="false">(AH112)*AC112-(((D112)+(AH112)*Assumptions!$B$4+IF(H112="Yes",Assumptions!$B$6*(D112),(AH112)*Assumptions!$B$5))*(1+Assumptions!$B$7*(Assumptions!$B$8*(Assumptions!$B$21)*Assumptions!$B$9+Assumptions!$B$10))+(D112)*Assumptions!$B$11*(Assumptions!$B$21)+(AH112)*AC112*(Assumptions!$B$12+Assumptions!$B$13+IF((AH112)*AC112&gt;=Assumptions!$B$16,Assumptions!$B$17,IF((AH112)*AC112&gt;=Assumptions!$B$14,Assumptions!$B$15,0))))</f>
        <v>-3946634.8875</v>
      </c>
      <c r="AK112" s="47" t="n">
        <f aca="false">(AI112)*AC112-(((D112)+(AI112)*Assumptions!$B$4+IF(H112="Yes",Assumptions!$B$6*(D112),(AI112)*Assumptions!$B$5))*(1+Assumptions!$B$7*(Assumptions!$B$8*(IF(AI112&gt;AH112,Assumptions!$B$22,Assumptions!$B$21))*Assumptions!$B$9+Assumptions!$B$10))+(D112)*Assumptions!$B$11*(IF(AI112&gt;AH112,Assumptions!$B$22,Assumptions!$B$21))+(AI112)*AC112*(Assumptions!$B$12+Assumptions!$B$13+IF((AI112)*AC112&gt;=Assumptions!$B$16,Assumptions!$B$17,IF((AI112)*AC112&gt;=Assumptions!$B$14,Assumptions!$B$15,0))))</f>
        <v>-3013874.5</v>
      </c>
      <c r="AL112" s="47" t="n">
        <f aca="false">Assumptions!$B$7*(O112+P112+Q112)</f>
        <v>7278700</v>
      </c>
    </row>
    <row r="113" customFormat="false" ht="15" hidden="false" customHeight="false" outlineLevel="0" collapsed="false">
      <c r="A113" s="40" t="n">
        <v>111</v>
      </c>
      <c r="B113" s="40" t="s">
        <v>254</v>
      </c>
      <c r="C113" s="40" t="s">
        <v>255</v>
      </c>
      <c r="D113" s="41" t="n">
        <v>2095000</v>
      </c>
      <c r="E113" s="42" t="n">
        <v>13507</v>
      </c>
      <c r="F113" s="42" t="n">
        <v>4435</v>
      </c>
      <c r="G113" s="42" t="n">
        <v>6328</v>
      </c>
      <c r="H113" s="43" t="s">
        <v>76</v>
      </c>
      <c r="I113" s="44" t="s">
        <v>256</v>
      </c>
      <c r="J113" s="45" t="n">
        <f aca="false">IF(AK113&gt;AJ113,AI113,AH113)</f>
        <v>6328</v>
      </c>
      <c r="K113" s="40" t="str">
        <f aca="false">IF(AK113&gt;AJ113,"Zoning estimate",IF(H113="Yes","Approved plans",IF(G113&gt;0,"Listing claim","110% old house")))</f>
        <v>Approved plans</v>
      </c>
      <c r="L113" s="45" t="n">
        <f aca="false">IF(AK113&gt;AJ113,IF(AI113&gt;AH113,Assumptions!$B$22,Assumptions!$B$21),Assumptions!$B$21)</f>
        <v>2</v>
      </c>
      <c r="M113" s="46" t="n">
        <f aca="false">INDEX(Assumptions!$B$32:$B$44,MATCH(AG113,Assumptions!$A$32:$A$44,0))*(1+IF(UPPER(Assumptions!$B$27)="WORST",Assumptions!$B$24,IF(UPPER(Assumptions!$B$27)="BEST",Assumptions!$B$26,Assumptions!$B$25)))</f>
        <v>1100</v>
      </c>
      <c r="N113" s="47" t="n">
        <f aca="false">J113*M113</f>
        <v>6960800</v>
      </c>
      <c r="O113" s="47" t="n">
        <f aca="false">D113</f>
        <v>2095000</v>
      </c>
      <c r="P113" s="47" t="n">
        <f aca="false">J113*Assumptions!$B$4</f>
        <v>4429600</v>
      </c>
      <c r="Q113" s="47" t="n">
        <f aca="false">IF(H113="Yes",Assumptions!$B$6*(D113),(J113)*Assumptions!$B$5)</f>
        <v>104750</v>
      </c>
      <c r="R113" s="47" t="n">
        <f aca="false">AL113*(Assumptions!$B$8*L113*Assumptions!$B$9+Assumptions!$B$10)</f>
        <v>581725.4625</v>
      </c>
      <c r="S113" s="47" t="n">
        <f aca="false">O113*Assumptions!$B$11*L113</f>
        <v>50280</v>
      </c>
      <c r="T113" s="47" t="n">
        <f aca="false">N113*(Assumptions!$B$12+Assumptions!$B$13)</f>
        <v>387020.48</v>
      </c>
      <c r="U113" s="47" t="n">
        <f aca="false">N113*IF(N113&gt;=Assumptions!$B$16,Assumptions!$B$17,IF(N113&gt;=Assumptions!$B$14,Assumptions!$B$15,0))</f>
        <v>278432</v>
      </c>
      <c r="V113" s="48" t="n">
        <f aca="false">SUM(O113:U113)</f>
        <v>7926807.9425</v>
      </c>
      <c r="W113" s="48" t="n">
        <f aca="false">N113-V113</f>
        <v>-966007.9425</v>
      </c>
      <c r="X113" s="49" t="n">
        <f aca="false">IF(V113=0,0,W113/V113)</f>
        <v>-0.121865945221241</v>
      </c>
      <c r="Y113" s="47" t="n">
        <f aca="false">MAX(0,(N113/(1+Assumptions!$B$23)-(J113*(Assumptions!$B$4+IF(H113="Yes",0,Assumptions!$B$5)))*(1+(Assumptions!$B$7*(Assumptions!$B$8*L113*Assumptions!$B$9+Assumptions!$B$10)))-N113*(Assumptions!$B$12+Assumptions!$B$13+IF(N113&gt;=Assumptions!$B$16,Assumptions!$B$17,IF(N113&gt;=Assumptions!$B$14,Assumptions!$B$15,0))))/((1+IF(H113="Yes",Assumptions!$B$6,0))*(1+(Assumptions!$B$7*(Assumptions!$B$8*L113*Assumptions!$B$9+Assumptions!$B$10)))+Assumptions!$B$11*L113))</f>
        <v>488038.233242127</v>
      </c>
      <c r="Z113" s="50" t="n">
        <f aca="false">IF(Y113&lt;=0,"no price works",D113/Y113)</f>
        <v>4.29269646782083</v>
      </c>
      <c r="AA113" s="46" t="n">
        <f aca="false">INDEX(Assumptions!$B$32:$B$44,MATCH(AG113,Assumptions!$A$32:$A$44,0))*(1+Assumptions!$B$24)</f>
        <v>1000</v>
      </c>
      <c r="AB113" s="47" t="n">
        <f aca="false">(J113)*AA113-(((D113)+(J113)*Assumptions!$B$4+IF(H113="Yes",Assumptions!$B$6*(D113),(J113)*Assumptions!$B$5))*(1+Assumptions!$B$7*(Assumptions!$B$8*(L113)*Assumptions!$B$9+Assumptions!$B$10))+(D113)*Assumptions!$B$11*(L113)+(J113)*AA113*(Assumptions!$B$12+Assumptions!$B$13+IF((J113)*AA113&gt;=Assumptions!$B$16,Assumptions!$B$17,IF((J113)*AA113&gt;=Assumptions!$B$14,Assumptions!$B$15,0))))</f>
        <v>-1538312.2625</v>
      </c>
      <c r="AC113" s="46" t="n">
        <f aca="false">INDEX(Assumptions!$B$32:$B$44,MATCH(AG113,Assumptions!$A$32:$A$44,0))*(1+Assumptions!$B$25)</f>
        <v>1100</v>
      </c>
      <c r="AD113" s="47" t="n">
        <f aca="false">(J113)*AC113-(((D113)+(J113)*Assumptions!$B$4+IF(H113="Yes",Assumptions!$B$6*(D113),(J113)*Assumptions!$B$5))*(1+Assumptions!$B$7*(Assumptions!$B$8*(L113)*Assumptions!$B$9+Assumptions!$B$10))+(D113)*Assumptions!$B$11*(L113)+(J113)*AC113*(Assumptions!$B$12+Assumptions!$B$13+IF((J113)*AC113&gt;=Assumptions!$B$16,Assumptions!$B$17,IF((J113)*AC113&gt;=Assumptions!$B$14,Assumptions!$B$15,0))))</f>
        <v>-966007.942500001</v>
      </c>
      <c r="AE113" s="46" t="n">
        <f aca="false">INDEX(Assumptions!$B$32:$B$44,MATCH(AG113,Assumptions!$A$32:$A$44,0))*(1+Assumptions!$B$26)</f>
        <v>1200</v>
      </c>
      <c r="AF113" s="47" t="n">
        <f aca="false">(J113)*AE113-(((D113)+(J113)*Assumptions!$B$4+IF(H113="Yes",Assumptions!$B$6*(D113),(J113)*Assumptions!$B$5))*(1+Assumptions!$B$7*(Assumptions!$B$8*(L113)*Assumptions!$B$9+Assumptions!$B$10))+(D113)*Assumptions!$B$11*(L113)+(J113)*AE113*(Assumptions!$B$12+Assumptions!$B$13+IF((J113)*AE113&gt;=Assumptions!$B$16,Assumptions!$B$17,IF((J113)*AE113&gt;=Assumptions!$B$14,Assumptions!$B$15,0))))</f>
        <v>-393703.622500001</v>
      </c>
      <c r="AG113" s="40" t="s">
        <v>257</v>
      </c>
      <c r="AH113" s="45" t="n">
        <f aca="false">IF(G113&gt;0,G113,ROUND(F113*Assumptions!$B$18,0))</f>
        <v>6328</v>
      </c>
      <c r="AI113" s="45" t="n">
        <f aca="false">IF(H113="Yes",AH113,MAX(AH113,MIN(Assumptions!$B$20,ROUND(E113*Assumptions!$B$19,0))))</f>
        <v>6328</v>
      </c>
      <c r="AJ113" s="47" t="n">
        <f aca="false">(AH113)*AC113-(((D113)+(AH113)*Assumptions!$B$4+IF(H113="Yes",Assumptions!$B$6*(D113),(AH113)*Assumptions!$B$5))*(1+Assumptions!$B$7*(Assumptions!$B$8*(Assumptions!$B$21)*Assumptions!$B$9+Assumptions!$B$10))+(D113)*Assumptions!$B$11*(Assumptions!$B$21)+(AH113)*AC113*(Assumptions!$B$12+Assumptions!$B$13+IF((AH113)*AC113&gt;=Assumptions!$B$16,Assumptions!$B$17,IF((AH113)*AC113&gt;=Assumptions!$B$14,Assumptions!$B$15,0))))</f>
        <v>-966007.942500001</v>
      </c>
      <c r="AK113" s="47" t="n">
        <f aca="false">(AI113)*AC113-(((D113)+(AI113)*Assumptions!$B$4+IF(H113="Yes",Assumptions!$B$6*(D113),(AI113)*Assumptions!$B$5))*(1+Assumptions!$B$7*(Assumptions!$B$8*(IF(AI113&gt;AH113,Assumptions!$B$22,Assumptions!$B$21))*Assumptions!$B$9+Assumptions!$B$10))+(D113)*Assumptions!$B$11*(IF(AI113&gt;AH113,Assumptions!$B$22,Assumptions!$B$21))+(AI113)*AC113*(Assumptions!$B$12+Assumptions!$B$13+IF((AI113)*AC113&gt;=Assumptions!$B$16,Assumptions!$B$17,IF((AI113)*AC113&gt;=Assumptions!$B$14,Assumptions!$B$15,0))))</f>
        <v>-966007.942500001</v>
      </c>
      <c r="AL113" s="47" t="n">
        <f aca="false">Assumptions!$B$7*(O113+P113+Q113)</f>
        <v>4309077.5</v>
      </c>
    </row>
    <row r="114" customFormat="false" ht="15" hidden="false" customHeight="false" outlineLevel="0" collapsed="false">
      <c r="A114" s="40" t="n">
        <v>112</v>
      </c>
      <c r="B114" s="40" t="s">
        <v>258</v>
      </c>
      <c r="C114" s="40" t="s">
        <v>201</v>
      </c>
      <c r="D114" s="41" t="n">
        <v>2200000</v>
      </c>
      <c r="E114" s="42" t="n">
        <v>6285</v>
      </c>
      <c r="F114" s="42" t="n">
        <v>2106</v>
      </c>
      <c r="G114" s="42"/>
      <c r="H114" s="43" t="s">
        <v>67</v>
      </c>
      <c r="I114" s="44"/>
      <c r="J114" s="45" t="n">
        <f aca="false">IF(AK114&gt;AJ114,AI114,AH114)</f>
        <v>2317</v>
      </c>
      <c r="K114" s="40" t="str">
        <f aca="false">IF(AK114&gt;AJ114,"Zoning estimate",IF(H114="Yes","Approved plans",IF(G114&gt;0,"Listing claim","110% old house")))</f>
        <v>110% old house</v>
      </c>
      <c r="L114" s="45" t="n">
        <f aca="false">IF(AK114&gt;AJ114,IF(AI114&gt;AH114,Assumptions!$B$22,Assumptions!$B$21),Assumptions!$B$21)</f>
        <v>2</v>
      </c>
      <c r="M114" s="46" t="n">
        <f aca="false">INDEX(Assumptions!$B$32:$B$44,MATCH(AG114,Assumptions!$A$32:$A$44,0))*(1+IF(UPPER(Assumptions!$B$27)="WORST",Assumptions!$B$24,IF(UPPER(Assumptions!$B$27)="BEST",Assumptions!$B$26,Assumptions!$B$25)))</f>
        <v>1320</v>
      </c>
      <c r="N114" s="47" t="n">
        <f aca="false">J114*M114</f>
        <v>3058440</v>
      </c>
      <c r="O114" s="47" t="n">
        <f aca="false">D114</f>
        <v>2200000</v>
      </c>
      <c r="P114" s="47" t="n">
        <f aca="false">J114*Assumptions!$B$4</f>
        <v>1621900</v>
      </c>
      <c r="Q114" s="47" t="n">
        <f aca="false">IF(H114="Yes",Assumptions!$B$6*(D114),(J114)*Assumptions!$B$5)</f>
        <v>173775</v>
      </c>
      <c r="R114" s="47" t="n">
        <f aca="false">AL114*(Assumptions!$B$8*L114*Assumptions!$B$9+Assumptions!$B$10)</f>
        <v>350620.48125</v>
      </c>
      <c r="S114" s="47" t="n">
        <f aca="false">O114*Assumptions!$B$11*L114</f>
        <v>52800</v>
      </c>
      <c r="T114" s="47" t="n">
        <f aca="false">N114*(Assumptions!$B$12+Assumptions!$B$13)</f>
        <v>170049.264</v>
      </c>
      <c r="U114" s="47" t="n">
        <f aca="false">N114*IF(N114&gt;=Assumptions!$B$16,Assumptions!$B$17,IF(N114&gt;=Assumptions!$B$14,Assumptions!$B$15,0))</f>
        <v>0</v>
      </c>
      <c r="V114" s="48" t="n">
        <f aca="false">SUM(O114:U114)</f>
        <v>4569144.74525</v>
      </c>
      <c r="W114" s="48" t="n">
        <f aca="false">N114-V114</f>
        <v>-1510704.74525</v>
      </c>
      <c r="X114" s="49" t="n">
        <f aca="false">IF(V114=0,0,W114/V114)</f>
        <v>-0.33063184238593</v>
      </c>
      <c r="Y114" s="47" t="n">
        <f aca="false">MAX(0,(N114/(1+Assumptions!$B$23)-(J114*(Assumptions!$B$4+IF(H114="Yes",0,Assumptions!$B$5)))*(1+(Assumptions!$B$7*(Assumptions!$B$8*L114*Assumptions!$B$9+Assumptions!$B$10)))-N114*(Assumptions!$B$12+Assumptions!$B$13+IF(N114&gt;=Assumptions!$B$16,Assumptions!$B$17,IF(N114&gt;=Assumptions!$B$14,Assumptions!$B$15,0))))/((1+IF(H114="Yes",Assumptions!$B$6,0))*(1+(Assumptions!$B$7*(Assumptions!$B$8*L114*Assumptions!$B$9+Assumptions!$B$10)))+Assumptions!$B$11*L114))</f>
        <v>482319.134902866</v>
      </c>
      <c r="Z114" s="50" t="n">
        <f aca="false">IF(Y114&lt;=0,"no price works",D114/Y114)</f>
        <v>4.56129529350532</v>
      </c>
      <c r="AA114" s="46" t="n">
        <f aca="false">INDEX(Assumptions!$B$32:$B$44,MATCH(AG114,Assumptions!$A$32:$A$44,0))*(1+Assumptions!$B$24)</f>
        <v>1200</v>
      </c>
      <c r="AB114" s="47" t="n">
        <f aca="false">(J114)*AA114-(((D114)+(J114)*Assumptions!$B$4+IF(H114="Yes",Assumptions!$B$6*(D114),(J114)*Assumptions!$B$5))*(1+Assumptions!$B$7*(Assumptions!$B$8*(L114)*Assumptions!$B$9+Assumptions!$B$10))+(D114)*Assumptions!$B$11*(L114)+(J114)*AA114*(Assumptions!$B$12+Assumptions!$B$13+IF((J114)*AA114&gt;=Assumptions!$B$16,Assumptions!$B$17,IF((J114)*AA114&gt;=Assumptions!$B$14,Assumptions!$B$15,0))))</f>
        <v>-1773285.72125</v>
      </c>
      <c r="AC114" s="46" t="n">
        <f aca="false">INDEX(Assumptions!$B$32:$B$44,MATCH(AG114,Assumptions!$A$32:$A$44,0))*(1+Assumptions!$B$25)</f>
        <v>1320</v>
      </c>
      <c r="AD114" s="47" t="n">
        <f aca="false">(J114)*AC114-(((D114)+(J114)*Assumptions!$B$4+IF(H114="Yes",Assumptions!$B$6*(D114),(J114)*Assumptions!$B$5))*(1+Assumptions!$B$7*(Assumptions!$B$8*(L114)*Assumptions!$B$9+Assumptions!$B$10))+(D114)*Assumptions!$B$11*(L114)+(J114)*AC114*(Assumptions!$B$12+Assumptions!$B$13+IF((J114)*AC114&gt;=Assumptions!$B$16,Assumptions!$B$17,IF((J114)*AC114&gt;=Assumptions!$B$14,Assumptions!$B$15,0))))</f>
        <v>-1510704.74525</v>
      </c>
      <c r="AE114" s="46" t="n">
        <f aca="false">INDEX(Assumptions!$B$32:$B$44,MATCH(AG114,Assumptions!$A$32:$A$44,0))*(1+Assumptions!$B$26)</f>
        <v>1440</v>
      </c>
      <c r="AF114" s="47" t="n">
        <f aca="false">(J114)*AE114-(((D114)+(J114)*Assumptions!$B$4+IF(H114="Yes",Assumptions!$B$6*(D114),(J114)*Assumptions!$B$5))*(1+Assumptions!$B$7*(Assumptions!$B$8*(L114)*Assumptions!$B$9+Assumptions!$B$10))+(D114)*Assumptions!$B$11*(L114)+(J114)*AE114*(Assumptions!$B$12+Assumptions!$B$13+IF((J114)*AE114&gt;=Assumptions!$B$16,Assumptions!$B$17,IF((J114)*AE114&gt;=Assumptions!$B$14,Assumptions!$B$15,0))))</f>
        <v>-1248123.76925</v>
      </c>
      <c r="AG114" s="40" t="s">
        <v>202</v>
      </c>
      <c r="AH114" s="45" t="n">
        <f aca="false">IF(G114&gt;0,G114,ROUND(F114*Assumptions!$B$18,0))</f>
        <v>2317</v>
      </c>
      <c r="AI114" s="45" t="n">
        <f aca="false">IF(H114="Yes",AH114,MAX(AH114,MIN(Assumptions!$B$20,ROUND(E114*Assumptions!$B$19,0))))</f>
        <v>2514</v>
      </c>
      <c r="AJ114" s="47" t="n">
        <f aca="false">(AH114)*AC114-(((D114)+(AH114)*Assumptions!$B$4+IF(H114="Yes",Assumptions!$B$6*(D114),(AH114)*Assumptions!$B$5))*(1+Assumptions!$B$7*(Assumptions!$B$8*(Assumptions!$B$21)*Assumptions!$B$9+Assumptions!$B$10))+(D114)*Assumptions!$B$11*(Assumptions!$B$21)+(AH114)*AC114*(Assumptions!$B$12+Assumptions!$B$13+IF((AH114)*AC114&gt;=Assumptions!$B$16,Assumptions!$B$17,IF((AH114)*AC114&gt;=Assumptions!$B$14,Assumptions!$B$15,0))))</f>
        <v>-1510704.74525</v>
      </c>
      <c r="AK114" s="47" t="n">
        <f aca="false">(AI114)*AC114-(((D114)+(AI114)*Assumptions!$B$4+IF(H114="Yes",Assumptions!$B$6*(D114),(AI114)*Assumptions!$B$5))*(1+Assumptions!$B$7*(Assumptions!$B$8*(IF(AI114&gt;AH114,Assumptions!$B$22,Assumptions!$B$21))*Assumptions!$B$9+Assumptions!$B$10))+(D114)*Assumptions!$B$11*(IF(AI114&gt;AH114,Assumptions!$B$22,Assumptions!$B$21))+(AI114)*AC114*(Assumptions!$B$12+Assumptions!$B$13+IF((AI114)*AC114&gt;=Assumptions!$B$16,Assumptions!$B$17,IF((AI114)*AC114&gt;=Assumptions!$B$14,Assumptions!$B$15,0))))</f>
        <v>-1619380.8505</v>
      </c>
      <c r="AL114" s="47" t="n">
        <f aca="false">Assumptions!$B$7*(O114+P114+Q114)</f>
        <v>2597188.75</v>
      </c>
    </row>
    <row r="115" customFormat="false" ht="15" hidden="false" customHeight="false" outlineLevel="0" collapsed="false">
      <c r="A115" s="40" t="n">
        <v>113</v>
      </c>
      <c r="B115" s="40" t="s">
        <v>259</v>
      </c>
      <c r="C115" s="40" t="s">
        <v>201</v>
      </c>
      <c r="D115" s="41" t="n">
        <v>1995000</v>
      </c>
      <c r="E115" s="42" t="n">
        <v>5658</v>
      </c>
      <c r="F115" s="42" t="n">
        <v>1573</v>
      </c>
      <c r="G115" s="42"/>
      <c r="H115" s="43" t="s">
        <v>67</v>
      </c>
      <c r="I115" s="44"/>
      <c r="J115" s="45" t="n">
        <f aca="false">IF(AK115&gt;AJ115,AI115,AH115)</f>
        <v>2263</v>
      </c>
      <c r="K115" s="40" t="str">
        <f aca="false">IF(AK115&gt;AJ115,"Zoning estimate",IF(H115="Yes","Approved plans",IF(G115&gt;0,"Listing claim","110% old house")))</f>
        <v>Zoning estimate</v>
      </c>
      <c r="L115" s="45" t="n">
        <f aca="false">IF(AK115&gt;AJ115,IF(AI115&gt;AH115,Assumptions!$B$22,Assumptions!$B$21),Assumptions!$B$21)</f>
        <v>3</v>
      </c>
      <c r="M115" s="46" t="n">
        <f aca="false">INDEX(Assumptions!$B$32:$B$44,MATCH(AG115,Assumptions!$A$32:$A$44,0))*(1+IF(UPPER(Assumptions!$B$27)="WORST",Assumptions!$B$24,IF(UPPER(Assumptions!$B$27)="BEST",Assumptions!$B$26,Assumptions!$B$25)))</f>
        <v>1320</v>
      </c>
      <c r="N115" s="47" t="n">
        <f aca="false">J115*M115</f>
        <v>2987160</v>
      </c>
      <c r="O115" s="47" t="n">
        <f aca="false">D115</f>
        <v>1995000</v>
      </c>
      <c r="P115" s="47" t="n">
        <f aca="false">J115*Assumptions!$B$4</f>
        <v>1584100</v>
      </c>
      <c r="Q115" s="47" t="n">
        <f aca="false">IF(H115="Yes",Assumptions!$B$6*(D115),(J115)*Assumptions!$B$5)</f>
        <v>169725</v>
      </c>
      <c r="R115" s="47" t="n">
        <f aca="false">AL115*(Assumptions!$B$8*L115*Assumptions!$B$9+Assumptions!$B$10)</f>
        <v>475163.56875</v>
      </c>
      <c r="S115" s="47" t="n">
        <f aca="false">O115*Assumptions!$B$11*L115</f>
        <v>71820</v>
      </c>
      <c r="T115" s="47" t="n">
        <f aca="false">N115*(Assumptions!$B$12+Assumptions!$B$13)</f>
        <v>166086.096</v>
      </c>
      <c r="U115" s="47" t="n">
        <f aca="false">N115*IF(N115&gt;=Assumptions!$B$16,Assumptions!$B$17,IF(N115&gt;=Assumptions!$B$14,Assumptions!$B$15,0))</f>
        <v>0</v>
      </c>
      <c r="V115" s="48" t="n">
        <f aca="false">SUM(O115:U115)</f>
        <v>4461894.66475</v>
      </c>
      <c r="W115" s="48" t="n">
        <f aca="false">N115-V115</f>
        <v>-1474734.66475</v>
      </c>
      <c r="X115" s="49" t="n">
        <f aca="false">IF(V115=0,0,W115/V115)</f>
        <v>-0.330517588503544</v>
      </c>
      <c r="Y115" s="47" t="n">
        <f aca="false">MAX(0,(N115/(1+Assumptions!$B$23)-(J115*(Assumptions!$B$4+IF(H115="Yes",0,Assumptions!$B$5)))*(1+(Assumptions!$B$7*(Assumptions!$B$8*L115*Assumptions!$B$9+Assumptions!$B$10)))-N115*(Assumptions!$B$12+Assumptions!$B$13+IF(N115&gt;=Assumptions!$B$16,Assumptions!$B$17,IF(N115&gt;=Assumptions!$B$14,Assumptions!$B$15,0))))/((1+IF(H115="Yes",Assumptions!$B$6,0))*(1+(Assumptions!$B$7*(Assumptions!$B$8*L115*Assumptions!$B$9+Assumptions!$B$10)))+Assumptions!$B$11*L115))</f>
        <v>391590.642900545</v>
      </c>
      <c r="Z115" s="50" t="n">
        <f aca="false">IF(Y115&lt;=0,"no price works",D115/Y115)</f>
        <v>5.09460590075101</v>
      </c>
      <c r="AA115" s="46" t="n">
        <f aca="false">INDEX(Assumptions!$B$32:$B$44,MATCH(AG115,Assumptions!$A$32:$A$44,0))*(1+Assumptions!$B$24)</f>
        <v>1200</v>
      </c>
      <c r="AB115" s="47" t="n">
        <f aca="false">(J115)*AA115-(((D115)+(J115)*Assumptions!$B$4+IF(H115="Yes",Assumptions!$B$6*(D115),(J115)*Assumptions!$B$5))*(1+Assumptions!$B$7*(Assumptions!$B$8*(L115)*Assumptions!$B$9+Assumptions!$B$10))+(D115)*Assumptions!$B$11*(L115)+(J115)*AA115*(Assumptions!$B$12+Assumptions!$B$13+IF((J115)*AA115&gt;=Assumptions!$B$16,Assumptions!$B$17,IF((J115)*AA115&gt;=Assumptions!$B$14,Assumptions!$B$15,0))))</f>
        <v>-1731195.92875</v>
      </c>
      <c r="AC115" s="46" t="n">
        <f aca="false">INDEX(Assumptions!$B$32:$B$44,MATCH(AG115,Assumptions!$A$32:$A$44,0))*(1+Assumptions!$B$25)</f>
        <v>1320</v>
      </c>
      <c r="AD115" s="47" t="n">
        <f aca="false">(J115)*AC115-(((D115)+(J115)*Assumptions!$B$4+IF(H115="Yes",Assumptions!$B$6*(D115),(J115)*Assumptions!$B$5))*(1+Assumptions!$B$7*(Assumptions!$B$8*(L115)*Assumptions!$B$9+Assumptions!$B$10))+(D115)*Assumptions!$B$11*(L115)+(J115)*AC115*(Assumptions!$B$12+Assumptions!$B$13+IF((J115)*AC115&gt;=Assumptions!$B$16,Assumptions!$B$17,IF((J115)*AC115&gt;=Assumptions!$B$14,Assumptions!$B$15,0))))</f>
        <v>-1474734.66475</v>
      </c>
      <c r="AE115" s="46" t="n">
        <f aca="false">INDEX(Assumptions!$B$32:$B$44,MATCH(AG115,Assumptions!$A$32:$A$44,0))*(1+Assumptions!$B$26)</f>
        <v>1440</v>
      </c>
      <c r="AF115" s="47" t="n">
        <f aca="false">(J115)*AE115-(((D115)+(J115)*Assumptions!$B$4+IF(H115="Yes",Assumptions!$B$6*(D115),(J115)*Assumptions!$B$5))*(1+Assumptions!$B$7*(Assumptions!$B$8*(L115)*Assumptions!$B$9+Assumptions!$B$10))+(D115)*Assumptions!$B$11*(L115)+(J115)*AE115*(Assumptions!$B$12+Assumptions!$B$13+IF((J115)*AE115&gt;=Assumptions!$B$16,Assumptions!$B$17,IF((J115)*AE115&gt;=Assumptions!$B$14,Assumptions!$B$15,0))))</f>
        <v>-1218273.40075</v>
      </c>
      <c r="AG115" s="40" t="s">
        <v>202</v>
      </c>
      <c r="AH115" s="45" t="n">
        <f aca="false">IF(G115&gt;0,G115,ROUND(F115*Assumptions!$B$18,0))</f>
        <v>1730</v>
      </c>
      <c r="AI115" s="45" t="n">
        <f aca="false">IF(H115="Yes",AH115,MAX(AH115,MIN(Assumptions!$B$20,ROUND(E115*Assumptions!$B$19,0))))</f>
        <v>2263</v>
      </c>
      <c r="AJ115" s="47" t="n">
        <f aca="false">(AH115)*AC115-(((D115)+(AH115)*Assumptions!$B$4+IF(H115="Yes",Assumptions!$B$6*(D115),(AH115)*Assumptions!$B$5))*(1+Assumptions!$B$7*(Assumptions!$B$8*(Assumptions!$B$21)*Assumptions!$B$9+Assumptions!$B$10))+(D115)*Assumptions!$B$11*(Assumptions!$B$21)+(AH115)*AC115*(Assumptions!$B$12+Assumptions!$B$13+IF((AH115)*AC115&gt;=Assumptions!$B$16,Assumptions!$B$17,IF((AH115)*AC115&gt;=Assumptions!$B$14,Assumptions!$B$15,0))))</f>
        <v>-1519710.2225</v>
      </c>
      <c r="AK115" s="47" t="n">
        <f aca="false">(AI115)*AC115-(((D115)+(AI115)*Assumptions!$B$4+IF(H115="Yes",Assumptions!$B$6*(D115),(AI115)*Assumptions!$B$5))*(1+Assumptions!$B$7*(Assumptions!$B$8*(IF(AI115&gt;AH115,Assumptions!$B$22,Assumptions!$B$21))*Assumptions!$B$9+Assumptions!$B$10))+(D115)*Assumptions!$B$11*(IF(AI115&gt;AH115,Assumptions!$B$22,Assumptions!$B$21))+(AI115)*AC115*(Assumptions!$B$12+Assumptions!$B$13+IF((AI115)*AC115&gt;=Assumptions!$B$16,Assumptions!$B$17,IF((AI115)*AC115&gt;=Assumptions!$B$14,Assumptions!$B$15,0))))</f>
        <v>-1474734.66475</v>
      </c>
      <c r="AL115" s="47" t="n">
        <f aca="false">Assumptions!$B$7*(O115+P115+Q115)</f>
        <v>2436736.25</v>
      </c>
    </row>
    <row r="116" customFormat="false" ht="15" hidden="false" customHeight="false" outlineLevel="0" collapsed="false">
      <c r="A116" s="40" t="n">
        <v>114</v>
      </c>
      <c r="B116" s="40" t="s">
        <v>260</v>
      </c>
      <c r="C116" s="40" t="s">
        <v>115</v>
      </c>
      <c r="D116" s="41" t="n">
        <v>5250000</v>
      </c>
      <c r="E116" s="42" t="n">
        <v>6463</v>
      </c>
      <c r="F116" s="42" t="n">
        <v>1683</v>
      </c>
      <c r="G116" s="42"/>
      <c r="H116" s="43" t="s">
        <v>67</v>
      </c>
      <c r="I116" s="44" t="s">
        <v>261</v>
      </c>
      <c r="J116" s="45" t="n">
        <f aca="false">IF(AK116&gt;AJ116,AI116,AH116)</f>
        <v>2585</v>
      </c>
      <c r="K116" s="40" t="str">
        <f aca="false">IF(AK116&gt;AJ116,"Zoning estimate",IF(H116="Yes","Approved plans",IF(G116&gt;0,"Listing claim","110% old house")))</f>
        <v>Zoning estimate</v>
      </c>
      <c r="L116" s="45" t="n">
        <f aca="false">IF(AK116&gt;AJ116,IF(AI116&gt;AH116,Assumptions!$B$22,Assumptions!$B$21),Assumptions!$B$21)</f>
        <v>3</v>
      </c>
      <c r="M116" s="46" t="n">
        <f aca="false">INDEX(Assumptions!$B$32:$B$44,MATCH(AG116,Assumptions!$A$32:$A$44,0))*(1+IF(UPPER(Assumptions!$B$27)="WORST",Assumptions!$B$24,IF(UPPER(Assumptions!$B$27)="BEST",Assumptions!$B$26,Assumptions!$B$25)))</f>
        <v>1540</v>
      </c>
      <c r="N116" s="47" t="n">
        <f aca="false">J116*M116</f>
        <v>3980900</v>
      </c>
      <c r="O116" s="47" t="n">
        <f aca="false">D116</f>
        <v>5250000</v>
      </c>
      <c r="P116" s="47" t="n">
        <f aca="false">J116*Assumptions!$B$4</f>
        <v>1809500</v>
      </c>
      <c r="Q116" s="47" t="n">
        <f aca="false">IF(H116="Yes",Assumptions!$B$6*(D116),(J116)*Assumptions!$B$5)</f>
        <v>193875</v>
      </c>
      <c r="R116" s="47" t="n">
        <f aca="false">AL116*(Assumptions!$B$8*L116*Assumptions!$B$9+Assumptions!$B$10)</f>
        <v>919365.28125</v>
      </c>
      <c r="S116" s="47" t="n">
        <f aca="false">O116*Assumptions!$B$11*L116</f>
        <v>189000</v>
      </c>
      <c r="T116" s="47" t="n">
        <f aca="false">N116*(Assumptions!$B$12+Assumptions!$B$13)</f>
        <v>221338.04</v>
      </c>
      <c r="U116" s="47" t="n">
        <f aca="false">N116*IF(N116&gt;=Assumptions!$B$16,Assumptions!$B$17,IF(N116&gt;=Assumptions!$B$14,Assumptions!$B$15,0))</f>
        <v>0</v>
      </c>
      <c r="V116" s="48" t="n">
        <f aca="false">SUM(O116:U116)</f>
        <v>8583078.32125</v>
      </c>
      <c r="W116" s="48" t="n">
        <f aca="false">N116-V116</f>
        <v>-4602178.32125</v>
      </c>
      <c r="X116" s="49" t="n">
        <f aca="false">IF(V116=0,0,W116/V116)</f>
        <v>-0.536192045440844</v>
      </c>
      <c r="Y116" s="47" t="n">
        <f aca="false">MAX(0,(N116/(1+Assumptions!$B$23)-(J116*(Assumptions!$B$4+IF(H116="Yes",0,Assumptions!$B$5)))*(1+(Assumptions!$B$7*(Assumptions!$B$8*L116*Assumptions!$B$9+Assumptions!$B$10)))-N116*(Assumptions!$B$12+Assumptions!$B$13+IF(N116&gt;=Assumptions!$B$16,Assumptions!$B$17,IF(N116&gt;=Assumptions!$B$14,Assumptions!$B$15,0))))/((1+IF(H116="Yes",Assumptions!$B$6,0))*(1+(Assumptions!$B$7*(Assumptions!$B$8*L116*Assumptions!$B$9+Assumptions!$B$10)))+Assumptions!$B$11*L116))</f>
        <v>845419.352967572</v>
      </c>
      <c r="Z116" s="50" t="n">
        <f aca="false">IF(Y116&lt;=0,"no price works",D116/Y116)</f>
        <v>6.20993591118014</v>
      </c>
      <c r="AA116" s="46" t="n">
        <f aca="false">INDEX(Assumptions!$B$32:$B$44,MATCH(AG116,Assumptions!$A$32:$A$44,0))*(1+Assumptions!$B$24)</f>
        <v>1400</v>
      </c>
      <c r="AB116" s="47" t="n">
        <f aca="false">(J116)*AA116-(((D116)+(J116)*Assumptions!$B$4+IF(H116="Yes",Assumptions!$B$6*(D116),(J116)*Assumptions!$B$5))*(1+Assumptions!$B$7*(Assumptions!$B$8*(L116)*Assumptions!$B$9+Assumptions!$B$10))+(D116)*Assumptions!$B$11*(L116)+(J116)*AA116*(Assumptions!$B$12+Assumptions!$B$13+IF((J116)*AA116&gt;=Assumptions!$B$16,Assumptions!$B$17,IF((J116)*AA116&gt;=Assumptions!$B$14,Assumptions!$B$15,0))))</f>
        <v>-4943956.68125</v>
      </c>
      <c r="AC116" s="46" t="n">
        <f aca="false">INDEX(Assumptions!$B$32:$B$44,MATCH(AG116,Assumptions!$A$32:$A$44,0))*(1+Assumptions!$B$25)</f>
        <v>1540</v>
      </c>
      <c r="AD116" s="47" t="n">
        <f aca="false">(J116)*AC116-(((D116)+(J116)*Assumptions!$B$4+IF(H116="Yes",Assumptions!$B$6*(D116),(J116)*Assumptions!$B$5))*(1+Assumptions!$B$7*(Assumptions!$B$8*(L116)*Assumptions!$B$9+Assumptions!$B$10))+(D116)*Assumptions!$B$11*(L116)+(J116)*AC116*(Assumptions!$B$12+Assumptions!$B$13+IF((J116)*AC116&gt;=Assumptions!$B$16,Assumptions!$B$17,IF((J116)*AC116&gt;=Assumptions!$B$14,Assumptions!$B$15,0))))</f>
        <v>-4602178.32125</v>
      </c>
      <c r="AE116" s="46" t="n">
        <f aca="false">INDEX(Assumptions!$B$32:$B$44,MATCH(AG116,Assumptions!$A$32:$A$44,0))*(1+Assumptions!$B$26)</f>
        <v>1680</v>
      </c>
      <c r="AF116" s="47" t="n">
        <f aca="false">(J116)*AE116-(((D116)+(J116)*Assumptions!$B$4+IF(H116="Yes",Assumptions!$B$6*(D116),(J116)*Assumptions!$B$5))*(1+Assumptions!$B$7*(Assumptions!$B$8*(L116)*Assumptions!$B$9+Assumptions!$B$10))+(D116)*Assumptions!$B$11*(L116)+(J116)*AE116*(Assumptions!$B$12+Assumptions!$B$13+IF((J116)*AE116&gt;=Assumptions!$B$16,Assumptions!$B$17,IF((J116)*AE116&gt;=Assumptions!$B$14,Assumptions!$B$15,0))))</f>
        <v>-4260399.96125</v>
      </c>
      <c r="AG116" s="40" t="s">
        <v>117</v>
      </c>
      <c r="AH116" s="45" t="n">
        <f aca="false">IF(G116&gt;0,G116,ROUND(F116*Assumptions!$B$18,0))</f>
        <v>1851</v>
      </c>
      <c r="AI116" s="45" t="n">
        <f aca="false">IF(H116="Yes",AH116,MAX(AH116,MIN(Assumptions!$B$20,ROUND(E116*Assumptions!$B$19,0))))</f>
        <v>2585</v>
      </c>
      <c r="AJ116" s="47" t="n">
        <f aca="false">(AH116)*AC116-(((D116)+(AH116)*Assumptions!$B$4+IF(H116="Yes",Assumptions!$B$6*(D116),(AH116)*Assumptions!$B$5))*(1+Assumptions!$B$7*(Assumptions!$B$8*(Assumptions!$B$21)*Assumptions!$B$9+Assumptions!$B$10))+(D116)*Assumptions!$B$11*(Assumptions!$B$21)+(AH116)*AC116*(Assumptions!$B$12+Assumptions!$B$13+IF((AH116)*AC116&gt;=Assumptions!$B$16,Assumptions!$B$17,IF((AH116)*AC116&gt;=Assumptions!$B$14,Assumptions!$B$15,0))))</f>
        <v>-4705042.09275</v>
      </c>
      <c r="AK116" s="47" t="n">
        <f aca="false">(AI116)*AC116-(((D116)+(AI116)*Assumptions!$B$4+IF(H116="Yes",Assumptions!$B$6*(D116),(AI116)*Assumptions!$B$5))*(1+Assumptions!$B$7*(Assumptions!$B$8*(IF(AI116&gt;AH116,Assumptions!$B$22,Assumptions!$B$21))*Assumptions!$B$9+Assumptions!$B$10))+(D116)*Assumptions!$B$11*(IF(AI116&gt;AH116,Assumptions!$B$22,Assumptions!$B$21))+(AI116)*AC116*(Assumptions!$B$12+Assumptions!$B$13+IF((AI116)*AC116&gt;=Assumptions!$B$16,Assumptions!$B$17,IF((AI116)*AC116&gt;=Assumptions!$B$14,Assumptions!$B$15,0))))</f>
        <v>-4602178.32125</v>
      </c>
      <c r="AL116" s="47" t="n">
        <f aca="false">Assumptions!$B$7*(O116+P116+Q116)</f>
        <v>4714693.75</v>
      </c>
    </row>
    <row r="117" customFormat="false" ht="23.85" hidden="false" customHeight="false" outlineLevel="0" collapsed="false">
      <c r="A117" s="40" t="n">
        <v>115</v>
      </c>
      <c r="B117" s="40" t="s">
        <v>262</v>
      </c>
      <c r="C117" s="40" t="s">
        <v>201</v>
      </c>
      <c r="D117" s="41" t="n">
        <v>5250000</v>
      </c>
      <c r="E117" s="42" t="n">
        <v>14060</v>
      </c>
      <c r="F117" s="42" t="n">
        <v>4741</v>
      </c>
      <c r="G117" s="42"/>
      <c r="H117" s="43" t="s">
        <v>67</v>
      </c>
      <c r="I117" s="44" t="s">
        <v>263</v>
      </c>
      <c r="J117" s="45" t="n">
        <f aca="false">IF(AK117&gt;AJ117,AI117,AH117)</f>
        <v>5215</v>
      </c>
      <c r="K117" s="40" t="str">
        <f aca="false">IF(AK117&gt;AJ117,"Zoning estimate",IF(H117="Yes","Approved plans",IF(G117&gt;0,"Listing claim","110% old house")))</f>
        <v>110% old house</v>
      </c>
      <c r="L117" s="45" t="n">
        <f aca="false">IF(AK117&gt;AJ117,IF(AI117&gt;AH117,Assumptions!$B$22,Assumptions!$B$21),Assumptions!$B$21)</f>
        <v>2</v>
      </c>
      <c r="M117" s="46" t="n">
        <f aca="false">INDEX(Assumptions!$B$32:$B$44,MATCH(AG117,Assumptions!$A$32:$A$44,0))*(1+IF(UPPER(Assumptions!$B$27)="WORST",Assumptions!$B$24,IF(UPPER(Assumptions!$B$27)="BEST",Assumptions!$B$26,Assumptions!$B$25)))</f>
        <v>1320</v>
      </c>
      <c r="N117" s="47" t="n">
        <f aca="false">J117*M117</f>
        <v>6883800</v>
      </c>
      <c r="O117" s="47" t="n">
        <f aca="false">D117</f>
        <v>5250000</v>
      </c>
      <c r="P117" s="47" t="n">
        <f aca="false">J117*Assumptions!$B$4</f>
        <v>3650500</v>
      </c>
      <c r="Q117" s="47" t="n">
        <f aca="false">IF(H117="Yes",Assumptions!$B$6*(D117),(J117)*Assumptions!$B$5)</f>
        <v>391125</v>
      </c>
      <c r="R117" s="47" t="n">
        <f aca="false">AL117*(Assumptions!$B$8*L117*Assumptions!$B$9+Assumptions!$B$10)</f>
        <v>815340.09375</v>
      </c>
      <c r="S117" s="47" t="n">
        <f aca="false">O117*Assumptions!$B$11*L117</f>
        <v>126000</v>
      </c>
      <c r="T117" s="47" t="n">
        <f aca="false">N117*(Assumptions!$B$12+Assumptions!$B$13)</f>
        <v>382739.28</v>
      </c>
      <c r="U117" s="47" t="n">
        <f aca="false">N117*IF(N117&gt;=Assumptions!$B$16,Assumptions!$B$17,IF(N117&gt;=Assumptions!$B$14,Assumptions!$B$15,0))</f>
        <v>275352</v>
      </c>
      <c r="V117" s="48" t="n">
        <f aca="false">SUM(O117:U117)</f>
        <v>10891056.37375</v>
      </c>
      <c r="W117" s="48" t="n">
        <f aca="false">N117-V117</f>
        <v>-4007256.37375</v>
      </c>
      <c r="X117" s="49" t="n">
        <f aca="false">IF(V117=0,0,W117/V117)</f>
        <v>-0.367940100228333</v>
      </c>
      <c r="Y117" s="47" t="n">
        <f aca="false">MAX(0,(N117/(1+Assumptions!$B$23)-(J117*(Assumptions!$B$4+IF(H117="Yes",0,Assumptions!$B$5)))*(1+(Assumptions!$B$7*(Assumptions!$B$8*L117*Assumptions!$B$9+Assumptions!$B$10)))-N117*(Assumptions!$B$12+Assumptions!$B$13+IF(N117&gt;=Assumptions!$B$16,Assumptions!$B$17,IF(N117&gt;=Assumptions!$B$14,Assumptions!$B$15,0))))/((1+IF(H117="Yes",Assumptions!$B$6,0))*(1+(Assumptions!$B$7*(Assumptions!$B$8*L117*Assumptions!$B$9+Assumptions!$B$10)))+Assumptions!$B$11*L117))</f>
        <v>837907.955680919</v>
      </c>
      <c r="Z117" s="50" t="n">
        <f aca="false">IF(Y117&lt;=0,"no price works",D117/Y117)</f>
        <v>6.26560466982752</v>
      </c>
      <c r="AA117" s="46" t="n">
        <f aca="false">INDEX(Assumptions!$B$32:$B$44,MATCH(AG117,Assumptions!$A$32:$A$44,0))*(1+Assumptions!$B$24)</f>
        <v>1200</v>
      </c>
      <c r="AB117" s="47" t="n">
        <f aca="false">(J117)*AA117-(((D117)+(J117)*Assumptions!$B$4+IF(H117="Yes",Assumptions!$B$6*(D117),(J117)*Assumptions!$B$5))*(1+Assumptions!$B$7*(Assumptions!$B$8*(L117)*Assumptions!$B$9+Assumptions!$B$10))+(D117)*Assumptions!$B$11*(L117)+(J117)*AA117*(Assumptions!$B$12+Assumptions!$B$13+IF((J117)*AA117&gt;=Assumptions!$B$16,Assumptions!$B$17,IF((J117)*AA117&gt;=Assumptions!$B$14,Assumptions!$B$15,0))))</f>
        <v>-4573229.89375</v>
      </c>
      <c r="AC117" s="46" t="n">
        <f aca="false">INDEX(Assumptions!$B$32:$B$44,MATCH(AG117,Assumptions!$A$32:$A$44,0))*(1+Assumptions!$B$25)</f>
        <v>1320</v>
      </c>
      <c r="AD117" s="47" t="n">
        <f aca="false">(J117)*AC117-(((D117)+(J117)*Assumptions!$B$4+IF(H117="Yes",Assumptions!$B$6*(D117),(J117)*Assumptions!$B$5))*(1+Assumptions!$B$7*(Assumptions!$B$8*(L117)*Assumptions!$B$9+Assumptions!$B$10))+(D117)*Assumptions!$B$11*(L117)+(J117)*AC117*(Assumptions!$B$12+Assumptions!$B$13+IF((J117)*AC117&gt;=Assumptions!$B$16,Assumptions!$B$17,IF((J117)*AC117&gt;=Assumptions!$B$14,Assumptions!$B$15,0))))</f>
        <v>-4007256.37375</v>
      </c>
      <c r="AE117" s="46" t="n">
        <f aca="false">INDEX(Assumptions!$B$32:$B$44,MATCH(AG117,Assumptions!$A$32:$A$44,0))*(1+Assumptions!$B$26)</f>
        <v>1440</v>
      </c>
      <c r="AF117" s="47" t="n">
        <f aca="false">(J117)*AE117-(((D117)+(J117)*Assumptions!$B$4+IF(H117="Yes",Assumptions!$B$6*(D117),(J117)*Assumptions!$B$5))*(1+Assumptions!$B$7*(Assumptions!$B$8*(L117)*Assumptions!$B$9+Assumptions!$B$10))+(D117)*Assumptions!$B$11*(L117)+(J117)*AE117*(Assumptions!$B$12+Assumptions!$B$13+IF((J117)*AE117&gt;=Assumptions!$B$16,Assumptions!$B$17,IF((J117)*AE117&gt;=Assumptions!$B$14,Assumptions!$B$15,0))))</f>
        <v>-3441282.85375</v>
      </c>
      <c r="AG117" s="40" t="s">
        <v>202</v>
      </c>
      <c r="AH117" s="45" t="n">
        <f aca="false">IF(G117&gt;0,G117,ROUND(F117*Assumptions!$B$18,0))</f>
        <v>5215</v>
      </c>
      <c r="AI117" s="45" t="n">
        <f aca="false">IF(H117="Yes",AH117,MAX(AH117,MIN(Assumptions!$B$20,ROUND(E117*Assumptions!$B$19,0))))</f>
        <v>5624</v>
      </c>
      <c r="AJ117" s="47" t="n">
        <f aca="false">(AH117)*AC117-(((D117)+(AH117)*Assumptions!$B$4+IF(H117="Yes",Assumptions!$B$6*(D117),(AH117)*Assumptions!$B$5))*(1+Assumptions!$B$7*(Assumptions!$B$8*(Assumptions!$B$21)*Assumptions!$B$9+Assumptions!$B$10))+(D117)*Assumptions!$B$11*(Assumptions!$B$21)+(AH117)*AC117*(Assumptions!$B$12+Assumptions!$B$13+IF((AH117)*AC117&gt;=Assumptions!$B$16,Assumptions!$B$17,IF((AH117)*AC117&gt;=Assumptions!$B$14,Assumptions!$B$15,0))))</f>
        <v>-4007256.37375</v>
      </c>
      <c r="AK117" s="47" t="n">
        <f aca="false">(AI117)*AC117-(((D117)+(AI117)*Assumptions!$B$4+IF(H117="Yes",Assumptions!$B$6*(D117),(AI117)*Assumptions!$B$5))*(1+Assumptions!$B$7*(Assumptions!$B$8*(IF(AI117&gt;AH117,Assumptions!$B$22,Assumptions!$B$21))*Assumptions!$B$9+Assumptions!$B$10))+(D117)*Assumptions!$B$11*(IF(AI117&gt;AH117,Assumptions!$B$22,Assumptions!$B$21))+(AI117)*AC117*(Assumptions!$B$12+Assumptions!$B$13+IF((AI117)*AC117&gt;=Assumptions!$B$16,Assumptions!$B$17,IF((AI117)*AC117&gt;=Assumptions!$B$14,Assumptions!$B$15,0))))</f>
        <v>-4301513.858</v>
      </c>
      <c r="AL117" s="47" t="n">
        <f aca="false">Assumptions!$B$7*(O117+P117+Q117)</f>
        <v>6039556.25</v>
      </c>
    </row>
    <row r="118" customFormat="false" ht="15" hidden="false" customHeight="false" outlineLevel="0" collapsed="false">
      <c r="A118" s="40" t="n">
        <v>116</v>
      </c>
      <c r="B118" s="40" t="s">
        <v>264</v>
      </c>
      <c r="C118" s="40" t="s">
        <v>115</v>
      </c>
      <c r="D118" s="41" t="n">
        <v>5500000</v>
      </c>
      <c r="E118" s="42" t="n">
        <v>6493</v>
      </c>
      <c r="F118" s="42" t="n">
        <v>2032</v>
      </c>
      <c r="G118" s="42"/>
      <c r="H118" s="43" t="s">
        <v>67</v>
      </c>
      <c r="I118" s="44" t="s">
        <v>265</v>
      </c>
      <c r="J118" s="45" t="n">
        <f aca="false">IF(AK118&gt;AJ118,AI118,AH118)</f>
        <v>2235</v>
      </c>
      <c r="K118" s="40" t="str">
        <f aca="false">IF(AK118&gt;AJ118,"Zoning estimate",IF(H118="Yes","Approved plans",IF(G118&gt;0,"Listing claim","110% old house")))</f>
        <v>110% old house</v>
      </c>
      <c r="L118" s="45" t="n">
        <f aca="false">IF(AK118&gt;AJ118,IF(AI118&gt;AH118,Assumptions!$B$22,Assumptions!$B$21),Assumptions!$B$21)</f>
        <v>2</v>
      </c>
      <c r="M118" s="46" t="n">
        <f aca="false">INDEX(Assumptions!$B$32:$B$44,MATCH(AG118,Assumptions!$A$32:$A$44,0))*(1+IF(UPPER(Assumptions!$B$27)="WORST",Assumptions!$B$24,IF(UPPER(Assumptions!$B$27)="BEST",Assumptions!$B$26,Assumptions!$B$25)))</f>
        <v>1540</v>
      </c>
      <c r="N118" s="47" t="n">
        <f aca="false">J118*M118</f>
        <v>3441900</v>
      </c>
      <c r="O118" s="47" t="n">
        <f aca="false">D118</f>
        <v>5500000</v>
      </c>
      <c r="P118" s="47" t="n">
        <f aca="false">J118*Assumptions!$B$4</f>
        <v>1564500</v>
      </c>
      <c r="Q118" s="47" t="n">
        <f aca="false">IF(H118="Yes",Assumptions!$B$6*(D118),(J118)*Assumptions!$B$5)</f>
        <v>167625</v>
      </c>
      <c r="R118" s="47" t="n">
        <f aca="false">AL118*(Assumptions!$B$8*L118*Assumptions!$B$9+Assumptions!$B$10)</f>
        <v>634618.96875</v>
      </c>
      <c r="S118" s="47" t="n">
        <f aca="false">O118*Assumptions!$B$11*L118</f>
        <v>132000</v>
      </c>
      <c r="T118" s="47" t="n">
        <f aca="false">N118*(Assumptions!$B$12+Assumptions!$B$13)</f>
        <v>191369.64</v>
      </c>
      <c r="U118" s="47" t="n">
        <f aca="false">N118*IF(N118&gt;=Assumptions!$B$16,Assumptions!$B$17,IF(N118&gt;=Assumptions!$B$14,Assumptions!$B$15,0))</f>
        <v>0</v>
      </c>
      <c r="V118" s="48" t="n">
        <f aca="false">SUM(O118:U118)</f>
        <v>8190113.60875</v>
      </c>
      <c r="W118" s="48" t="n">
        <f aca="false">N118-V118</f>
        <v>-4748213.60875</v>
      </c>
      <c r="X118" s="49" t="n">
        <f aca="false">IF(V118=0,0,W118/V118)</f>
        <v>-0.579749419309299</v>
      </c>
      <c r="Y118" s="47" t="n">
        <f aca="false">MAX(0,(N118/(1+Assumptions!$B$23)-(J118*(Assumptions!$B$4+IF(H118="Yes",0,Assumptions!$B$5)))*(1+(Assumptions!$B$7*(Assumptions!$B$8*L118*Assumptions!$B$9+Assumptions!$B$10)))-N118*(Assumptions!$B$12+Assumptions!$B$13+IF(N118&gt;=Assumptions!$B$16,Assumptions!$B$17,IF(N118&gt;=Assumptions!$B$14,Assumptions!$B$15,0))))/((1+IF(H118="Yes",Assumptions!$B$6,0))*(1+(Assumptions!$B$7*(Assumptions!$B$8*L118*Assumptions!$B$9+Assumptions!$B$10)))+Assumptions!$B$11*L118))</f>
        <v>825246.604892405</v>
      </c>
      <c r="Z118" s="50" t="n">
        <f aca="false">IF(Y118&lt;=0,"no price works",D118/Y118)</f>
        <v>6.66467449534929</v>
      </c>
      <c r="AA118" s="46" t="n">
        <f aca="false">INDEX(Assumptions!$B$32:$B$44,MATCH(AG118,Assumptions!$A$32:$A$44,0))*(1+Assumptions!$B$24)</f>
        <v>1400</v>
      </c>
      <c r="AB118" s="47" t="n">
        <f aca="false">(J118)*AA118-(((D118)+(J118)*Assumptions!$B$4+IF(H118="Yes",Assumptions!$B$6*(D118),(J118)*Assumptions!$B$5))*(1+Assumptions!$B$7*(Assumptions!$B$8*(L118)*Assumptions!$B$9+Assumptions!$B$10))+(D118)*Assumptions!$B$11*(L118)+(J118)*AA118*(Assumptions!$B$12+Assumptions!$B$13+IF((J118)*AA118&gt;=Assumptions!$B$16,Assumptions!$B$17,IF((J118)*AA118&gt;=Assumptions!$B$14,Assumptions!$B$15,0))))</f>
        <v>-5043716.36875</v>
      </c>
      <c r="AC118" s="46" t="n">
        <f aca="false">INDEX(Assumptions!$B$32:$B$44,MATCH(AG118,Assumptions!$A$32:$A$44,0))*(1+Assumptions!$B$25)</f>
        <v>1540</v>
      </c>
      <c r="AD118" s="47" t="n">
        <f aca="false">(J118)*AC118-(((D118)+(J118)*Assumptions!$B$4+IF(H118="Yes",Assumptions!$B$6*(D118),(J118)*Assumptions!$B$5))*(1+Assumptions!$B$7*(Assumptions!$B$8*(L118)*Assumptions!$B$9+Assumptions!$B$10))+(D118)*Assumptions!$B$11*(L118)+(J118)*AC118*(Assumptions!$B$12+Assumptions!$B$13+IF((J118)*AC118&gt;=Assumptions!$B$16,Assumptions!$B$17,IF((J118)*AC118&gt;=Assumptions!$B$14,Assumptions!$B$15,0))))</f>
        <v>-4748213.60875</v>
      </c>
      <c r="AE118" s="46" t="n">
        <f aca="false">INDEX(Assumptions!$B$32:$B$44,MATCH(AG118,Assumptions!$A$32:$A$44,0))*(1+Assumptions!$B$26)</f>
        <v>1680</v>
      </c>
      <c r="AF118" s="47" t="n">
        <f aca="false">(J118)*AE118-(((D118)+(J118)*Assumptions!$B$4+IF(H118="Yes",Assumptions!$B$6*(D118),(J118)*Assumptions!$B$5))*(1+Assumptions!$B$7*(Assumptions!$B$8*(L118)*Assumptions!$B$9+Assumptions!$B$10))+(D118)*Assumptions!$B$11*(L118)+(J118)*AE118*(Assumptions!$B$12+Assumptions!$B$13+IF((J118)*AE118&gt;=Assumptions!$B$16,Assumptions!$B$17,IF((J118)*AE118&gt;=Assumptions!$B$14,Assumptions!$B$15,0))))</f>
        <v>-4452710.84875</v>
      </c>
      <c r="AG118" s="40" t="s">
        <v>117</v>
      </c>
      <c r="AH118" s="45" t="n">
        <f aca="false">IF(G118&gt;0,G118,ROUND(F118*Assumptions!$B$18,0))</f>
        <v>2235</v>
      </c>
      <c r="AI118" s="45" t="n">
        <f aca="false">IF(H118="Yes",AH118,MAX(AH118,MIN(Assumptions!$B$20,ROUND(E118*Assumptions!$B$19,0))))</f>
        <v>2597</v>
      </c>
      <c r="AJ118" s="47" t="n">
        <f aca="false">(AH118)*AC118-(((D118)+(AH118)*Assumptions!$B$4+IF(H118="Yes",Assumptions!$B$6*(D118),(AH118)*Assumptions!$B$5))*(1+Assumptions!$B$7*(Assumptions!$B$8*(Assumptions!$B$21)*Assumptions!$B$9+Assumptions!$B$10))+(D118)*Assumptions!$B$11*(Assumptions!$B$21)+(AH118)*AC118*(Assumptions!$B$12+Assumptions!$B$13+IF((AH118)*AC118&gt;=Assumptions!$B$16,Assumptions!$B$17,IF((AH118)*AC118&gt;=Assumptions!$B$14,Assumptions!$B$15,0))))</f>
        <v>-4748213.60875</v>
      </c>
      <c r="AK118" s="47" t="n">
        <f aca="false">(AI118)*AC118-(((D118)+(AI118)*Assumptions!$B$4+IF(H118="Yes",Assumptions!$B$6*(D118),(AI118)*Assumptions!$B$5))*(1+Assumptions!$B$7*(Assumptions!$B$8*(IF(AI118&gt;AH118,Assumptions!$B$22,Assumptions!$B$21))*Assumptions!$B$9+Assumptions!$B$10))+(D118)*Assumptions!$B$11*(IF(AI118&gt;AH118,Assumptions!$B$22,Assumptions!$B$21))+(AI118)*AC118*(Assumptions!$B$12+Assumptions!$B$13+IF((AI118)*AC118&gt;=Assumptions!$B$16,Assumptions!$B$17,IF((AI118)*AC118&gt;=Assumptions!$B$14,Assumptions!$B$15,0))))</f>
        <v>-4885892.08425</v>
      </c>
      <c r="AL118" s="47" t="n">
        <f aca="false">Assumptions!$B$7*(O118+P118+Q118)</f>
        <v>4700881.25</v>
      </c>
    </row>
    <row r="119" customFormat="false" ht="15" hidden="false" customHeight="false" outlineLevel="0" collapsed="false">
      <c r="A119" s="40" t="n">
        <v>117</v>
      </c>
      <c r="B119" s="40" t="s">
        <v>266</v>
      </c>
      <c r="C119" s="40" t="s">
        <v>267</v>
      </c>
      <c r="D119" s="41" t="n">
        <v>1250000</v>
      </c>
      <c r="E119" s="42" t="n">
        <v>6185</v>
      </c>
      <c r="F119" s="42" t="n">
        <v>3622</v>
      </c>
      <c r="G119" s="42" t="n">
        <v>4184</v>
      </c>
      <c r="H119" s="43" t="s">
        <v>76</v>
      </c>
      <c r="I119" s="44" t="s">
        <v>268</v>
      </c>
      <c r="J119" s="45" t="n">
        <f aca="false">IF(AK119&gt;AJ119,AI119,AH119)</f>
        <v>4184</v>
      </c>
      <c r="K119" s="40" t="str">
        <f aca="false">IF(AK119&gt;AJ119,"Zoning estimate",IF(H119="Yes","Approved plans",IF(G119&gt;0,"Listing claim","110% old house")))</f>
        <v>Approved plans</v>
      </c>
      <c r="L119" s="45" t="n">
        <f aca="false">IF(AK119&gt;AJ119,IF(AI119&gt;AH119,Assumptions!$B$22,Assumptions!$B$21),Assumptions!$B$21)</f>
        <v>2</v>
      </c>
      <c r="M119" s="46" t="n">
        <f aca="false">INDEX(Assumptions!$B$32:$B$44,MATCH(AG119,Assumptions!$A$32:$A$44,0))*(1+IF(UPPER(Assumptions!$B$27)="WORST",Assumptions!$B$24,IF(UPPER(Assumptions!$B$27)="BEST",Assumptions!$B$26,Assumptions!$B$25)))</f>
        <v>990</v>
      </c>
      <c r="N119" s="47" t="n">
        <f aca="false">J119*M119</f>
        <v>4142160</v>
      </c>
      <c r="O119" s="47" t="n">
        <f aca="false">D119</f>
        <v>1250000</v>
      </c>
      <c r="P119" s="47" t="n">
        <f aca="false">J119*Assumptions!$B$4</f>
        <v>2928800</v>
      </c>
      <c r="Q119" s="47" t="n">
        <f aca="false">IF(H119="Yes",Assumptions!$B$6*(D119),(J119)*Assumptions!$B$5)</f>
        <v>62500</v>
      </c>
      <c r="R119" s="47" t="n">
        <f aca="false">AL119*(Assumptions!$B$8*L119*Assumptions!$B$9+Assumptions!$B$10)</f>
        <v>372174.075</v>
      </c>
      <c r="S119" s="47" t="n">
        <f aca="false">O119*Assumptions!$B$11*L119</f>
        <v>30000</v>
      </c>
      <c r="T119" s="47" t="n">
        <f aca="false">N119*(Assumptions!$B$12+Assumptions!$B$13)</f>
        <v>230304.096</v>
      </c>
      <c r="U119" s="47" t="n">
        <f aca="false">N119*IF(N119&gt;=Assumptions!$B$16,Assumptions!$B$17,IF(N119&gt;=Assumptions!$B$14,Assumptions!$B$15,0))</f>
        <v>0</v>
      </c>
      <c r="V119" s="48" t="n">
        <f aca="false">SUM(O119:U119)</f>
        <v>4873778.171</v>
      </c>
      <c r="W119" s="48" t="n">
        <f aca="false">N119-V119</f>
        <v>-731618.171</v>
      </c>
      <c r="X119" s="49" t="n">
        <f aca="false">IF(V119=0,0,W119/V119)</f>
        <v>-0.150113145352671</v>
      </c>
      <c r="Y119" s="47" t="n">
        <f aca="false">MAX(0,(N119/(1+Assumptions!$B$23)-(J119*(Assumptions!$B$4+IF(H119="Yes",0,Assumptions!$B$5)))*(1+(Assumptions!$B$7*(Assumptions!$B$8*L119*Assumptions!$B$9+Assumptions!$B$10)))-N119*(Assumptions!$B$12+Assumptions!$B$13+IF(N119&gt;=Assumptions!$B$16,Assumptions!$B$17,IF(N119&gt;=Assumptions!$B$14,Assumptions!$B$15,0))))/((1+IF(H119="Yes",Assumptions!$B$6,0))*(1+(Assumptions!$B$7*(Assumptions!$B$8*L119*Assumptions!$B$9+Assumptions!$B$10)))+Assumptions!$B$11*L119))</f>
        <v>159305.369109188</v>
      </c>
      <c r="Z119" s="50" t="n">
        <f aca="false">IF(Y119&lt;=0,"no price works",D119/Y119)</f>
        <v>7.84656541703406</v>
      </c>
      <c r="AA119" s="46" t="n">
        <f aca="false">INDEX(Assumptions!$B$32:$B$44,MATCH(AG119,Assumptions!$A$32:$A$44,0))*(1+Assumptions!$B$24)</f>
        <v>900</v>
      </c>
      <c r="AB119" s="47" t="n">
        <f aca="false">(J119)*AA119-(((D119)+(J119)*Assumptions!$B$4+IF(H119="Yes",Assumptions!$B$6*(D119),(J119)*Assumptions!$B$5))*(1+Assumptions!$B$7*(Assumptions!$B$8*(L119)*Assumptions!$B$9+Assumptions!$B$10))+(D119)*Assumptions!$B$11*(L119)+(J119)*AA119*(Assumptions!$B$12+Assumptions!$B$13+IF((J119)*AA119&gt;=Assumptions!$B$16,Assumptions!$B$17,IF((J119)*AA119&gt;=Assumptions!$B$14,Assumptions!$B$15,0))))</f>
        <v>-1087241.435</v>
      </c>
      <c r="AC119" s="46" t="n">
        <f aca="false">INDEX(Assumptions!$B$32:$B$44,MATCH(AG119,Assumptions!$A$32:$A$44,0))*(1+Assumptions!$B$25)</f>
        <v>990</v>
      </c>
      <c r="AD119" s="47" t="n">
        <f aca="false">(J119)*AC119-(((D119)+(J119)*Assumptions!$B$4+IF(H119="Yes",Assumptions!$B$6*(D119),(J119)*Assumptions!$B$5))*(1+Assumptions!$B$7*(Assumptions!$B$8*(L119)*Assumptions!$B$9+Assumptions!$B$10))+(D119)*Assumptions!$B$11*(L119)+(J119)*AC119*(Assumptions!$B$12+Assumptions!$B$13+IF((J119)*AC119&gt;=Assumptions!$B$16,Assumptions!$B$17,IF((J119)*AC119&gt;=Assumptions!$B$14,Assumptions!$B$15,0))))</f>
        <v>-731618.171</v>
      </c>
      <c r="AE119" s="46" t="n">
        <f aca="false">INDEX(Assumptions!$B$32:$B$44,MATCH(AG119,Assumptions!$A$32:$A$44,0))*(1+Assumptions!$B$26)</f>
        <v>1080</v>
      </c>
      <c r="AF119" s="47" t="n">
        <f aca="false">(J119)*AE119-(((D119)+(J119)*Assumptions!$B$4+IF(H119="Yes",Assumptions!$B$6*(D119),(J119)*Assumptions!$B$5))*(1+Assumptions!$B$7*(Assumptions!$B$8*(L119)*Assumptions!$B$9+Assumptions!$B$10))+(D119)*Assumptions!$B$11*(L119)+(J119)*AE119*(Assumptions!$B$12+Assumptions!$B$13+IF((J119)*AE119&gt;=Assumptions!$B$16,Assumptions!$B$17,IF((J119)*AE119&gt;=Assumptions!$B$14,Assumptions!$B$15,0))))</f>
        <v>-375994.907000001</v>
      </c>
      <c r="AG119" s="40" t="s">
        <v>269</v>
      </c>
      <c r="AH119" s="45" t="n">
        <f aca="false">IF(G119&gt;0,G119,ROUND(F119*Assumptions!$B$18,0))</f>
        <v>4184</v>
      </c>
      <c r="AI119" s="45" t="n">
        <f aca="false">IF(H119="Yes",AH119,MAX(AH119,MIN(Assumptions!$B$20,ROUND(E119*Assumptions!$B$19,0))))</f>
        <v>4184</v>
      </c>
      <c r="AJ119" s="47" t="n">
        <f aca="false">(AH119)*AC119-(((D119)+(AH119)*Assumptions!$B$4+IF(H119="Yes",Assumptions!$B$6*(D119),(AH119)*Assumptions!$B$5))*(1+Assumptions!$B$7*(Assumptions!$B$8*(Assumptions!$B$21)*Assumptions!$B$9+Assumptions!$B$10))+(D119)*Assumptions!$B$11*(Assumptions!$B$21)+(AH119)*AC119*(Assumptions!$B$12+Assumptions!$B$13+IF((AH119)*AC119&gt;=Assumptions!$B$16,Assumptions!$B$17,IF((AH119)*AC119&gt;=Assumptions!$B$14,Assumptions!$B$15,0))))</f>
        <v>-731618.171</v>
      </c>
      <c r="AK119" s="47" t="n">
        <f aca="false">(AI119)*AC119-(((D119)+(AI119)*Assumptions!$B$4+IF(H119="Yes",Assumptions!$B$6*(D119),(AI119)*Assumptions!$B$5))*(1+Assumptions!$B$7*(Assumptions!$B$8*(IF(AI119&gt;AH119,Assumptions!$B$22,Assumptions!$B$21))*Assumptions!$B$9+Assumptions!$B$10))+(D119)*Assumptions!$B$11*(IF(AI119&gt;AH119,Assumptions!$B$22,Assumptions!$B$21))+(AI119)*AC119*(Assumptions!$B$12+Assumptions!$B$13+IF((AI119)*AC119&gt;=Assumptions!$B$16,Assumptions!$B$17,IF((AI119)*AC119&gt;=Assumptions!$B$14,Assumptions!$B$15,0))))</f>
        <v>-731618.171</v>
      </c>
      <c r="AL119" s="47" t="n">
        <f aca="false">Assumptions!$B$7*(O119+P119+Q119)</f>
        <v>2756845</v>
      </c>
    </row>
    <row r="120" customFormat="false" ht="15" hidden="false" customHeight="false" outlineLevel="0" collapsed="false">
      <c r="A120" s="40" t="n">
        <v>118</v>
      </c>
      <c r="B120" s="40" t="s">
        <v>270</v>
      </c>
      <c r="C120" s="40" t="s">
        <v>255</v>
      </c>
      <c r="D120" s="41" t="n">
        <v>1749000</v>
      </c>
      <c r="E120" s="42" t="n">
        <v>10121</v>
      </c>
      <c r="F120" s="42" t="n">
        <v>5286</v>
      </c>
      <c r="G120" s="42"/>
      <c r="H120" s="43" t="s">
        <v>67</v>
      </c>
      <c r="I120" s="44"/>
      <c r="J120" s="45" t="n">
        <f aca="false">IF(AK120&gt;AJ120,AI120,AH120)</f>
        <v>5815</v>
      </c>
      <c r="K120" s="40" t="str">
        <f aca="false">IF(AK120&gt;AJ120,"Zoning estimate",IF(H120="Yes","Approved plans",IF(G120&gt;0,"Listing claim","110% old house")))</f>
        <v>110% old house</v>
      </c>
      <c r="L120" s="45" t="n">
        <f aca="false">IF(AK120&gt;AJ120,IF(AI120&gt;AH120,Assumptions!$B$22,Assumptions!$B$21),Assumptions!$B$21)</f>
        <v>2</v>
      </c>
      <c r="M120" s="46" t="n">
        <f aca="false">INDEX(Assumptions!$B$32:$B$44,MATCH(AG120,Assumptions!$A$32:$A$44,0))*(1+IF(UPPER(Assumptions!$B$27)="WORST",Assumptions!$B$24,IF(UPPER(Assumptions!$B$27)="BEST",Assumptions!$B$26,Assumptions!$B$25)))</f>
        <v>1100</v>
      </c>
      <c r="N120" s="47" t="n">
        <f aca="false">J120*M120</f>
        <v>6396500</v>
      </c>
      <c r="O120" s="47" t="n">
        <f aca="false">D120</f>
        <v>1749000</v>
      </c>
      <c r="P120" s="47" t="n">
        <f aca="false">J120*Assumptions!$B$4</f>
        <v>4070500</v>
      </c>
      <c r="Q120" s="47" t="n">
        <f aca="false">IF(H120="Yes",Assumptions!$B$6*(D120),(J120)*Assumptions!$B$5)</f>
        <v>436125</v>
      </c>
      <c r="R120" s="47" t="n">
        <f aca="false">AL120*(Assumptions!$B$8*L120*Assumptions!$B$9+Assumptions!$B$10)</f>
        <v>548931.09375</v>
      </c>
      <c r="S120" s="47" t="n">
        <f aca="false">O120*Assumptions!$B$11*L120</f>
        <v>41976</v>
      </c>
      <c r="T120" s="47" t="n">
        <f aca="false">N120*(Assumptions!$B$12+Assumptions!$B$13)</f>
        <v>355645.4</v>
      </c>
      <c r="U120" s="47" t="n">
        <f aca="false">N120*IF(N120&gt;=Assumptions!$B$16,Assumptions!$B$17,IF(N120&gt;=Assumptions!$B$14,Assumptions!$B$15,0))</f>
        <v>255860</v>
      </c>
      <c r="V120" s="48" t="n">
        <f aca="false">SUM(O120:U120)</f>
        <v>7458037.49375</v>
      </c>
      <c r="W120" s="48" t="n">
        <f aca="false">N120-V120</f>
        <v>-1061537.49375</v>
      </c>
      <c r="X120" s="49" t="n">
        <f aca="false">IF(V120=0,0,W120/V120)</f>
        <v>-0.142334695238472</v>
      </c>
      <c r="Y120" s="47" t="n">
        <f aca="false">MAX(0,(N120/(1+Assumptions!$B$23)-(J120*(Assumptions!$B$4+IF(H120="Yes",0,Assumptions!$B$5)))*(1+(Assumptions!$B$7*(Assumptions!$B$8*L120*Assumptions!$B$9+Assumptions!$B$10)))-N120*(Assumptions!$B$12+Assumptions!$B$13+IF(N120&gt;=Assumptions!$B$16,Assumptions!$B$17,IF(N120&gt;=Assumptions!$B$14,Assumptions!$B$15,0))))/((1+IF(H120="Yes",Assumptions!$B$6,0))*(1+(Assumptions!$B$7*(Assumptions!$B$8*L120*Assumptions!$B$9+Assumptions!$B$10)))+Assumptions!$B$11*L120))</f>
        <v>43703.3229534324</v>
      </c>
      <c r="Z120" s="50" t="n">
        <f aca="false">IF(Y120&lt;=0,"no price works",D120/Y120)</f>
        <v>40.0198401815722</v>
      </c>
      <c r="AA120" s="46" t="n">
        <f aca="false">INDEX(Assumptions!$B$32:$B$44,MATCH(AG120,Assumptions!$A$32:$A$44,0))*(1+Assumptions!$B$24)</f>
        <v>1000</v>
      </c>
      <c r="AB120" s="47" t="n">
        <f aca="false">(J120)*AA120-(((D120)+(J120)*Assumptions!$B$4+IF(H120="Yes",Assumptions!$B$6*(D120),(J120)*Assumptions!$B$5))*(1+Assumptions!$B$7*(Assumptions!$B$8*(L120)*Assumptions!$B$9+Assumptions!$B$10))+(D120)*Assumptions!$B$11*(L120)+(J120)*AA120*(Assumptions!$B$12+Assumptions!$B$13+IF((J120)*AA120&gt;=Assumptions!$B$16,Assumptions!$B$17,IF((J120)*AA120&gt;=Assumptions!$B$14,Assumptions!$B$15,0))))</f>
        <v>-1587446.09375</v>
      </c>
      <c r="AC120" s="46" t="n">
        <f aca="false">INDEX(Assumptions!$B$32:$B$44,MATCH(AG120,Assumptions!$A$32:$A$44,0))*(1+Assumptions!$B$25)</f>
        <v>1100</v>
      </c>
      <c r="AD120" s="47" t="n">
        <f aca="false">(J120)*AC120-(((D120)+(J120)*Assumptions!$B$4+IF(H120="Yes",Assumptions!$B$6*(D120),(J120)*Assumptions!$B$5))*(1+Assumptions!$B$7*(Assumptions!$B$8*(L120)*Assumptions!$B$9+Assumptions!$B$10))+(D120)*Assumptions!$B$11*(L120)+(J120)*AC120*(Assumptions!$B$12+Assumptions!$B$13+IF((J120)*AC120&gt;=Assumptions!$B$16,Assumptions!$B$17,IF((J120)*AC120&gt;=Assumptions!$B$14,Assumptions!$B$15,0))))</f>
        <v>-1061537.49375</v>
      </c>
      <c r="AE120" s="46" t="n">
        <f aca="false">INDEX(Assumptions!$B$32:$B$44,MATCH(AG120,Assumptions!$A$32:$A$44,0))*(1+Assumptions!$B$26)</f>
        <v>1200</v>
      </c>
      <c r="AF120" s="47" t="n">
        <f aca="false">(J120)*AE120-(((D120)+(J120)*Assumptions!$B$4+IF(H120="Yes",Assumptions!$B$6*(D120),(J120)*Assumptions!$B$5))*(1+Assumptions!$B$7*(Assumptions!$B$8*(L120)*Assumptions!$B$9+Assumptions!$B$10))+(D120)*Assumptions!$B$11*(L120)+(J120)*AE120*(Assumptions!$B$12+Assumptions!$B$13+IF((J120)*AE120&gt;=Assumptions!$B$16,Assumptions!$B$17,IF((J120)*AE120&gt;=Assumptions!$B$14,Assumptions!$B$15,0))))</f>
        <v>-535628.89375</v>
      </c>
      <c r="AG120" s="40" t="s">
        <v>257</v>
      </c>
      <c r="AH120" s="45" t="n">
        <f aca="false">IF(G120&gt;0,G120,ROUND(F120*Assumptions!$B$18,0))</f>
        <v>5815</v>
      </c>
      <c r="AI120" s="45" t="n">
        <f aca="false">IF(H120="Yes",AH120,MAX(AH120,MIN(Assumptions!$B$20,ROUND(E120*Assumptions!$B$19,0))))</f>
        <v>5815</v>
      </c>
      <c r="AJ120" s="47" t="n">
        <f aca="false">(AH120)*AC120-(((D120)+(AH120)*Assumptions!$B$4+IF(H120="Yes",Assumptions!$B$6*(D120),(AH120)*Assumptions!$B$5))*(1+Assumptions!$B$7*(Assumptions!$B$8*(Assumptions!$B$21)*Assumptions!$B$9+Assumptions!$B$10))+(D120)*Assumptions!$B$11*(Assumptions!$B$21)+(AH120)*AC120*(Assumptions!$B$12+Assumptions!$B$13+IF((AH120)*AC120&gt;=Assumptions!$B$16,Assumptions!$B$17,IF((AH120)*AC120&gt;=Assumptions!$B$14,Assumptions!$B$15,0))))</f>
        <v>-1061537.49375</v>
      </c>
      <c r="AK120" s="47" t="n">
        <f aca="false">(AI120)*AC120-(((D120)+(AI120)*Assumptions!$B$4+IF(H120="Yes",Assumptions!$B$6*(D120),(AI120)*Assumptions!$B$5))*(1+Assumptions!$B$7*(Assumptions!$B$8*(IF(AI120&gt;AH120,Assumptions!$B$22,Assumptions!$B$21))*Assumptions!$B$9+Assumptions!$B$10))+(D120)*Assumptions!$B$11*(IF(AI120&gt;AH120,Assumptions!$B$22,Assumptions!$B$21))+(AI120)*AC120*(Assumptions!$B$12+Assumptions!$B$13+IF((AI120)*AC120&gt;=Assumptions!$B$16,Assumptions!$B$17,IF((AI120)*AC120&gt;=Assumptions!$B$14,Assumptions!$B$15,0))))</f>
        <v>-1061537.49375</v>
      </c>
      <c r="AL120" s="47" t="n">
        <f aca="false">Assumptions!$B$7*(O120+P120+Q120)</f>
        <v>4066156.25</v>
      </c>
    </row>
    <row r="121" customFormat="false" ht="15" hidden="false" customHeight="false" outlineLevel="0" collapsed="false">
      <c r="A121" s="40" t="n">
        <v>119</v>
      </c>
      <c r="B121" s="40" t="s">
        <v>271</v>
      </c>
      <c r="C121" s="40" t="s">
        <v>255</v>
      </c>
      <c r="D121" s="41" t="n">
        <v>2195000</v>
      </c>
      <c r="E121" s="42" t="n">
        <v>19379</v>
      </c>
      <c r="F121" s="42" t="n">
        <v>5157</v>
      </c>
      <c r="G121" s="42"/>
      <c r="H121" s="43" t="s">
        <v>67</v>
      </c>
      <c r="I121" s="44"/>
      <c r="J121" s="45" t="n">
        <f aca="false">IF(AK121&gt;AJ121,AI121,AH121)</f>
        <v>5673</v>
      </c>
      <c r="K121" s="40" t="str">
        <f aca="false">IF(AK121&gt;AJ121,"Zoning estimate",IF(H121="Yes","Approved plans",IF(G121&gt;0,"Listing claim","110% old house")))</f>
        <v>110% old house</v>
      </c>
      <c r="L121" s="45" t="n">
        <f aca="false">IF(AK121&gt;AJ121,IF(AI121&gt;AH121,Assumptions!$B$22,Assumptions!$B$21),Assumptions!$B$21)</f>
        <v>2</v>
      </c>
      <c r="M121" s="46" t="n">
        <f aca="false">INDEX(Assumptions!$B$32:$B$44,MATCH(AG121,Assumptions!$A$32:$A$44,0))*(1+IF(UPPER(Assumptions!$B$27)="WORST",Assumptions!$B$24,IF(UPPER(Assumptions!$B$27)="BEST",Assumptions!$B$26,Assumptions!$B$25)))</f>
        <v>1100</v>
      </c>
      <c r="N121" s="47" t="n">
        <f aca="false">J121*M121</f>
        <v>6240300</v>
      </c>
      <c r="O121" s="47" t="n">
        <f aca="false">D121</f>
        <v>2195000</v>
      </c>
      <c r="P121" s="47" t="n">
        <f aca="false">J121*Assumptions!$B$4</f>
        <v>3971100</v>
      </c>
      <c r="Q121" s="47" t="n">
        <f aca="false">IF(H121="Yes",Assumptions!$B$6*(D121),(J121)*Assumptions!$B$5)</f>
        <v>425475</v>
      </c>
      <c r="R121" s="47" t="n">
        <f aca="false">AL121*(Assumptions!$B$8*L121*Assumptions!$B$9+Assumptions!$B$10)</f>
        <v>578410.70625</v>
      </c>
      <c r="S121" s="47" t="n">
        <f aca="false">O121*Assumptions!$B$11*L121</f>
        <v>52680</v>
      </c>
      <c r="T121" s="47" t="n">
        <f aca="false">N121*(Assumptions!$B$12+Assumptions!$B$13)</f>
        <v>346960.68</v>
      </c>
      <c r="U121" s="47" t="n">
        <f aca="false">N121*IF(N121&gt;=Assumptions!$B$16,Assumptions!$B$17,IF(N121&gt;=Assumptions!$B$14,Assumptions!$B$15,0))</f>
        <v>249612</v>
      </c>
      <c r="V121" s="48" t="n">
        <f aca="false">SUM(O121:U121)</f>
        <v>7819238.38625</v>
      </c>
      <c r="W121" s="48" t="n">
        <f aca="false">N121-V121</f>
        <v>-1578938.38625</v>
      </c>
      <c r="X121" s="49" t="n">
        <f aca="false">IF(V121=0,0,W121/V121)</f>
        <v>-0.201929946147509</v>
      </c>
      <c r="Y121" s="47" t="n">
        <f aca="false">MAX(0,(N121/(1+Assumptions!$B$23)-(J121*(Assumptions!$B$4+IF(H121="Yes",0,Assumptions!$B$5)))*(1+(Assumptions!$B$7*(Assumptions!$B$8*L121*Assumptions!$B$9+Assumptions!$B$10)))-N121*(Assumptions!$B$12+Assumptions!$B$13+IF(N121&gt;=Assumptions!$B$16,Assumptions!$B$17,IF(N121&gt;=Assumptions!$B$14,Assumptions!$B$15,0))))/((1+IF(H121="Yes",Assumptions!$B$6,0))*(1+(Assumptions!$B$7*(Assumptions!$B$8*L121*Assumptions!$B$9+Assumptions!$B$10)))+Assumptions!$B$11*L121))</f>
        <v>42636.1050928331</v>
      </c>
      <c r="Z121" s="50" t="n">
        <f aca="false">IF(Y121&lt;=0,"no price works",D121/Y121)</f>
        <v>51.4821885165343</v>
      </c>
      <c r="AA121" s="46" t="n">
        <f aca="false">INDEX(Assumptions!$B$32:$B$44,MATCH(AG121,Assumptions!$A$32:$A$44,0))*(1+Assumptions!$B$24)</f>
        <v>1000</v>
      </c>
      <c r="AB121" s="47" t="n">
        <f aca="false">(J121)*AA121-(((D121)+(J121)*Assumptions!$B$4+IF(H121="Yes",Assumptions!$B$6*(D121),(J121)*Assumptions!$B$5))*(1+Assumptions!$B$7*(Assumptions!$B$8*(L121)*Assumptions!$B$9+Assumptions!$B$10))+(D121)*Assumptions!$B$11*(L121)+(J121)*AA121*(Assumptions!$B$12+Assumptions!$B$13+IF((J121)*AA121&gt;=Assumptions!$B$16,Assumptions!$B$17,IF((J121)*AA121&gt;=Assumptions!$B$14,Assumptions!$B$15,0))))</f>
        <v>-2092004.50625</v>
      </c>
      <c r="AC121" s="46" t="n">
        <f aca="false">INDEX(Assumptions!$B$32:$B$44,MATCH(AG121,Assumptions!$A$32:$A$44,0))*(1+Assumptions!$B$25)</f>
        <v>1100</v>
      </c>
      <c r="AD121" s="47" t="n">
        <f aca="false">(J121)*AC121-(((D121)+(J121)*Assumptions!$B$4+IF(H121="Yes",Assumptions!$B$6*(D121),(J121)*Assumptions!$B$5))*(1+Assumptions!$B$7*(Assumptions!$B$8*(L121)*Assumptions!$B$9+Assumptions!$B$10))+(D121)*Assumptions!$B$11*(L121)+(J121)*AC121*(Assumptions!$B$12+Assumptions!$B$13+IF((J121)*AC121&gt;=Assumptions!$B$16,Assumptions!$B$17,IF((J121)*AC121&gt;=Assumptions!$B$14,Assumptions!$B$15,0))))</f>
        <v>-1578938.38625</v>
      </c>
      <c r="AE121" s="46" t="n">
        <f aca="false">INDEX(Assumptions!$B$32:$B$44,MATCH(AG121,Assumptions!$A$32:$A$44,0))*(1+Assumptions!$B$26)</f>
        <v>1200</v>
      </c>
      <c r="AF121" s="47" t="n">
        <f aca="false">(J121)*AE121-(((D121)+(J121)*Assumptions!$B$4+IF(H121="Yes",Assumptions!$B$6*(D121),(J121)*Assumptions!$B$5))*(1+Assumptions!$B$7*(Assumptions!$B$8*(L121)*Assumptions!$B$9+Assumptions!$B$10))+(D121)*Assumptions!$B$11*(L121)+(J121)*AE121*(Assumptions!$B$12+Assumptions!$B$13+IF((J121)*AE121&gt;=Assumptions!$B$16,Assumptions!$B$17,IF((J121)*AE121&gt;=Assumptions!$B$14,Assumptions!$B$15,0))))</f>
        <v>-1065872.26625</v>
      </c>
      <c r="AG121" s="40" t="s">
        <v>257</v>
      </c>
      <c r="AH121" s="45" t="n">
        <f aca="false">IF(G121&gt;0,G121,ROUND(F121*Assumptions!$B$18,0))</f>
        <v>5673</v>
      </c>
      <c r="AI121" s="45" t="n">
        <f aca="false">IF(H121="Yes",AH121,MAX(AH121,MIN(Assumptions!$B$20,ROUND(E121*Assumptions!$B$19,0))))</f>
        <v>7752</v>
      </c>
      <c r="AJ121" s="47" t="n">
        <f aca="false">(AH121)*AC121-(((D121)+(AH121)*Assumptions!$B$4+IF(H121="Yes",Assumptions!$B$6*(D121),(AH121)*Assumptions!$B$5))*(1+Assumptions!$B$7*(Assumptions!$B$8*(Assumptions!$B$21)*Assumptions!$B$9+Assumptions!$B$10))+(D121)*Assumptions!$B$11*(Assumptions!$B$21)+(AH121)*AC121*(Assumptions!$B$12+Assumptions!$B$13+IF((AH121)*AC121&gt;=Assumptions!$B$16,Assumptions!$B$17,IF((AH121)*AC121&gt;=Assumptions!$B$14,Assumptions!$B$15,0))))</f>
        <v>-1578938.38625</v>
      </c>
      <c r="AK121" s="47" t="n">
        <f aca="false">(AI121)*AC121-(((D121)+(AI121)*Assumptions!$B$4+IF(H121="Yes",Assumptions!$B$6*(D121),(AI121)*Assumptions!$B$5))*(1+Assumptions!$B$7*(Assumptions!$B$8*(IF(AI121&gt;AH121,Assumptions!$B$22,Assumptions!$B$21))*Assumptions!$B$9+Assumptions!$B$10))+(D121)*Assumptions!$B$11*(IF(AI121&gt;AH121,Assumptions!$B$22,Assumptions!$B$21))+(AI121)*AC121*(Assumptions!$B$12+Assumptions!$B$13+IF((AI121)*AC121&gt;=Assumptions!$B$16,Assumptions!$B$17,IF((AI121)*AC121&gt;=Assumptions!$B$14,Assumptions!$B$15,0))))</f>
        <v>-1609525.22</v>
      </c>
      <c r="AL121" s="47" t="n">
        <f aca="false">Assumptions!$B$7*(O121+P121+Q121)</f>
        <v>4284523.75</v>
      </c>
    </row>
    <row r="122" customFormat="false" ht="15" hidden="false" customHeight="false" outlineLevel="0" collapsed="false">
      <c r="A122" s="40" t="n">
        <v>120</v>
      </c>
      <c r="B122" s="40" t="s">
        <v>272</v>
      </c>
      <c r="C122" s="40" t="s">
        <v>273</v>
      </c>
      <c r="D122" s="41" t="n">
        <v>2499000</v>
      </c>
      <c r="E122" s="42" t="n">
        <v>19166</v>
      </c>
      <c r="F122" s="42" t="n">
        <v>6463</v>
      </c>
      <c r="G122" s="42"/>
      <c r="H122" s="43" t="s">
        <v>67</v>
      </c>
      <c r="I122" s="44"/>
      <c r="J122" s="45" t="n">
        <f aca="false">IF(AK122&gt;AJ122,AI122,AH122)</f>
        <v>7109</v>
      </c>
      <c r="K122" s="40" t="str">
        <f aca="false">IF(AK122&gt;AJ122,"Zoning estimate",IF(H122="Yes","Approved plans",IF(G122&gt;0,"Listing claim","110% old house")))</f>
        <v>110% old house</v>
      </c>
      <c r="L122" s="45" t="n">
        <f aca="false">IF(AK122&gt;AJ122,IF(AI122&gt;AH122,Assumptions!$B$22,Assumptions!$B$21),Assumptions!$B$21)</f>
        <v>2</v>
      </c>
      <c r="M122" s="46" t="n">
        <f aca="false">INDEX(Assumptions!$B$32:$B$44,MATCH(AG122,Assumptions!$A$32:$A$44,0))*(1+IF(UPPER(Assumptions!$B$27)="WORST",Assumptions!$B$24,IF(UPPER(Assumptions!$B$27)="BEST",Assumptions!$B$26,Assumptions!$B$25)))</f>
        <v>990</v>
      </c>
      <c r="N122" s="47" t="n">
        <f aca="false">J122*M122</f>
        <v>7037910</v>
      </c>
      <c r="O122" s="47" t="n">
        <f aca="false">D122</f>
        <v>2499000</v>
      </c>
      <c r="P122" s="47" t="n">
        <f aca="false">J122*Assumptions!$B$4</f>
        <v>4976300</v>
      </c>
      <c r="Q122" s="47" t="n">
        <f aca="false">IF(H122="Yes",Assumptions!$B$6*(D122),(J122)*Assumptions!$B$5)</f>
        <v>533175</v>
      </c>
      <c r="R122" s="47" t="n">
        <f aca="false">AL122*(Assumptions!$B$8*L122*Assumptions!$B$9+Assumptions!$B$10)</f>
        <v>702743.68125</v>
      </c>
      <c r="S122" s="47" t="n">
        <f aca="false">O122*Assumptions!$B$11*L122</f>
        <v>59976</v>
      </c>
      <c r="T122" s="47" t="n">
        <f aca="false">N122*(Assumptions!$B$12+Assumptions!$B$13)</f>
        <v>391307.796</v>
      </c>
      <c r="U122" s="47" t="n">
        <f aca="false">N122*IF(N122&gt;=Assumptions!$B$16,Assumptions!$B$17,IF(N122&gt;=Assumptions!$B$14,Assumptions!$B$15,0))</f>
        <v>281516.4</v>
      </c>
      <c r="V122" s="48" t="n">
        <f aca="false">SUM(O122:U122)</f>
        <v>9444018.87725</v>
      </c>
      <c r="W122" s="48" t="n">
        <f aca="false">N122-V122</f>
        <v>-2406108.87725</v>
      </c>
      <c r="X122" s="49" t="n">
        <f aca="false">IF(V122=0,0,W122/V122)</f>
        <v>-0.254775949574408</v>
      </c>
      <c r="Y122" s="47" t="n">
        <f aca="false">MAX(0,(N122/(1+Assumptions!$B$23)-(J122*(Assumptions!$B$4+IF(H122="Yes",0,Assumptions!$B$5)))*(1+(Assumptions!$B$7*(Assumptions!$B$8*L122*Assumptions!$B$9+Assumptions!$B$10)))-N122*(Assumptions!$B$12+Assumptions!$B$13+IF(N122&gt;=Assumptions!$B$16,Assumptions!$B$17,IF(N122&gt;=Assumptions!$B$14,Assumptions!$B$15,0))))/((1+IF(H122="Yes",Assumptions!$B$6,0))*(1+(Assumptions!$B$7*(Assumptions!$B$8*L122*Assumptions!$B$9+Assumptions!$B$10)))+Assumptions!$B$11*L122))</f>
        <v>0</v>
      </c>
      <c r="Z122" s="50" t="str">
        <f aca="false">IF(Y122&lt;=0,"no price works",D122/Y122)</f>
        <v>no price works</v>
      </c>
      <c r="AA122" s="46" t="n">
        <f aca="false">INDEX(Assumptions!$B$32:$B$44,MATCH(AG122,Assumptions!$A$32:$A$44,0))*(1+Assumptions!$B$24)</f>
        <v>900</v>
      </c>
      <c r="AB122" s="47" t="n">
        <f aca="false">(J122)*AA122-(((D122)+(J122)*Assumptions!$B$4+IF(H122="Yes",Assumptions!$B$6*(D122),(J122)*Assumptions!$B$5))*(1+Assumptions!$B$7*(Assumptions!$B$8*(L122)*Assumptions!$B$9+Assumptions!$B$10))+(D122)*Assumptions!$B$11*(L122)+(J122)*AA122*(Assumptions!$B$12+Assumptions!$B$13+IF((J122)*AA122&gt;=Assumptions!$B$16,Assumptions!$B$17,IF((J122)*AA122&gt;=Assumptions!$B$14,Assumptions!$B$15,0))))</f>
        <v>-2984753.04125</v>
      </c>
      <c r="AC122" s="46" t="n">
        <f aca="false">INDEX(Assumptions!$B$32:$B$44,MATCH(AG122,Assumptions!$A$32:$A$44,0))*(1+Assumptions!$B$25)</f>
        <v>990</v>
      </c>
      <c r="AD122" s="47" t="n">
        <f aca="false">(J122)*AC122-(((D122)+(J122)*Assumptions!$B$4+IF(H122="Yes",Assumptions!$B$6*(D122),(J122)*Assumptions!$B$5))*(1+Assumptions!$B$7*(Assumptions!$B$8*(L122)*Assumptions!$B$9+Assumptions!$B$10))+(D122)*Assumptions!$B$11*(L122)+(J122)*AC122*(Assumptions!$B$12+Assumptions!$B$13+IF((J122)*AC122&gt;=Assumptions!$B$16,Assumptions!$B$17,IF((J122)*AC122&gt;=Assumptions!$B$14,Assumptions!$B$15,0))))</f>
        <v>-2406108.87725</v>
      </c>
      <c r="AE122" s="46" t="n">
        <f aca="false">INDEX(Assumptions!$B$32:$B$44,MATCH(AG122,Assumptions!$A$32:$A$44,0))*(1+Assumptions!$B$26)</f>
        <v>1080</v>
      </c>
      <c r="AF122" s="47" t="n">
        <f aca="false">(J122)*AE122-(((D122)+(J122)*Assumptions!$B$4+IF(H122="Yes",Assumptions!$B$6*(D122),(J122)*Assumptions!$B$5))*(1+Assumptions!$B$7*(Assumptions!$B$8*(L122)*Assumptions!$B$9+Assumptions!$B$10))+(D122)*Assumptions!$B$11*(L122)+(J122)*AE122*(Assumptions!$B$12+Assumptions!$B$13+IF((J122)*AE122&gt;=Assumptions!$B$16,Assumptions!$B$17,IF((J122)*AE122&gt;=Assumptions!$B$14,Assumptions!$B$15,0))))</f>
        <v>-1827464.71325</v>
      </c>
      <c r="AG122" s="40" t="s">
        <v>274</v>
      </c>
      <c r="AH122" s="45" t="n">
        <f aca="false">IF(G122&gt;0,G122,ROUND(F122*Assumptions!$B$18,0))</f>
        <v>7109</v>
      </c>
      <c r="AI122" s="45" t="n">
        <f aca="false">IF(H122="Yes",AH122,MAX(AH122,MIN(Assumptions!$B$20,ROUND(E122*Assumptions!$B$19,0))))</f>
        <v>7666</v>
      </c>
      <c r="AJ122" s="47" t="n">
        <f aca="false">(AH122)*AC122-(((D122)+(AH122)*Assumptions!$B$4+IF(H122="Yes",Assumptions!$B$6*(D122),(AH122)*Assumptions!$B$5))*(1+Assumptions!$B$7*(Assumptions!$B$8*(Assumptions!$B$21)*Assumptions!$B$9+Assumptions!$B$10))+(D122)*Assumptions!$B$11*(Assumptions!$B$21)+(AH122)*AC122*(Assumptions!$B$12+Assumptions!$B$13+IF((AH122)*AC122&gt;=Assumptions!$B$16,Assumptions!$B$17,IF((AH122)*AC122&gt;=Assumptions!$B$14,Assumptions!$B$15,0))))</f>
        <v>-2406108.87725</v>
      </c>
      <c r="AK122" s="47" t="n">
        <f aca="false">(AI122)*AC122-(((D122)+(AI122)*Assumptions!$B$4+IF(H122="Yes",Assumptions!$B$6*(D122),(AI122)*Assumptions!$B$5))*(1+Assumptions!$B$7*(Assumptions!$B$8*(IF(AI122&gt;AH122,Assumptions!$B$22,Assumptions!$B$21))*Assumptions!$B$9+Assumptions!$B$10))+(D122)*Assumptions!$B$11*(IF(AI122&gt;AH122,Assumptions!$B$22,Assumptions!$B$21))+(AI122)*AC122*(Assumptions!$B$12+Assumptions!$B$13+IF((AI122)*AC122&gt;=Assumptions!$B$16,Assumptions!$B$17,IF((AI122)*AC122&gt;=Assumptions!$B$14,Assumptions!$B$15,0))))</f>
        <v>-2736103.9165</v>
      </c>
      <c r="AL122" s="47" t="n">
        <f aca="false">Assumptions!$B$7*(O122+P122+Q122)</f>
        <v>5205508.75</v>
      </c>
    </row>
    <row r="123" customFormat="false" ht="15" hidden="false" customHeight="false" outlineLevel="0" collapsed="false">
      <c r="A123" s="40" t="n">
        <v>121</v>
      </c>
      <c r="B123" s="40" t="s">
        <v>275</v>
      </c>
      <c r="C123" s="40" t="s">
        <v>273</v>
      </c>
      <c r="D123" s="41" t="n">
        <v>1825000</v>
      </c>
      <c r="E123" s="42" t="n">
        <v>16685</v>
      </c>
      <c r="F123" s="42" t="n">
        <v>4477</v>
      </c>
      <c r="G123" s="42"/>
      <c r="H123" s="43" t="s">
        <v>67</v>
      </c>
      <c r="I123" s="44"/>
      <c r="J123" s="45" t="n">
        <f aca="false">IF(AK123&gt;AJ123,AI123,AH123)</f>
        <v>4925</v>
      </c>
      <c r="K123" s="40" t="str">
        <f aca="false">IF(AK123&gt;AJ123,"Zoning estimate",IF(H123="Yes","Approved plans",IF(G123&gt;0,"Listing claim","110% old house")))</f>
        <v>110% old house</v>
      </c>
      <c r="L123" s="45" t="n">
        <f aca="false">IF(AK123&gt;AJ123,IF(AI123&gt;AH123,Assumptions!$B$22,Assumptions!$B$21),Assumptions!$B$21)</f>
        <v>2</v>
      </c>
      <c r="M123" s="46" t="n">
        <f aca="false">INDEX(Assumptions!$B$32:$B$44,MATCH(AG123,Assumptions!$A$32:$A$44,0))*(1+IF(UPPER(Assumptions!$B$27)="WORST",Assumptions!$B$24,IF(UPPER(Assumptions!$B$27)="BEST",Assumptions!$B$26,Assumptions!$B$25)))</f>
        <v>990</v>
      </c>
      <c r="N123" s="47" t="n">
        <f aca="false">J123*M123</f>
        <v>4875750</v>
      </c>
      <c r="O123" s="47" t="n">
        <f aca="false">D123</f>
        <v>1825000</v>
      </c>
      <c r="P123" s="47" t="n">
        <f aca="false">J123*Assumptions!$B$4</f>
        <v>3447500</v>
      </c>
      <c r="Q123" s="47" t="n">
        <f aca="false">IF(H123="Yes",Assumptions!$B$6*(D123),(J123)*Assumptions!$B$5)</f>
        <v>369375</v>
      </c>
      <c r="R123" s="47" t="n">
        <f aca="false">AL123*(Assumptions!$B$8*L123*Assumptions!$B$9+Assumptions!$B$10)</f>
        <v>495074.53125</v>
      </c>
      <c r="S123" s="47" t="n">
        <f aca="false">O123*Assumptions!$B$11*L123</f>
        <v>43800</v>
      </c>
      <c r="T123" s="47" t="n">
        <f aca="false">N123*(Assumptions!$B$12+Assumptions!$B$13)</f>
        <v>271091.7</v>
      </c>
      <c r="U123" s="47" t="n">
        <f aca="false">N123*IF(N123&gt;=Assumptions!$B$16,Assumptions!$B$17,IF(N123&gt;=Assumptions!$B$14,Assumptions!$B$15,0))</f>
        <v>0</v>
      </c>
      <c r="V123" s="48" t="n">
        <f aca="false">SUM(O123:U123)</f>
        <v>6451841.23125</v>
      </c>
      <c r="W123" s="48" t="n">
        <f aca="false">N123-V123</f>
        <v>-1576091.23125</v>
      </c>
      <c r="X123" s="49" t="n">
        <f aca="false">IF(V123=0,0,W123/V123)</f>
        <v>-0.244285495373953</v>
      </c>
      <c r="Y123" s="47" t="n">
        <f aca="false">MAX(0,(N123/(1+Assumptions!$B$23)-(J123*(Assumptions!$B$4+IF(H123="Yes",0,Assumptions!$B$5)))*(1+(Assumptions!$B$7*(Assumptions!$B$8*L123*Assumptions!$B$9+Assumptions!$B$10)))-N123*(Assumptions!$B$12+Assumptions!$B$13+IF(N123&gt;=Assumptions!$B$16,Assumptions!$B$17,IF(N123&gt;=Assumptions!$B$14,Assumptions!$B$15,0))))/((1+IF(H123="Yes",Assumptions!$B$6,0))*(1+(Assumptions!$B$7*(Assumptions!$B$8*L123*Assumptions!$B$9+Assumptions!$B$10)))+Assumptions!$B$11*L123))</f>
        <v>0</v>
      </c>
      <c r="Z123" s="50" t="str">
        <f aca="false">IF(Y123&lt;=0,"no price works",D123/Y123)</f>
        <v>no price works</v>
      </c>
      <c r="AA123" s="46" t="n">
        <f aca="false">INDEX(Assumptions!$B$32:$B$44,MATCH(AG123,Assumptions!$A$32:$A$44,0))*(1+Assumptions!$B$24)</f>
        <v>900</v>
      </c>
      <c r="AB123" s="47" t="n">
        <f aca="false">(J123)*AA123-(((D123)+(J123)*Assumptions!$B$4+IF(H123="Yes",Assumptions!$B$6*(D123),(J123)*Assumptions!$B$5))*(1+Assumptions!$B$7*(Assumptions!$B$8*(L123)*Assumptions!$B$9+Assumptions!$B$10))+(D123)*Assumptions!$B$11*(L123)+(J123)*AA123*(Assumptions!$B$12+Assumptions!$B$13+IF((J123)*AA123&gt;=Assumptions!$B$16,Assumptions!$B$17,IF((J123)*AA123&gt;=Assumptions!$B$14,Assumptions!$B$15,0))))</f>
        <v>-1994696.53125</v>
      </c>
      <c r="AC123" s="46" t="n">
        <f aca="false">INDEX(Assumptions!$B$32:$B$44,MATCH(AG123,Assumptions!$A$32:$A$44,0))*(1+Assumptions!$B$25)</f>
        <v>990</v>
      </c>
      <c r="AD123" s="47" t="n">
        <f aca="false">(J123)*AC123-(((D123)+(J123)*Assumptions!$B$4+IF(H123="Yes",Assumptions!$B$6*(D123),(J123)*Assumptions!$B$5))*(1+Assumptions!$B$7*(Assumptions!$B$8*(L123)*Assumptions!$B$9+Assumptions!$B$10))+(D123)*Assumptions!$B$11*(L123)+(J123)*AC123*(Assumptions!$B$12+Assumptions!$B$13+IF((J123)*AC123&gt;=Assumptions!$B$16,Assumptions!$B$17,IF((J123)*AC123&gt;=Assumptions!$B$14,Assumptions!$B$15,0))))</f>
        <v>-1576091.23125</v>
      </c>
      <c r="AE123" s="46" t="n">
        <f aca="false">INDEX(Assumptions!$B$32:$B$44,MATCH(AG123,Assumptions!$A$32:$A$44,0))*(1+Assumptions!$B$26)</f>
        <v>1080</v>
      </c>
      <c r="AF123" s="47" t="n">
        <f aca="false">(J123)*AE123-(((D123)+(J123)*Assumptions!$B$4+IF(H123="Yes",Assumptions!$B$6*(D123),(J123)*Assumptions!$B$5))*(1+Assumptions!$B$7*(Assumptions!$B$8*(L123)*Assumptions!$B$9+Assumptions!$B$10))+(D123)*Assumptions!$B$11*(L123)+(J123)*AE123*(Assumptions!$B$12+Assumptions!$B$13+IF((J123)*AE123&gt;=Assumptions!$B$16,Assumptions!$B$17,IF((J123)*AE123&gt;=Assumptions!$B$14,Assumptions!$B$15,0))))</f>
        <v>-1157485.93125</v>
      </c>
      <c r="AG123" s="40" t="s">
        <v>274</v>
      </c>
      <c r="AH123" s="45" t="n">
        <f aca="false">IF(G123&gt;0,G123,ROUND(F123*Assumptions!$B$18,0))</f>
        <v>4925</v>
      </c>
      <c r="AI123" s="45" t="n">
        <f aca="false">IF(H123="Yes",AH123,MAX(AH123,MIN(Assumptions!$B$20,ROUND(E123*Assumptions!$B$19,0))))</f>
        <v>6674</v>
      </c>
      <c r="AJ123" s="47" t="n">
        <f aca="false">(AH123)*AC123-(((D123)+(AH123)*Assumptions!$B$4+IF(H123="Yes",Assumptions!$B$6*(D123),(AH123)*Assumptions!$B$5))*(1+Assumptions!$B$7*(Assumptions!$B$8*(Assumptions!$B$21)*Assumptions!$B$9+Assumptions!$B$10))+(D123)*Assumptions!$B$11*(Assumptions!$B$21)+(AH123)*AC123*(Assumptions!$B$12+Assumptions!$B$13+IF((AH123)*AC123&gt;=Assumptions!$B$16,Assumptions!$B$17,IF((AH123)*AC123&gt;=Assumptions!$B$14,Assumptions!$B$15,0))))</f>
        <v>-1576091.23125</v>
      </c>
      <c r="AK123" s="47" t="n">
        <f aca="false">(AI123)*AC123-(((D123)+(AI123)*Assumptions!$B$4+IF(H123="Yes",Assumptions!$B$6*(D123),(AI123)*Assumptions!$B$5))*(1+Assumptions!$B$7*(Assumptions!$B$8*(IF(AI123&gt;AH123,Assumptions!$B$22,Assumptions!$B$21))*Assumptions!$B$9+Assumptions!$B$10))+(D123)*Assumptions!$B$11*(IF(AI123&gt;AH123,Assumptions!$B$22,Assumptions!$B$21))+(AI123)*AC123*(Assumptions!$B$12+Assumptions!$B$13+IF((AI123)*AC123&gt;=Assumptions!$B$16,Assumptions!$B$17,IF((AI123)*AC123&gt;=Assumptions!$B$14,Assumptions!$B$15,0))))</f>
        <v>-1974358.1685</v>
      </c>
      <c r="AL123" s="47" t="n">
        <f aca="false">Assumptions!$B$7*(O123+P123+Q123)</f>
        <v>3667218.75</v>
      </c>
    </row>
    <row r="124" customFormat="false" ht="15" hidden="false" customHeight="false" outlineLevel="0" collapsed="false">
      <c r="A124" s="40" t="n">
        <v>122</v>
      </c>
      <c r="B124" s="40" t="s">
        <v>276</v>
      </c>
      <c r="C124" s="40" t="s">
        <v>273</v>
      </c>
      <c r="D124" s="41" t="n">
        <v>1650000</v>
      </c>
      <c r="E124" s="42" t="n">
        <v>19418</v>
      </c>
      <c r="F124" s="42" t="n">
        <v>5708</v>
      </c>
      <c r="G124" s="42"/>
      <c r="H124" s="43" t="s">
        <v>67</v>
      </c>
      <c r="I124" s="44"/>
      <c r="J124" s="45" t="n">
        <f aca="false">IF(AK124&gt;AJ124,AI124,AH124)</f>
        <v>6279</v>
      </c>
      <c r="K124" s="40" t="str">
        <f aca="false">IF(AK124&gt;AJ124,"Zoning estimate",IF(H124="Yes","Approved plans",IF(G124&gt;0,"Listing claim","110% old house")))</f>
        <v>110% old house</v>
      </c>
      <c r="L124" s="45" t="n">
        <f aca="false">IF(AK124&gt;AJ124,IF(AI124&gt;AH124,Assumptions!$B$22,Assumptions!$B$21),Assumptions!$B$21)</f>
        <v>2</v>
      </c>
      <c r="M124" s="46" t="n">
        <f aca="false">INDEX(Assumptions!$B$32:$B$44,MATCH(AG124,Assumptions!$A$32:$A$44,0))*(1+IF(UPPER(Assumptions!$B$27)="WORST",Assumptions!$B$24,IF(UPPER(Assumptions!$B$27)="BEST",Assumptions!$B$26,Assumptions!$B$25)))</f>
        <v>990</v>
      </c>
      <c r="N124" s="47" t="n">
        <f aca="false">J124*M124</f>
        <v>6216210</v>
      </c>
      <c r="O124" s="47" t="n">
        <f aca="false">D124</f>
        <v>1650000</v>
      </c>
      <c r="P124" s="47" t="n">
        <f aca="false">J124*Assumptions!$B$4</f>
        <v>4395300</v>
      </c>
      <c r="Q124" s="47" t="n">
        <f aca="false">IF(H124="Yes",Assumptions!$B$6*(D124),(J124)*Assumptions!$B$5)</f>
        <v>470925</v>
      </c>
      <c r="R124" s="47" t="n">
        <f aca="false">AL124*(Assumptions!$B$8*L124*Assumptions!$B$9+Assumptions!$B$10)</f>
        <v>571798.74375</v>
      </c>
      <c r="S124" s="47" t="n">
        <f aca="false">O124*Assumptions!$B$11*L124</f>
        <v>39600</v>
      </c>
      <c r="T124" s="47" t="n">
        <f aca="false">N124*(Assumptions!$B$12+Assumptions!$B$13)</f>
        <v>345621.276</v>
      </c>
      <c r="U124" s="47" t="n">
        <f aca="false">N124*IF(N124&gt;=Assumptions!$B$16,Assumptions!$B$17,IF(N124&gt;=Assumptions!$B$14,Assumptions!$B$15,0))</f>
        <v>248648.4</v>
      </c>
      <c r="V124" s="48" t="n">
        <f aca="false">SUM(O124:U124)</f>
        <v>7721893.41975</v>
      </c>
      <c r="W124" s="48" t="n">
        <f aca="false">N124-V124</f>
        <v>-1505683.41975</v>
      </c>
      <c r="X124" s="49" t="n">
        <f aca="false">IF(V124=0,0,W124/V124)</f>
        <v>-0.194988889110923</v>
      </c>
      <c r="Y124" s="47" t="n">
        <f aca="false">MAX(0,(N124/(1+Assumptions!$B$23)-(J124*(Assumptions!$B$4+IF(H124="Yes",0,Assumptions!$B$5)))*(1+(Assumptions!$B$7*(Assumptions!$B$8*L124*Assumptions!$B$9+Assumptions!$B$10)))-N124*(Assumptions!$B$12+Assumptions!$B$13+IF(N124&gt;=Assumptions!$B$16,Assumptions!$B$17,IF(N124&gt;=Assumptions!$B$14,Assumptions!$B$15,0))))/((1+IF(H124="Yes",Assumptions!$B$6,0))*(1+(Assumptions!$B$7*(Assumptions!$B$8*L124*Assumptions!$B$9+Assumptions!$B$10)))+Assumptions!$B$11*L124))</f>
        <v>0</v>
      </c>
      <c r="Z124" s="50" t="str">
        <f aca="false">IF(Y124&lt;=0,"no price works",D124/Y124)</f>
        <v>no price works</v>
      </c>
      <c r="AA124" s="46" t="n">
        <f aca="false">INDEX(Assumptions!$B$32:$B$44,MATCH(AG124,Assumptions!$A$32:$A$44,0))*(1+Assumptions!$B$24)</f>
        <v>900</v>
      </c>
      <c r="AB124" s="47" t="n">
        <f aca="false">(J124)*AA124-(((D124)+(J124)*Assumptions!$B$4+IF(H124="Yes",Assumptions!$B$6*(D124),(J124)*Assumptions!$B$5))*(1+Assumptions!$B$7*(Assumptions!$B$8*(L124)*Assumptions!$B$9+Assumptions!$B$10))+(D124)*Assumptions!$B$11*(L124)+(J124)*AA124*(Assumptions!$B$12+Assumptions!$B$13+IF((J124)*AA124&gt;=Assumptions!$B$16,Assumptions!$B$17,IF((J124)*AA124&gt;=Assumptions!$B$14,Assumptions!$B$15,0))))</f>
        <v>-2016768.90375</v>
      </c>
      <c r="AC124" s="46" t="n">
        <f aca="false">INDEX(Assumptions!$B$32:$B$44,MATCH(AG124,Assumptions!$A$32:$A$44,0))*(1+Assumptions!$B$25)</f>
        <v>990</v>
      </c>
      <c r="AD124" s="47" t="n">
        <f aca="false">(J124)*AC124-(((D124)+(J124)*Assumptions!$B$4+IF(H124="Yes",Assumptions!$B$6*(D124),(J124)*Assumptions!$B$5))*(1+Assumptions!$B$7*(Assumptions!$B$8*(L124)*Assumptions!$B$9+Assumptions!$B$10))+(D124)*Assumptions!$B$11*(L124)+(J124)*AC124*(Assumptions!$B$12+Assumptions!$B$13+IF((J124)*AC124&gt;=Assumptions!$B$16,Assumptions!$B$17,IF((J124)*AC124&gt;=Assumptions!$B$14,Assumptions!$B$15,0))))</f>
        <v>-1505683.41975</v>
      </c>
      <c r="AE124" s="46" t="n">
        <f aca="false">INDEX(Assumptions!$B$32:$B$44,MATCH(AG124,Assumptions!$A$32:$A$44,0))*(1+Assumptions!$B$26)</f>
        <v>1080</v>
      </c>
      <c r="AF124" s="47" t="n">
        <f aca="false">(J124)*AE124-(((D124)+(J124)*Assumptions!$B$4+IF(H124="Yes",Assumptions!$B$6*(D124),(J124)*Assumptions!$B$5))*(1+Assumptions!$B$7*(Assumptions!$B$8*(L124)*Assumptions!$B$9+Assumptions!$B$10))+(D124)*Assumptions!$B$11*(L124)+(J124)*AE124*(Assumptions!$B$12+Assumptions!$B$13+IF((J124)*AE124&gt;=Assumptions!$B$16,Assumptions!$B$17,IF((J124)*AE124&gt;=Assumptions!$B$14,Assumptions!$B$15,0))))</f>
        <v>-994597.93575</v>
      </c>
      <c r="AG124" s="40" t="s">
        <v>274</v>
      </c>
      <c r="AH124" s="45" t="n">
        <f aca="false">IF(G124&gt;0,G124,ROUND(F124*Assumptions!$B$18,0))</f>
        <v>6279</v>
      </c>
      <c r="AI124" s="45" t="n">
        <f aca="false">IF(H124="Yes",AH124,MAX(AH124,MIN(Assumptions!$B$20,ROUND(E124*Assumptions!$B$19,0))))</f>
        <v>7767</v>
      </c>
      <c r="AJ124" s="47" t="n">
        <f aca="false">(AH124)*AC124-(((D124)+(AH124)*Assumptions!$B$4+IF(H124="Yes",Assumptions!$B$6*(D124),(AH124)*Assumptions!$B$5))*(1+Assumptions!$B$7*(Assumptions!$B$8*(Assumptions!$B$21)*Assumptions!$B$9+Assumptions!$B$10))+(D124)*Assumptions!$B$11*(Assumptions!$B$21)+(AH124)*AC124*(Assumptions!$B$12+Assumptions!$B$13+IF((AH124)*AC124&gt;=Assumptions!$B$16,Assumptions!$B$17,IF((AH124)*AC124&gt;=Assumptions!$B$14,Assumptions!$B$15,0))))</f>
        <v>-1505683.41975</v>
      </c>
      <c r="AK124" s="47" t="n">
        <f aca="false">(AI124)*AC124-(((D124)+(AI124)*Assumptions!$B$4+IF(H124="Yes",Assumptions!$B$6*(D124),(AI124)*Assumptions!$B$5))*(1+Assumptions!$B$7*(Assumptions!$B$8*(IF(AI124&gt;AH124,Assumptions!$B$22,Assumptions!$B$21))*Assumptions!$B$9+Assumptions!$B$10))+(D124)*Assumptions!$B$11*(IF(AI124&gt;AH124,Assumptions!$B$22,Assumptions!$B$21))+(AI124)*AC124*(Assumptions!$B$12+Assumptions!$B$13+IF((AI124)*AC124&gt;=Assumptions!$B$16,Assumptions!$B$17,IF((AI124)*AC124&gt;=Assumptions!$B$14,Assumptions!$B$15,0))))</f>
        <v>-1746694.56675</v>
      </c>
      <c r="AL124" s="47" t="n">
        <f aca="false">Assumptions!$B$7*(O124+P124+Q124)</f>
        <v>4235546.25</v>
      </c>
    </row>
    <row r="125" customFormat="false" ht="15" hidden="false" customHeight="false" outlineLevel="0" collapsed="false">
      <c r="A125" s="40" t="n">
        <v>123</v>
      </c>
      <c r="B125" s="40" t="s">
        <v>277</v>
      </c>
      <c r="C125" s="40" t="s">
        <v>273</v>
      </c>
      <c r="D125" s="41" t="n">
        <v>1675000</v>
      </c>
      <c r="E125" s="42" t="n">
        <v>19745</v>
      </c>
      <c r="F125" s="42" t="n">
        <v>5683</v>
      </c>
      <c r="G125" s="42"/>
      <c r="H125" s="43" t="s">
        <v>67</v>
      </c>
      <c r="I125" s="44"/>
      <c r="J125" s="45" t="n">
        <f aca="false">IF(AK125&gt;AJ125,AI125,AH125)</f>
        <v>6251</v>
      </c>
      <c r="K125" s="40" t="str">
        <f aca="false">IF(AK125&gt;AJ125,"Zoning estimate",IF(H125="Yes","Approved plans",IF(G125&gt;0,"Listing claim","110% old house")))</f>
        <v>110% old house</v>
      </c>
      <c r="L125" s="45" t="n">
        <f aca="false">IF(AK125&gt;AJ125,IF(AI125&gt;AH125,Assumptions!$B$22,Assumptions!$B$21),Assumptions!$B$21)</f>
        <v>2</v>
      </c>
      <c r="M125" s="46" t="n">
        <f aca="false">INDEX(Assumptions!$B$32:$B$44,MATCH(AG125,Assumptions!$A$32:$A$44,0))*(1+IF(UPPER(Assumptions!$B$27)="WORST",Assumptions!$B$24,IF(UPPER(Assumptions!$B$27)="BEST",Assumptions!$B$26,Assumptions!$B$25)))</f>
        <v>990</v>
      </c>
      <c r="N125" s="47" t="n">
        <f aca="false">J125*M125</f>
        <v>6188490</v>
      </c>
      <c r="O125" s="47" t="n">
        <f aca="false">D125</f>
        <v>1675000</v>
      </c>
      <c r="P125" s="47" t="n">
        <f aca="false">J125*Assumptions!$B$4</f>
        <v>4375700</v>
      </c>
      <c r="Q125" s="47" t="n">
        <f aca="false">IF(H125="Yes",Assumptions!$B$6*(D125),(J125)*Assumptions!$B$5)</f>
        <v>468825</v>
      </c>
      <c r="R125" s="47" t="n">
        <f aca="false">AL125*(Assumptions!$B$8*L125*Assumptions!$B$9+Assumptions!$B$10)</f>
        <v>572088.31875</v>
      </c>
      <c r="S125" s="47" t="n">
        <f aca="false">O125*Assumptions!$B$11*L125</f>
        <v>40200</v>
      </c>
      <c r="T125" s="47" t="n">
        <f aca="false">N125*(Assumptions!$B$12+Assumptions!$B$13)</f>
        <v>344080.044</v>
      </c>
      <c r="U125" s="47" t="n">
        <f aca="false">N125*IF(N125&gt;=Assumptions!$B$16,Assumptions!$B$17,IF(N125&gt;=Assumptions!$B$14,Assumptions!$B$15,0))</f>
        <v>247539.6</v>
      </c>
      <c r="V125" s="48" t="n">
        <f aca="false">SUM(O125:U125)</f>
        <v>7723432.96275</v>
      </c>
      <c r="W125" s="48" t="n">
        <f aca="false">N125-V125</f>
        <v>-1534942.96275</v>
      </c>
      <c r="X125" s="49" t="n">
        <f aca="false">IF(V125=0,0,W125/V125)</f>
        <v>-0.19873843278669</v>
      </c>
      <c r="Y125" s="47" t="n">
        <f aca="false">MAX(0,(N125/(1+Assumptions!$B$23)-(J125*(Assumptions!$B$4+IF(H125="Yes",0,Assumptions!$B$5)))*(1+(Assumptions!$B$7*(Assumptions!$B$8*L125*Assumptions!$B$9+Assumptions!$B$10)))-N125*(Assumptions!$B$12+Assumptions!$B$13+IF(N125&gt;=Assumptions!$B$16,Assumptions!$B$17,IF(N125&gt;=Assumptions!$B$14,Assumptions!$B$15,0))))/((1+IF(H125="Yes",Assumptions!$B$6,0))*(1+(Assumptions!$B$7*(Assumptions!$B$8*L125*Assumptions!$B$9+Assumptions!$B$10)))+Assumptions!$B$11*L125))</f>
        <v>0</v>
      </c>
      <c r="Z125" s="50" t="str">
        <f aca="false">IF(Y125&lt;=0,"no price works",D125/Y125)</f>
        <v>no price works</v>
      </c>
      <c r="AA125" s="46" t="n">
        <f aca="false">INDEX(Assumptions!$B$32:$B$44,MATCH(AG125,Assumptions!$A$32:$A$44,0))*(1+Assumptions!$B$24)</f>
        <v>900</v>
      </c>
      <c r="AB125" s="47" t="n">
        <f aca="false">(J125)*AA125-(((D125)+(J125)*Assumptions!$B$4+IF(H125="Yes",Assumptions!$B$6*(D125),(J125)*Assumptions!$B$5))*(1+Assumptions!$B$7*(Assumptions!$B$8*(L125)*Assumptions!$B$9+Assumptions!$B$10))+(D125)*Assumptions!$B$11*(L125)+(J125)*AA125*(Assumptions!$B$12+Assumptions!$B$13+IF((J125)*AA125&gt;=Assumptions!$B$16,Assumptions!$B$17,IF((J125)*AA125&gt;=Assumptions!$B$14,Assumptions!$B$15,0))))</f>
        <v>-2043749.35875</v>
      </c>
      <c r="AC125" s="46" t="n">
        <f aca="false">INDEX(Assumptions!$B$32:$B$44,MATCH(AG125,Assumptions!$A$32:$A$44,0))*(1+Assumptions!$B$25)</f>
        <v>990</v>
      </c>
      <c r="AD125" s="47" t="n">
        <f aca="false">(J125)*AC125-(((D125)+(J125)*Assumptions!$B$4+IF(H125="Yes",Assumptions!$B$6*(D125),(J125)*Assumptions!$B$5))*(1+Assumptions!$B$7*(Assumptions!$B$8*(L125)*Assumptions!$B$9+Assumptions!$B$10))+(D125)*Assumptions!$B$11*(L125)+(J125)*AC125*(Assumptions!$B$12+Assumptions!$B$13+IF((J125)*AC125&gt;=Assumptions!$B$16,Assumptions!$B$17,IF((J125)*AC125&gt;=Assumptions!$B$14,Assumptions!$B$15,0))))</f>
        <v>-1534942.96275</v>
      </c>
      <c r="AE125" s="46" t="n">
        <f aca="false">INDEX(Assumptions!$B$32:$B$44,MATCH(AG125,Assumptions!$A$32:$A$44,0))*(1+Assumptions!$B$26)</f>
        <v>1080</v>
      </c>
      <c r="AF125" s="47" t="n">
        <f aca="false">(J125)*AE125-(((D125)+(J125)*Assumptions!$B$4+IF(H125="Yes",Assumptions!$B$6*(D125),(J125)*Assumptions!$B$5))*(1+Assumptions!$B$7*(Assumptions!$B$8*(L125)*Assumptions!$B$9+Assumptions!$B$10))+(D125)*Assumptions!$B$11*(L125)+(J125)*AE125*(Assumptions!$B$12+Assumptions!$B$13+IF((J125)*AE125&gt;=Assumptions!$B$16,Assumptions!$B$17,IF((J125)*AE125&gt;=Assumptions!$B$14,Assumptions!$B$15,0))))</f>
        <v>-1026136.56675</v>
      </c>
      <c r="AG125" s="40" t="s">
        <v>274</v>
      </c>
      <c r="AH125" s="45" t="n">
        <f aca="false">IF(G125&gt;0,G125,ROUND(F125*Assumptions!$B$18,0))</f>
        <v>6251</v>
      </c>
      <c r="AI125" s="45" t="n">
        <f aca="false">IF(H125="Yes",AH125,MAX(AH125,MIN(Assumptions!$B$20,ROUND(E125*Assumptions!$B$19,0))))</f>
        <v>7898</v>
      </c>
      <c r="AJ125" s="47" t="n">
        <f aca="false">(AH125)*AC125-(((D125)+(AH125)*Assumptions!$B$4+IF(H125="Yes",Assumptions!$B$6*(D125),(AH125)*Assumptions!$B$5))*(1+Assumptions!$B$7*(Assumptions!$B$8*(Assumptions!$B$21)*Assumptions!$B$9+Assumptions!$B$10))+(D125)*Assumptions!$B$11*(Assumptions!$B$21)+(AH125)*AC125*(Assumptions!$B$12+Assumptions!$B$13+IF((AH125)*AC125&gt;=Assumptions!$B$16,Assumptions!$B$17,IF((AH125)*AC125&gt;=Assumptions!$B$14,Assumptions!$B$15,0))))</f>
        <v>-1534942.96275</v>
      </c>
      <c r="AK125" s="47" t="n">
        <f aca="false">(AI125)*AC125-(((D125)+(AI125)*Assumptions!$B$4+IF(H125="Yes",Assumptions!$B$6*(D125),(AI125)*Assumptions!$B$5))*(1+Assumptions!$B$7*(Assumptions!$B$8*(IF(AI125&gt;AH125,Assumptions!$B$22,Assumptions!$B$21))*Assumptions!$B$9+Assumptions!$B$10))+(D125)*Assumptions!$B$11*(IF(AI125&gt;AH125,Assumptions!$B$22,Assumptions!$B$21))+(AI125)*AC125*(Assumptions!$B$12+Assumptions!$B$13+IF((AI125)*AC125&gt;=Assumptions!$B$16,Assumptions!$B$17,IF((AI125)*AC125&gt;=Assumptions!$B$14,Assumptions!$B$15,0))))</f>
        <v>-1772864.9745</v>
      </c>
      <c r="AL125" s="47" t="n">
        <f aca="false">Assumptions!$B$7*(O125+P125+Q125)</f>
        <v>4237691.25</v>
      </c>
    </row>
    <row r="126" customFormat="false" ht="15" hidden="false" customHeight="false" outlineLevel="0" collapsed="false">
      <c r="A126" s="40" t="n">
        <v>124</v>
      </c>
      <c r="B126" s="40" t="s">
        <v>278</v>
      </c>
      <c r="C126" s="40" t="s">
        <v>273</v>
      </c>
      <c r="D126" s="41" t="n">
        <v>1650000</v>
      </c>
      <c r="E126" s="42" t="n">
        <v>19841</v>
      </c>
      <c r="F126" s="42" t="n">
        <v>4683</v>
      </c>
      <c r="G126" s="42"/>
      <c r="H126" s="43" t="s">
        <v>67</v>
      </c>
      <c r="I126" s="44" t="s">
        <v>279</v>
      </c>
      <c r="J126" s="45" t="n">
        <f aca="false">IF(AK126&gt;AJ126,AI126,AH126)</f>
        <v>5151</v>
      </c>
      <c r="K126" s="40" t="str">
        <f aca="false">IF(AK126&gt;AJ126,"Zoning estimate",IF(H126="Yes","Approved plans",IF(G126&gt;0,"Listing claim","110% old house")))</f>
        <v>110% old house</v>
      </c>
      <c r="L126" s="45" t="n">
        <f aca="false">IF(AK126&gt;AJ126,IF(AI126&gt;AH126,Assumptions!$B$22,Assumptions!$B$21),Assumptions!$B$21)</f>
        <v>2</v>
      </c>
      <c r="M126" s="46" t="n">
        <f aca="false">INDEX(Assumptions!$B$32:$B$44,MATCH(AG126,Assumptions!$A$32:$A$44,0))*(1+IF(UPPER(Assumptions!$B$27)="WORST",Assumptions!$B$24,IF(UPPER(Assumptions!$B$27)="BEST",Assumptions!$B$26,Assumptions!$B$25)))</f>
        <v>990</v>
      </c>
      <c r="N126" s="47" t="n">
        <f aca="false">J126*M126</f>
        <v>5099490</v>
      </c>
      <c r="O126" s="47" t="n">
        <f aca="false">D126</f>
        <v>1650000</v>
      </c>
      <c r="P126" s="47" t="n">
        <f aca="false">J126*Assumptions!$B$4</f>
        <v>3605700</v>
      </c>
      <c r="Q126" s="47" t="n">
        <f aca="false">IF(H126="Yes",Assumptions!$B$6*(D126),(J126)*Assumptions!$B$5)</f>
        <v>386325</v>
      </c>
      <c r="R126" s="47" t="n">
        <f aca="false">AL126*(Assumptions!$B$8*L126*Assumptions!$B$9+Assumptions!$B$10)</f>
        <v>495087.69375</v>
      </c>
      <c r="S126" s="47" t="n">
        <f aca="false">O126*Assumptions!$B$11*L126</f>
        <v>39600</v>
      </c>
      <c r="T126" s="47" t="n">
        <f aca="false">N126*(Assumptions!$B$12+Assumptions!$B$13)</f>
        <v>283531.644</v>
      </c>
      <c r="U126" s="47" t="n">
        <f aca="false">N126*IF(N126&gt;=Assumptions!$B$16,Assumptions!$B$17,IF(N126&gt;=Assumptions!$B$14,Assumptions!$B$15,0))</f>
        <v>0</v>
      </c>
      <c r="V126" s="48" t="n">
        <f aca="false">SUM(O126:U126)</f>
        <v>6460244.33775</v>
      </c>
      <c r="W126" s="48" t="n">
        <f aca="false">N126-V126</f>
        <v>-1360754.33775</v>
      </c>
      <c r="X126" s="49" t="n">
        <f aca="false">IF(V126=0,0,W126/V126)</f>
        <v>-0.210635119448737</v>
      </c>
      <c r="Y126" s="47" t="n">
        <f aca="false">MAX(0,(N126/(1+Assumptions!$B$23)-(J126*(Assumptions!$B$4+IF(H126="Yes",0,Assumptions!$B$5)))*(1+(Assumptions!$B$7*(Assumptions!$B$8*L126*Assumptions!$B$9+Assumptions!$B$10)))-N126*(Assumptions!$B$12+Assumptions!$B$13+IF(N126&gt;=Assumptions!$B$16,Assumptions!$B$17,IF(N126&gt;=Assumptions!$B$14,Assumptions!$B$15,0))))/((1+IF(H126="Yes",Assumptions!$B$6,0))*(1+(Assumptions!$B$7*(Assumptions!$B$8*L126*Assumptions!$B$9+Assumptions!$B$10)))+Assumptions!$B$11*L126))</f>
        <v>0</v>
      </c>
      <c r="Z126" s="50" t="str">
        <f aca="false">IF(Y126&lt;=0,"no price works",D126/Y126)</f>
        <v>no price works</v>
      </c>
      <c r="AA126" s="46" t="n">
        <f aca="false">INDEX(Assumptions!$B$32:$B$44,MATCH(AG126,Assumptions!$A$32:$A$44,0))*(1+Assumptions!$B$24)</f>
        <v>900</v>
      </c>
      <c r="AB126" s="47" t="n">
        <f aca="false">(J126)*AA126-(((D126)+(J126)*Assumptions!$B$4+IF(H126="Yes",Assumptions!$B$6*(D126),(J126)*Assumptions!$B$5))*(1+Assumptions!$B$7*(Assumptions!$B$8*(L126)*Assumptions!$B$9+Assumptions!$B$10))+(D126)*Assumptions!$B$11*(L126)+(J126)*AA126*(Assumptions!$B$12+Assumptions!$B$13+IF((J126)*AA126&gt;=Assumptions!$B$16,Assumptions!$B$17,IF((J126)*AA126&gt;=Assumptions!$B$14,Assumptions!$B$15,0))))</f>
        <v>-1798568.73375</v>
      </c>
      <c r="AC126" s="46" t="n">
        <f aca="false">INDEX(Assumptions!$B$32:$B$44,MATCH(AG126,Assumptions!$A$32:$A$44,0))*(1+Assumptions!$B$25)</f>
        <v>990</v>
      </c>
      <c r="AD126" s="47" t="n">
        <f aca="false">(J126)*AC126-(((D126)+(J126)*Assumptions!$B$4+IF(H126="Yes",Assumptions!$B$6*(D126),(J126)*Assumptions!$B$5))*(1+Assumptions!$B$7*(Assumptions!$B$8*(L126)*Assumptions!$B$9+Assumptions!$B$10))+(D126)*Assumptions!$B$11*(L126)+(J126)*AC126*(Assumptions!$B$12+Assumptions!$B$13+IF((J126)*AC126&gt;=Assumptions!$B$16,Assumptions!$B$17,IF((J126)*AC126&gt;=Assumptions!$B$14,Assumptions!$B$15,0))))</f>
        <v>-1360754.33775</v>
      </c>
      <c r="AE126" s="46" t="n">
        <f aca="false">INDEX(Assumptions!$B$32:$B$44,MATCH(AG126,Assumptions!$A$32:$A$44,0))*(1+Assumptions!$B$26)</f>
        <v>1080</v>
      </c>
      <c r="AF126" s="47" t="n">
        <f aca="false">(J126)*AE126-(((D126)+(J126)*Assumptions!$B$4+IF(H126="Yes",Assumptions!$B$6*(D126),(J126)*Assumptions!$B$5))*(1+Assumptions!$B$7*(Assumptions!$B$8*(L126)*Assumptions!$B$9+Assumptions!$B$10))+(D126)*Assumptions!$B$11*(L126)+(J126)*AE126*(Assumptions!$B$12+Assumptions!$B$13+IF((J126)*AE126&gt;=Assumptions!$B$16,Assumptions!$B$17,IF((J126)*AE126&gt;=Assumptions!$B$14,Assumptions!$B$15,0))))</f>
        <v>-1145463.14175</v>
      </c>
      <c r="AG126" s="40" t="s">
        <v>274</v>
      </c>
      <c r="AH126" s="45" t="n">
        <f aca="false">IF(G126&gt;0,G126,ROUND(F126*Assumptions!$B$18,0))</f>
        <v>5151</v>
      </c>
      <c r="AI126" s="45" t="n">
        <f aca="false">IF(H126="Yes",AH126,MAX(AH126,MIN(Assumptions!$B$20,ROUND(E126*Assumptions!$B$19,0))))</f>
        <v>7936</v>
      </c>
      <c r="AJ126" s="47" t="n">
        <f aca="false">(AH126)*AC126-(((D126)+(AH126)*Assumptions!$B$4+IF(H126="Yes",Assumptions!$B$6*(D126),(AH126)*Assumptions!$B$5))*(1+Assumptions!$B$7*(Assumptions!$B$8*(Assumptions!$B$21)*Assumptions!$B$9+Assumptions!$B$10))+(D126)*Assumptions!$B$11*(Assumptions!$B$21)+(AH126)*AC126*(Assumptions!$B$12+Assumptions!$B$13+IF((AH126)*AC126&gt;=Assumptions!$B$16,Assumptions!$B$17,IF((AH126)*AC126&gt;=Assumptions!$B$14,Assumptions!$B$15,0))))</f>
        <v>-1360754.33775</v>
      </c>
      <c r="AK126" s="47" t="n">
        <f aca="false">(AI126)*AC126-(((D126)+(AI126)*Assumptions!$B$4+IF(H126="Yes",Assumptions!$B$6*(D126),(AI126)*Assumptions!$B$5))*(1+Assumptions!$B$7*(Assumptions!$B$8*(IF(AI126&gt;AH126,Assumptions!$B$22,Assumptions!$B$21))*Assumptions!$B$9+Assumptions!$B$10))+(D126)*Assumptions!$B$11*(IF(AI126&gt;AH126,Assumptions!$B$22,Assumptions!$B$21))+(AI126)*AC126*(Assumptions!$B$12+Assumptions!$B$13+IF((AI126)*AC126&gt;=Assumptions!$B$16,Assumptions!$B$17,IF((AI126)*AC126&gt;=Assumptions!$B$14,Assumptions!$B$15,0))))</f>
        <v>-1742955.484</v>
      </c>
      <c r="AL126" s="47" t="n">
        <f aca="false">Assumptions!$B$7*(O126+P126+Q126)</f>
        <v>3667316.25</v>
      </c>
    </row>
    <row r="127" customFormat="false" ht="15" hidden="false" customHeight="false" outlineLevel="0" collapsed="false">
      <c r="A127" s="40" t="n">
        <v>125</v>
      </c>
      <c r="B127" s="40" t="s">
        <v>280</v>
      </c>
      <c r="C127" s="40" t="s">
        <v>273</v>
      </c>
      <c r="D127" s="41" t="n">
        <v>1450000</v>
      </c>
      <c r="E127" s="42" t="n">
        <v>14440</v>
      </c>
      <c r="F127" s="42" t="n">
        <v>4816</v>
      </c>
      <c r="G127" s="42"/>
      <c r="H127" s="43" t="s">
        <v>67</v>
      </c>
      <c r="I127" s="44"/>
      <c r="J127" s="45" t="n">
        <f aca="false">IF(AK127&gt;AJ127,AI127,AH127)</f>
        <v>5298</v>
      </c>
      <c r="K127" s="40" t="str">
        <f aca="false">IF(AK127&gt;AJ127,"Zoning estimate",IF(H127="Yes","Approved plans",IF(G127&gt;0,"Listing claim","110% old house")))</f>
        <v>110% old house</v>
      </c>
      <c r="L127" s="45" t="n">
        <f aca="false">IF(AK127&gt;AJ127,IF(AI127&gt;AH127,Assumptions!$B$22,Assumptions!$B$21),Assumptions!$B$21)</f>
        <v>2</v>
      </c>
      <c r="M127" s="46" t="n">
        <f aca="false">INDEX(Assumptions!$B$32:$B$44,MATCH(AG127,Assumptions!$A$32:$A$44,0))*(1+IF(UPPER(Assumptions!$B$27)="WORST",Assumptions!$B$24,IF(UPPER(Assumptions!$B$27)="BEST",Assumptions!$B$26,Assumptions!$B$25)))</f>
        <v>990</v>
      </c>
      <c r="N127" s="47" t="n">
        <f aca="false">J127*M127</f>
        <v>5245020</v>
      </c>
      <c r="O127" s="47" t="n">
        <f aca="false">D127</f>
        <v>1450000</v>
      </c>
      <c r="P127" s="47" t="n">
        <f aca="false">J127*Assumptions!$B$4</f>
        <v>3708600</v>
      </c>
      <c r="Q127" s="47" t="n">
        <f aca="false">IF(H127="Yes",Assumptions!$B$6*(D127),(J127)*Assumptions!$B$5)</f>
        <v>397350</v>
      </c>
      <c r="R127" s="47" t="n">
        <f aca="false">AL127*(Assumptions!$B$8*L127*Assumptions!$B$9+Assumptions!$B$10)</f>
        <v>487534.6125</v>
      </c>
      <c r="S127" s="47" t="n">
        <f aca="false">O127*Assumptions!$B$11*L127</f>
        <v>34800</v>
      </c>
      <c r="T127" s="47" t="n">
        <f aca="false">N127*(Assumptions!$B$12+Assumptions!$B$13)</f>
        <v>291623.112</v>
      </c>
      <c r="U127" s="47" t="n">
        <f aca="false">N127*IF(N127&gt;=Assumptions!$B$16,Assumptions!$B$17,IF(N127&gt;=Assumptions!$B$14,Assumptions!$B$15,0))</f>
        <v>0</v>
      </c>
      <c r="V127" s="48" t="n">
        <f aca="false">SUM(O127:U127)</f>
        <v>6369907.7245</v>
      </c>
      <c r="W127" s="48" t="n">
        <f aca="false">N127-V127</f>
        <v>-1124887.7245</v>
      </c>
      <c r="X127" s="49" t="n">
        <f aca="false">IF(V127=0,0,W127/V127)</f>
        <v>-0.176594037645702</v>
      </c>
      <c r="Y127" s="47" t="n">
        <f aca="false">MAX(0,(N127/(1+Assumptions!$B$23)-(J127*(Assumptions!$B$4+IF(H127="Yes",0,Assumptions!$B$5)))*(1+(Assumptions!$B$7*(Assumptions!$B$8*L127*Assumptions!$B$9+Assumptions!$B$10)))-N127*(Assumptions!$B$12+Assumptions!$B$13+IF(N127&gt;=Assumptions!$B$16,Assumptions!$B$17,IF(N127&gt;=Assumptions!$B$14,Assumptions!$B$15,0))))/((1+IF(H127="Yes",Assumptions!$B$6,0))*(1+(Assumptions!$B$7*(Assumptions!$B$8*L127*Assumptions!$B$9+Assumptions!$B$10)))+Assumptions!$B$11*L127))</f>
        <v>0</v>
      </c>
      <c r="Z127" s="50" t="str">
        <f aca="false">IF(Y127&lt;=0,"no price works",D127/Y127)</f>
        <v>no price works</v>
      </c>
      <c r="AA127" s="46" t="n">
        <f aca="false">INDEX(Assumptions!$B$32:$B$44,MATCH(AG127,Assumptions!$A$32:$A$44,0))*(1+Assumptions!$B$24)</f>
        <v>900</v>
      </c>
      <c r="AB127" s="47" t="n">
        <f aca="false">(J127)*AA127-(((D127)+(J127)*Assumptions!$B$4+IF(H127="Yes",Assumptions!$B$6*(D127),(J127)*Assumptions!$B$5))*(1+Assumptions!$B$7*(Assumptions!$B$8*(L127)*Assumptions!$B$9+Assumptions!$B$10))+(D127)*Assumptions!$B$11*(L127)+(J127)*AA127*(Assumptions!$B$12+Assumptions!$B$13+IF((J127)*AA127&gt;=Assumptions!$B$16,Assumptions!$B$17,IF((J127)*AA127&gt;=Assumptions!$B$14,Assumptions!$B$15,0))))</f>
        <v>-1575196.5325</v>
      </c>
      <c r="AC127" s="46" t="n">
        <f aca="false">INDEX(Assumptions!$B$32:$B$44,MATCH(AG127,Assumptions!$A$32:$A$44,0))*(1+Assumptions!$B$25)</f>
        <v>990</v>
      </c>
      <c r="AD127" s="47" t="n">
        <f aca="false">(J127)*AC127-(((D127)+(J127)*Assumptions!$B$4+IF(H127="Yes",Assumptions!$B$6*(D127),(J127)*Assumptions!$B$5))*(1+Assumptions!$B$7*(Assumptions!$B$8*(L127)*Assumptions!$B$9+Assumptions!$B$10))+(D127)*Assumptions!$B$11*(L127)+(J127)*AC127*(Assumptions!$B$12+Assumptions!$B$13+IF((J127)*AC127&gt;=Assumptions!$B$16,Assumptions!$B$17,IF((J127)*AC127&gt;=Assumptions!$B$14,Assumptions!$B$15,0))))</f>
        <v>-1124887.7245</v>
      </c>
      <c r="AE127" s="46" t="n">
        <f aca="false">INDEX(Assumptions!$B$32:$B$44,MATCH(AG127,Assumptions!$A$32:$A$44,0))*(1+Assumptions!$B$26)</f>
        <v>1080</v>
      </c>
      <c r="AF127" s="47" t="n">
        <f aca="false">(J127)*AE127-(((D127)+(J127)*Assumptions!$B$4+IF(H127="Yes",Assumptions!$B$6*(D127),(J127)*Assumptions!$B$5))*(1+Assumptions!$B$7*(Assumptions!$B$8*(L127)*Assumptions!$B$9+Assumptions!$B$10))+(D127)*Assumptions!$B$11*(L127)+(J127)*AE127*(Assumptions!$B$12+Assumptions!$B$13+IF((J127)*AE127&gt;=Assumptions!$B$16,Assumptions!$B$17,IF((J127)*AE127&gt;=Assumptions!$B$14,Assumptions!$B$15,0))))</f>
        <v>-903452.5165</v>
      </c>
      <c r="AG127" s="40" t="s">
        <v>274</v>
      </c>
      <c r="AH127" s="45" t="n">
        <f aca="false">IF(G127&gt;0,G127,ROUND(F127*Assumptions!$B$18,0))</f>
        <v>5298</v>
      </c>
      <c r="AI127" s="45" t="n">
        <f aca="false">IF(H127="Yes",AH127,MAX(AH127,MIN(Assumptions!$B$20,ROUND(E127*Assumptions!$B$19,0))))</f>
        <v>5776</v>
      </c>
      <c r="AJ127" s="47" t="n">
        <f aca="false">(AH127)*AC127-(((D127)+(AH127)*Assumptions!$B$4+IF(H127="Yes",Assumptions!$B$6*(D127),(AH127)*Assumptions!$B$5))*(1+Assumptions!$B$7*(Assumptions!$B$8*(Assumptions!$B$21)*Assumptions!$B$9+Assumptions!$B$10))+(D127)*Assumptions!$B$11*(Assumptions!$B$21)+(AH127)*AC127*(Assumptions!$B$12+Assumptions!$B$13+IF((AH127)*AC127&gt;=Assumptions!$B$16,Assumptions!$B$17,IF((AH127)*AC127&gt;=Assumptions!$B$14,Assumptions!$B$15,0))))</f>
        <v>-1124887.7245</v>
      </c>
      <c r="AK127" s="47" t="n">
        <f aca="false">(AI127)*AC127-(((D127)+(AI127)*Assumptions!$B$4+IF(H127="Yes",Assumptions!$B$6*(D127),(AI127)*Assumptions!$B$5))*(1+Assumptions!$B$7*(Assumptions!$B$8*(IF(AI127&gt;AH127,Assumptions!$B$22,Assumptions!$B$21))*Assumptions!$B$9+Assumptions!$B$10))+(D127)*Assumptions!$B$11*(IF(AI127&gt;AH127,Assumptions!$B$22,Assumptions!$B$21))+(AI127)*AC127*(Assumptions!$B$12+Assumptions!$B$13+IF((AI127)*AC127&gt;=Assumptions!$B$16,Assumptions!$B$17,IF((AI127)*AC127&gt;=Assumptions!$B$14,Assumptions!$B$15,0))))</f>
        <v>-1558194.944</v>
      </c>
      <c r="AL127" s="47" t="n">
        <f aca="false">Assumptions!$B$7*(O127+P127+Q127)</f>
        <v>3611367.5</v>
      </c>
    </row>
    <row r="128" customFormat="false" ht="15" hidden="false" customHeight="false" outlineLevel="0" collapsed="false">
      <c r="A128" s="40" t="n">
        <v>126</v>
      </c>
      <c r="B128" s="40" t="s">
        <v>281</v>
      </c>
      <c r="C128" s="40" t="s">
        <v>273</v>
      </c>
      <c r="D128" s="41" t="n">
        <v>1495000</v>
      </c>
      <c r="E128" s="42" t="n">
        <v>15224</v>
      </c>
      <c r="F128" s="42" t="n">
        <v>5364</v>
      </c>
      <c r="G128" s="42"/>
      <c r="H128" s="43" t="s">
        <v>67</v>
      </c>
      <c r="I128" s="44"/>
      <c r="J128" s="45" t="n">
        <f aca="false">IF(AK128&gt;AJ128,AI128,AH128)</f>
        <v>5900</v>
      </c>
      <c r="K128" s="40" t="str">
        <f aca="false">IF(AK128&gt;AJ128,"Zoning estimate",IF(H128="Yes","Approved plans",IF(G128&gt;0,"Listing claim","110% old house")))</f>
        <v>110% old house</v>
      </c>
      <c r="L128" s="45" t="n">
        <f aca="false">IF(AK128&gt;AJ128,IF(AI128&gt;AH128,Assumptions!$B$22,Assumptions!$B$21),Assumptions!$B$21)</f>
        <v>2</v>
      </c>
      <c r="M128" s="46" t="n">
        <f aca="false">INDEX(Assumptions!$B$32:$B$44,MATCH(AG128,Assumptions!$A$32:$A$44,0))*(1+IF(UPPER(Assumptions!$B$27)="WORST",Assumptions!$B$24,IF(UPPER(Assumptions!$B$27)="BEST",Assumptions!$B$26,Assumptions!$B$25)))</f>
        <v>990</v>
      </c>
      <c r="N128" s="47" t="n">
        <f aca="false">J128*M128</f>
        <v>5841000</v>
      </c>
      <c r="O128" s="47" t="n">
        <f aca="false">D128</f>
        <v>1495000</v>
      </c>
      <c r="P128" s="47" t="n">
        <f aca="false">J128*Assumptions!$B$4</f>
        <v>4130000</v>
      </c>
      <c r="Q128" s="47" t="n">
        <f aca="false">IF(H128="Yes",Assumptions!$B$6*(D128),(J128)*Assumptions!$B$5)</f>
        <v>442500</v>
      </c>
      <c r="R128" s="47" t="n">
        <f aca="false">AL128*(Assumptions!$B$8*L128*Assumptions!$B$9+Assumptions!$B$10)</f>
        <v>532423.125</v>
      </c>
      <c r="S128" s="47" t="n">
        <f aca="false">O128*Assumptions!$B$11*L128</f>
        <v>35880</v>
      </c>
      <c r="T128" s="47" t="n">
        <f aca="false">N128*(Assumptions!$B$12+Assumptions!$B$13)</f>
        <v>324759.6</v>
      </c>
      <c r="U128" s="47" t="n">
        <f aca="false">N128*IF(N128&gt;=Assumptions!$B$16,Assumptions!$B$17,IF(N128&gt;=Assumptions!$B$14,Assumptions!$B$15,0))</f>
        <v>233640</v>
      </c>
      <c r="V128" s="48" t="n">
        <f aca="false">SUM(O128:U128)</f>
        <v>7194202.725</v>
      </c>
      <c r="W128" s="48" t="n">
        <f aca="false">N128-V128</f>
        <v>-1353202.725</v>
      </c>
      <c r="X128" s="49" t="n">
        <f aca="false">IF(V128=0,0,W128/V128)</f>
        <v>-0.188096273725731</v>
      </c>
      <c r="Y128" s="47" t="n">
        <f aca="false">MAX(0,(N128/(1+Assumptions!$B$23)-(J128*(Assumptions!$B$4+IF(H128="Yes",0,Assumptions!$B$5)))*(1+(Assumptions!$B$7*(Assumptions!$B$8*L128*Assumptions!$B$9+Assumptions!$B$10)))-N128*(Assumptions!$B$12+Assumptions!$B$13+IF(N128&gt;=Assumptions!$B$16,Assumptions!$B$17,IF(N128&gt;=Assumptions!$B$14,Assumptions!$B$15,0))))/((1+IF(H128="Yes",Assumptions!$B$6,0))*(1+(Assumptions!$B$7*(Assumptions!$B$8*L128*Assumptions!$B$9+Assumptions!$B$10)))+Assumptions!$B$11*L128))</f>
        <v>0</v>
      </c>
      <c r="Z128" s="50" t="str">
        <f aca="false">IF(Y128&lt;=0,"no price works",D128/Y128)</f>
        <v>no price works</v>
      </c>
      <c r="AA128" s="46" t="n">
        <f aca="false">INDEX(Assumptions!$B$32:$B$44,MATCH(AG128,Assumptions!$A$32:$A$44,0))*(1+Assumptions!$B$24)</f>
        <v>900</v>
      </c>
      <c r="AB128" s="47" t="n">
        <f aca="false">(J128)*AA128-(((D128)+(J128)*Assumptions!$B$4+IF(H128="Yes",Assumptions!$B$6*(D128),(J128)*Assumptions!$B$5))*(1+Assumptions!$B$7*(Assumptions!$B$8*(L128)*Assumptions!$B$9+Assumptions!$B$10))+(D128)*Assumptions!$B$11*(L128)+(J128)*AA128*(Assumptions!$B$12+Assumptions!$B$13+IF((J128)*AA128&gt;=Assumptions!$B$16,Assumptions!$B$17,IF((J128)*AA128&gt;=Assumptions!$B$14,Assumptions!$B$15,0))))</f>
        <v>-1621039.125</v>
      </c>
      <c r="AC128" s="46" t="n">
        <f aca="false">INDEX(Assumptions!$B$32:$B$44,MATCH(AG128,Assumptions!$A$32:$A$44,0))*(1+Assumptions!$B$25)</f>
        <v>990</v>
      </c>
      <c r="AD128" s="47" t="n">
        <f aca="false">(J128)*AC128-(((D128)+(J128)*Assumptions!$B$4+IF(H128="Yes",Assumptions!$B$6*(D128),(J128)*Assumptions!$B$5))*(1+Assumptions!$B$7*(Assumptions!$B$8*(L128)*Assumptions!$B$9+Assumptions!$B$10))+(D128)*Assumptions!$B$11*(L128)+(J128)*AC128*(Assumptions!$B$12+Assumptions!$B$13+IF((J128)*AC128&gt;=Assumptions!$B$16,Assumptions!$B$17,IF((J128)*AC128&gt;=Assumptions!$B$14,Assumptions!$B$15,0))))</f>
        <v>-1353202.725</v>
      </c>
      <c r="AE128" s="46" t="n">
        <f aca="false">INDEX(Assumptions!$B$32:$B$44,MATCH(AG128,Assumptions!$A$32:$A$44,0))*(1+Assumptions!$B$26)</f>
        <v>1080</v>
      </c>
      <c r="AF128" s="47" t="n">
        <f aca="false">(J128)*AE128-(((D128)+(J128)*Assumptions!$B$4+IF(H128="Yes",Assumptions!$B$6*(D128),(J128)*Assumptions!$B$5))*(1+Assumptions!$B$7*(Assumptions!$B$8*(L128)*Assumptions!$B$9+Assumptions!$B$10))+(D128)*Assumptions!$B$11*(L128)+(J128)*AE128*(Assumptions!$B$12+Assumptions!$B$13+IF((J128)*AE128&gt;=Assumptions!$B$16,Assumptions!$B$17,IF((J128)*AE128&gt;=Assumptions!$B$14,Assumptions!$B$15,0))))</f>
        <v>-872966.325</v>
      </c>
      <c r="AG128" s="40" t="s">
        <v>274</v>
      </c>
      <c r="AH128" s="45" t="n">
        <f aca="false">IF(G128&gt;0,G128,ROUND(F128*Assumptions!$B$18,0))</f>
        <v>5900</v>
      </c>
      <c r="AI128" s="45" t="n">
        <f aca="false">IF(H128="Yes",AH128,MAX(AH128,MIN(Assumptions!$B$20,ROUND(E128*Assumptions!$B$19,0))))</f>
        <v>6090</v>
      </c>
      <c r="AJ128" s="47" t="n">
        <f aca="false">(AH128)*AC128-(((D128)+(AH128)*Assumptions!$B$4+IF(H128="Yes",Assumptions!$B$6*(D128),(AH128)*Assumptions!$B$5))*(1+Assumptions!$B$7*(Assumptions!$B$8*(Assumptions!$B$21)*Assumptions!$B$9+Assumptions!$B$10))+(D128)*Assumptions!$B$11*(Assumptions!$B$21)+(AH128)*AC128*(Assumptions!$B$12+Assumptions!$B$13+IF((AH128)*AC128&gt;=Assumptions!$B$16,Assumptions!$B$17,IF((AH128)*AC128&gt;=Assumptions!$B$14,Assumptions!$B$15,0))))</f>
        <v>-1353202.725</v>
      </c>
      <c r="AK128" s="47" t="n">
        <f aca="false">(AI128)*AC128-(((D128)+(AI128)*Assumptions!$B$4+IF(H128="Yes",Assumptions!$B$6*(D128),(AI128)*Assumptions!$B$5))*(1+Assumptions!$B$7*(Assumptions!$B$8*(IF(AI128&gt;AH128,Assumptions!$B$22,Assumptions!$B$21))*Assumptions!$B$9+Assumptions!$B$10))+(D128)*Assumptions!$B$11*(IF(AI128&gt;AH128,Assumptions!$B$22,Assumptions!$B$21))+(AI128)*AC128*(Assumptions!$B$12+Assumptions!$B$13+IF((AI128)*AC128&gt;=Assumptions!$B$16,Assumptions!$B$17,IF((AI128)*AC128&gt;=Assumptions!$B$14,Assumptions!$B$15,0))))</f>
        <v>-1603571.5225</v>
      </c>
      <c r="AL128" s="47" t="n">
        <f aca="false">Assumptions!$B$7*(O128+P128+Q128)</f>
        <v>3943875</v>
      </c>
    </row>
    <row r="129" customFormat="false" ht="15" hidden="false" customHeight="false" outlineLevel="0" collapsed="false">
      <c r="A129" s="40" t="n">
        <v>127</v>
      </c>
      <c r="B129" s="40" t="s">
        <v>282</v>
      </c>
      <c r="C129" s="40" t="s">
        <v>273</v>
      </c>
      <c r="D129" s="41" t="n">
        <v>899000</v>
      </c>
      <c r="E129" s="42" t="n">
        <v>7349</v>
      </c>
      <c r="F129" s="42" t="n">
        <v>2644</v>
      </c>
      <c r="G129" s="42"/>
      <c r="H129" s="43" t="s">
        <v>67</v>
      </c>
      <c r="I129" s="44"/>
      <c r="J129" s="45" t="n">
        <f aca="false">IF(AK129&gt;AJ129,AI129,AH129)</f>
        <v>2908</v>
      </c>
      <c r="K129" s="40" t="str">
        <f aca="false">IF(AK129&gt;AJ129,"Zoning estimate",IF(H129="Yes","Approved plans",IF(G129&gt;0,"Listing claim","110% old house")))</f>
        <v>110% old house</v>
      </c>
      <c r="L129" s="45" t="n">
        <f aca="false">IF(AK129&gt;AJ129,IF(AI129&gt;AH129,Assumptions!$B$22,Assumptions!$B$21),Assumptions!$B$21)</f>
        <v>2</v>
      </c>
      <c r="M129" s="46" t="n">
        <f aca="false">INDEX(Assumptions!$B$32:$B$44,MATCH(AG129,Assumptions!$A$32:$A$44,0))*(1+IF(UPPER(Assumptions!$B$27)="WORST",Assumptions!$B$24,IF(UPPER(Assumptions!$B$27)="BEST",Assumptions!$B$26,Assumptions!$B$25)))</f>
        <v>990</v>
      </c>
      <c r="N129" s="47" t="n">
        <f aca="false">J129*M129</f>
        <v>2878920</v>
      </c>
      <c r="O129" s="47" t="n">
        <f aca="false">D129</f>
        <v>899000</v>
      </c>
      <c r="P129" s="47" t="n">
        <f aca="false">J129*Assumptions!$B$4</f>
        <v>2035600</v>
      </c>
      <c r="Q129" s="47" t="n">
        <f aca="false">IF(H129="Yes",Assumptions!$B$6*(D129),(J129)*Assumptions!$B$5)</f>
        <v>218100</v>
      </c>
      <c r="R129" s="47" t="n">
        <f aca="false">AL129*(Assumptions!$B$8*L129*Assumptions!$B$9+Assumptions!$B$10)</f>
        <v>276649.425</v>
      </c>
      <c r="S129" s="47" t="n">
        <f aca="false">O129*Assumptions!$B$11*L129</f>
        <v>21576</v>
      </c>
      <c r="T129" s="47" t="n">
        <f aca="false">N129*(Assumptions!$B$12+Assumptions!$B$13)</f>
        <v>160067.952</v>
      </c>
      <c r="U129" s="47" t="n">
        <f aca="false">N129*IF(N129&gt;=Assumptions!$B$16,Assumptions!$B$17,IF(N129&gt;=Assumptions!$B$14,Assumptions!$B$15,0))</f>
        <v>0</v>
      </c>
      <c r="V129" s="48" t="n">
        <f aca="false">SUM(O129:U129)</f>
        <v>3610993.377</v>
      </c>
      <c r="W129" s="48" t="n">
        <f aca="false">N129-V129</f>
        <v>-732073.376999999</v>
      </c>
      <c r="X129" s="49" t="n">
        <f aca="false">IF(V129=0,0,W129/V129)</f>
        <v>-0.202734621908447</v>
      </c>
      <c r="Y129" s="47" t="n">
        <f aca="false">MAX(0,(N129/(1+Assumptions!$B$23)-(J129*(Assumptions!$B$4+IF(H129="Yes",0,Assumptions!$B$5)))*(1+(Assumptions!$B$7*(Assumptions!$B$8*L129*Assumptions!$B$9+Assumptions!$B$10)))-N129*(Assumptions!$B$12+Assumptions!$B$13+IF(N129&gt;=Assumptions!$B$16,Assumptions!$B$17,IF(N129&gt;=Assumptions!$B$14,Assumptions!$B$15,0))))/((1+IF(H129="Yes",Assumptions!$B$6,0))*(1+(Assumptions!$B$7*(Assumptions!$B$8*L129*Assumptions!$B$9+Assumptions!$B$10)))+Assumptions!$B$11*L129))</f>
        <v>0</v>
      </c>
      <c r="Z129" s="50" t="str">
        <f aca="false">IF(Y129&lt;=0,"no price works",D129/Y129)</f>
        <v>no price works</v>
      </c>
      <c r="AA129" s="46" t="n">
        <f aca="false">INDEX(Assumptions!$B$32:$B$44,MATCH(AG129,Assumptions!$A$32:$A$44,0))*(1+Assumptions!$B$24)</f>
        <v>900</v>
      </c>
      <c r="AB129" s="47" t="n">
        <f aca="false">(J129)*AA129-(((D129)+(J129)*Assumptions!$B$4+IF(H129="Yes",Assumptions!$B$6*(D129),(J129)*Assumptions!$B$5))*(1+Assumptions!$B$7*(Assumptions!$B$8*(L129)*Assumptions!$B$9+Assumptions!$B$10))+(D129)*Assumptions!$B$11*(L129)+(J129)*AA129*(Assumptions!$B$12+Assumptions!$B$13+IF((J129)*AA129&gt;=Assumptions!$B$16,Assumptions!$B$17,IF((J129)*AA129&gt;=Assumptions!$B$14,Assumptions!$B$15,0))))</f>
        <v>-979241.745</v>
      </c>
      <c r="AC129" s="46" t="n">
        <f aca="false">INDEX(Assumptions!$B$32:$B$44,MATCH(AG129,Assumptions!$A$32:$A$44,0))*(1+Assumptions!$B$25)</f>
        <v>990</v>
      </c>
      <c r="AD129" s="47" t="n">
        <f aca="false">(J129)*AC129-(((D129)+(J129)*Assumptions!$B$4+IF(H129="Yes",Assumptions!$B$6*(D129),(J129)*Assumptions!$B$5))*(1+Assumptions!$B$7*(Assumptions!$B$8*(L129)*Assumptions!$B$9+Assumptions!$B$10))+(D129)*Assumptions!$B$11*(L129)+(J129)*AC129*(Assumptions!$B$12+Assumptions!$B$13+IF((J129)*AC129&gt;=Assumptions!$B$16,Assumptions!$B$17,IF((J129)*AC129&gt;=Assumptions!$B$14,Assumptions!$B$15,0))))</f>
        <v>-732073.376999999</v>
      </c>
      <c r="AE129" s="46" t="n">
        <f aca="false">INDEX(Assumptions!$B$32:$B$44,MATCH(AG129,Assumptions!$A$32:$A$44,0))*(1+Assumptions!$B$26)</f>
        <v>1080</v>
      </c>
      <c r="AF129" s="47" t="n">
        <f aca="false">(J129)*AE129-(((D129)+(J129)*Assumptions!$B$4+IF(H129="Yes",Assumptions!$B$6*(D129),(J129)*Assumptions!$B$5))*(1+Assumptions!$B$7*(Assumptions!$B$8*(L129)*Assumptions!$B$9+Assumptions!$B$10))+(D129)*Assumptions!$B$11*(L129)+(J129)*AE129*(Assumptions!$B$12+Assumptions!$B$13+IF((J129)*AE129&gt;=Assumptions!$B$16,Assumptions!$B$17,IF((J129)*AE129&gt;=Assumptions!$B$14,Assumptions!$B$15,0))))</f>
        <v>-484905.009</v>
      </c>
      <c r="AG129" s="40" t="s">
        <v>274</v>
      </c>
      <c r="AH129" s="45" t="n">
        <f aca="false">IF(G129&gt;0,G129,ROUND(F129*Assumptions!$B$18,0))</f>
        <v>2908</v>
      </c>
      <c r="AI129" s="45" t="n">
        <f aca="false">IF(H129="Yes",AH129,MAX(AH129,MIN(Assumptions!$B$20,ROUND(E129*Assumptions!$B$19,0))))</f>
        <v>2940</v>
      </c>
      <c r="AJ129" s="47" t="n">
        <f aca="false">(AH129)*AC129-(((D129)+(AH129)*Assumptions!$B$4+IF(H129="Yes",Assumptions!$B$6*(D129),(AH129)*Assumptions!$B$5))*(1+Assumptions!$B$7*(Assumptions!$B$8*(Assumptions!$B$21)*Assumptions!$B$9+Assumptions!$B$10))+(D129)*Assumptions!$B$11*(Assumptions!$B$21)+(AH129)*AC129*(Assumptions!$B$12+Assumptions!$B$13+IF((AH129)*AC129&gt;=Assumptions!$B$16,Assumptions!$B$17,IF((AH129)*AC129&gt;=Assumptions!$B$14,Assumptions!$B$15,0))))</f>
        <v>-732073.376999999</v>
      </c>
      <c r="AK129" s="47" t="n">
        <f aca="false">(AI129)*AC129-(((D129)+(AI129)*Assumptions!$B$4+IF(H129="Yes",Assumptions!$B$6*(D129),(AI129)*Assumptions!$B$5))*(1+Assumptions!$B$7*(Assumptions!$B$8*(IF(AI129&gt;AH129,Assumptions!$B$22,Assumptions!$B$21))*Assumptions!$B$9+Assumptions!$B$10))+(D129)*Assumptions!$B$11*(IF(AI129&gt;AH129,Assumptions!$B$22,Assumptions!$B$21))+(AI129)*AC129*(Assumptions!$B$12+Assumptions!$B$13+IF((AI129)*AC129&gt;=Assumptions!$B$16,Assumptions!$B$17,IF((AI129)*AC129&gt;=Assumptions!$B$14,Assumptions!$B$15,0))))</f>
        <v>-863841.484999999</v>
      </c>
      <c r="AL129" s="47" t="n">
        <f aca="false">Assumptions!$B$7*(O129+P129+Q129)</f>
        <v>2049255</v>
      </c>
    </row>
    <row r="130" customFormat="false" ht="15" hidden="false" customHeight="false" outlineLevel="0" collapsed="false">
      <c r="A130" s="40" t="n">
        <v>128</v>
      </c>
      <c r="B130" s="40" t="s">
        <v>283</v>
      </c>
      <c r="C130" s="40" t="s">
        <v>273</v>
      </c>
      <c r="D130" s="41" t="n">
        <v>899000</v>
      </c>
      <c r="E130" s="42" t="n">
        <v>6535</v>
      </c>
      <c r="F130" s="42" t="n">
        <v>2255</v>
      </c>
      <c r="G130" s="42"/>
      <c r="H130" s="43" t="s">
        <v>67</v>
      </c>
      <c r="I130" s="44" t="s">
        <v>284</v>
      </c>
      <c r="J130" s="45" t="n">
        <f aca="false">IF(AK130&gt;AJ130,AI130,AH130)</f>
        <v>2481</v>
      </c>
      <c r="K130" s="40" t="str">
        <f aca="false">IF(AK130&gt;AJ130,"Zoning estimate",IF(H130="Yes","Approved plans",IF(G130&gt;0,"Listing claim","110% old house")))</f>
        <v>110% old house</v>
      </c>
      <c r="L130" s="45" t="n">
        <f aca="false">IF(AK130&gt;AJ130,IF(AI130&gt;AH130,Assumptions!$B$22,Assumptions!$B$21),Assumptions!$B$21)</f>
        <v>2</v>
      </c>
      <c r="M130" s="46" t="n">
        <f aca="false">INDEX(Assumptions!$B$32:$B$44,MATCH(AG130,Assumptions!$A$32:$A$44,0))*(1+IF(UPPER(Assumptions!$B$27)="WORST",Assumptions!$B$24,IF(UPPER(Assumptions!$B$27)="BEST",Assumptions!$B$26,Assumptions!$B$25)))</f>
        <v>990</v>
      </c>
      <c r="N130" s="47" t="n">
        <f aca="false">J130*M130</f>
        <v>2456190</v>
      </c>
      <c r="O130" s="47" t="n">
        <f aca="false">D130</f>
        <v>899000</v>
      </c>
      <c r="P130" s="47" t="n">
        <f aca="false">J130*Assumptions!$B$4</f>
        <v>1736700</v>
      </c>
      <c r="Q130" s="47" t="n">
        <f aca="false">IF(H130="Yes",Assumptions!$B$6*(D130),(J130)*Assumptions!$B$5)</f>
        <v>186075</v>
      </c>
      <c r="R130" s="47" t="n">
        <f aca="false">AL130*(Assumptions!$B$8*L130*Assumptions!$B$9+Assumptions!$B$10)</f>
        <v>247610.75625</v>
      </c>
      <c r="S130" s="47" t="n">
        <f aca="false">O130*Assumptions!$B$11*L130</f>
        <v>21576</v>
      </c>
      <c r="T130" s="47" t="n">
        <f aca="false">N130*(Assumptions!$B$12+Assumptions!$B$13)</f>
        <v>136564.164</v>
      </c>
      <c r="U130" s="47" t="n">
        <f aca="false">N130*IF(N130&gt;=Assumptions!$B$16,Assumptions!$B$17,IF(N130&gt;=Assumptions!$B$14,Assumptions!$B$15,0))</f>
        <v>0</v>
      </c>
      <c r="V130" s="48" t="n">
        <f aca="false">SUM(O130:U130)</f>
        <v>3227525.92025</v>
      </c>
      <c r="W130" s="48" t="n">
        <f aca="false">N130-V130</f>
        <v>-771335.92025</v>
      </c>
      <c r="X130" s="49" t="n">
        <f aca="false">IF(V130=0,0,W130/V130)</f>
        <v>-0.238986746910542</v>
      </c>
      <c r="Y130" s="47" t="n">
        <f aca="false">MAX(0,(N130/(1+Assumptions!$B$23)-(J130*(Assumptions!$B$4+IF(H130="Yes",0,Assumptions!$B$5)))*(1+(Assumptions!$B$7*(Assumptions!$B$8*L130*Assumptions!$B$9+Assumptions!$B$10)))-N130*(Assumptions!$B$12+Assumptions!$B$13+IF(N130&gt;=Assumptions!$B$16,Assumptions!$B$17,IF(N130&gt;=Assumptions!$B$14,Assumptions!$B$15,0))))/((1+IF(H130="Yes",Assumptions!$B$6,0))*(1+(Assumptions!$B$7*(Assumptions!$B$8*L130*Assumptions!$B$9+Assumptions!$B$10)))+Assumptions!$B$11*L130))</f>
        <v>0</v>
      </c>
      <c r="Z130" s="50" t="str">
        <f aca="false">IF(Y130&lt;=0,"no price works",D130/Y130)</f>
        <v>no price works</v>
      </c>
      <c r="AA130" s="46" t="n">
        <f aca="false">INDEX(Assumptions!$B$32:$B$44,MATCH(AG130,Assumptions!$A$32:$A$44,0))*(1+Assumptions!$B$24)</f>
        <v>900</v>
      </c>
      <c r="AB130" s="47" t="n">
        <f aca="false">(J130)*AA130-(((D130)+(J130)*Assumptions!$B$4+IF(H130="Yes",Assumptions!$B$6*(D130),(J130)*Assumptions!$B$5))*(1+Assumptions!$B$7*(Assumptions!$B$8*(L130)*Assumptions!$B$9+Assumptions!$B$10))+(D130)*Assumptions!$B$11*(L130)+(J130)*AA130*(Assumptions!$B$12+Assumptions!$B$13+IF((J130)*AA130&gt;=Assumptions!$B$16,Assumptions!$B$17,IF((J130)*AA130&gt;=Assumptions!$B$14,Assumptions!$B$15,0))))</f>
        <v>-982210.99625</v>
      </c>
      <c r="AC130" s="46" t="n">
        <f aca="false">INDEX(Assumptions!$B$32:$B$44,MATCH(AG130,Assumptions!$A$32:$A$44,0))*(1+Assumptions!$B$25)</f>
        <v>990</v>
      </c>
      <c r="AD130" s="47" t="n">
        <f aca="false">(J130)*AC130-(((D130)+(J130)*Assumptions!$B$4+IF(H130="Yes",Assumptions!$B$6*(D130),(J130)*Assumptions!$B$5))*(1+Assumptions!$B$7*(Assumptions!$B$8*(L130)*Assumptions!$B$9+Assumptions!$B$10))+(D130)*Assumptions!$B$11*(L130)+(J130)*AC130*(Assumptions!$B$12+Assumptions!$B$13+IF((J130)*AC130&gt;=Assumptions!$B$16,Assumptions!$B$17,IF((J130)*AC130&gt;=Assumptions!$B$14,Assumptions!$B$15,0))))</f>
        <v>-771335.92025</v>
      </c>
      <c r="AE130" s="46" t="n">
        <f aca="false">INDEX(Assumptions!$B$32:$B$44,MATCH(AG130,Assumptions!$A$32:$A$44,0))*(1+Assumptions!$B$26)</f>
        <v>1080</v>
      </c>
      <c r="AF130" s="47" t="n">
        <f aca="false">(J130)*AE130-(((D130)+(J130)*Assumptions!$B$4+IF(H130="Yes",Assumptions!$B$6*(D130),(J130)*Assumptions!$B$5))*(1+Assumptions!$B$7*(Assumptions!$B$8*(L130)*Assumptions!$B$9+Assumptions!$B$10))+(D130)*Assumptions!$B$11*(L130)+(J130)*AE130*(Assumptions!$B$12+Assumptions!$B$13+IF((J130)*AE130&gt;=Assumptions!$B$16,Assumptions!$B$17,IF((J130)*AE130&gt;=Assumptions!$B$14,Assumptions!$B$15,0))))</f>
        <v>-560460.84425</v>
      </c>
      <c r="AG130" s="40" t="s">
        <v>274</v>
      </c>
      <c r="AH130" s="45" t="n">
        <f aca="false">IF(G130&gt;0,G130,ROUND(F130*Assumptions!$B$18,0))</f>
        <v>2481</v>
      </c>
      <c r="AI130" s="45" t="n">
        <f aca="false">IF(H130="Yes",AH130,MAX(AH130,MIN(Assumptions!$B$20,ROUND(E130*Assumptions!$B$19,0))))</f>
        <v>2614</v>
      </c>
      <c r="AJ130" s="47" t="n">
        <f aca="false">(AH130)*AC130-(((D130)+(AH130)*Assumptions!$B$4+IF(H130="Yes",Assumptions!$B$6*(D130),(AH130)*Assumptions!$B$5))*(1+Assumptions!$B$7*(Assumptions!$B$8*(Assumptions!$B$21)*Assumptions!$B$9+Assumptions!$B$10))+(D130)*Assumptions!$B$11*(Assumptions!$B$21)+(AH130)*AC130*(Assumptions!$B$12+Assumptions!$B$13+IF((AH130)*AC130&gt;=Assumptions!$B$16,Assumptions!$B$17,IF((AH130)*AC130&gt;=Assumptions!$B$14,Assumptions!$B$15,0))))</f>
        <v>-771335.92025</v>
      </c>
      <c r="AK130" s="47" t="n">
        <f aca="false">(AI130)*AC130-(((D130)+(AI130)*Assumptions!$B$4+IF(H130="Yes",Assumptions!$B$6*(D130),(AI130)*Assumptions!$B$5))*(1+Assumptions!$B$7*(Assumptions!$B$8*(IF(AI130&gt;AH130,Assumptions!$B$22,Assumptions!$B$21))*Assumptions!$B$9+Assumptions!$B$10))+(D130)*Assumptions!$B$11*(IF(AI130&gt;AH130,Assumptions!$B$22,Assumptions!$B$21))+(AI130)*AC130*(Assumptions!$B$12+Assumptions!$B$13+IF((AI130)*AC130&gt;=Assumptions!$B$16,Assumptions!$B$17,IF((AI130)*AC130&gt;=Assumptions!$B$14,Assumptions!$B$15,0))))</f>
        <v>-883963.753499999</v>
      </c>
      <c r="AL130" s="47" t="n">
        <f aca="false">Assumptions!$B$7*(O130+P130+Q130)</f>
        <v>1834153.75</v>
      </c>
    </row>
    <row r="131" customFormat="false" ht="15" hidden="false" customHeight="false" outlineLevel="0" collapsed="false">
      <c r="A131" s="40" t="n">
        <v>129</v>
      </c>
      <c r="B131" s="40" t="s">
        <v>285</v>
      </c>
      <c r="C131" s="40" t="s">
        <v>267</v>
      </c>
      <c r="D131" s="41" t="n">
        <v>1545000</v>
      </c>
      <c r="E131" s="42" t="n">
        <v>10441</v>
      </c>
      <c r="F131" s="42" t="n">
        <v>5040</v>
      </c>
      <c r="G131" s="42"/>
      <c r="H131" s="43" t="s">
        <v>67</v>
      </c>
      <c r="I131" s="44" t="s">
        <v>279</v>
      </c>
      <c r="J131" s="45" t="n">
        <f aca="false">IF(AK131&gt;AJ131,AI131,AH131)</f>
        <v>5544</v>
      </c>
      <c r="K131" s="40" t="str">
        <f aca="false">IF(AK131&gt;AJ131,"Zoning estimate",IF(H131="Yes","Approved plans",IF(G131&gt;0,"Listing claim","110% old house")))</f>
        <v>110% old house</v>
      </c>
      <c r="L131" s="45" t="n">
        <f aca="false">IF(AK131&gt;AJ131,IF(AI131&gt;AH131,Assumptions!$B$22,Assumptions!$B$21),Assumptions!$B$21)</f>
        <v>2</v>
      </c>
      <c r="M131" s="46" t="n">
        <f aca="false">INDEX(Assumptions!$B$32:$B$44,MATCH(AG131,Assumptions!$A$32:$A$44,0))*(1+IF(UPPER(Assumptions!$B$27)="WORST",Assumptions!$B$24,IF(UPPER(Assumptions!$B$27)="BEST",Assumptions!$B$26,Assumptions!$B$25)))</f>
        <v>990</v>
      </c>
      <c r="N131" s="47" t="n">
        <f aca="false">J131*M131</f>
        <v>5488560</v>
      </c>
      <c r="O131" s="47" t="n">
        <f aca="false">D131</f>
        <v>1545000</v>
      </c>
      <c r="P131" s="47" t="n">
        <f aca="false">J131*Assumptions!$B$4</f>
        <v>3880800</v>
      </c>
      <c r="Q131" s="47" t="n">
        <f aca="false">IF(H131="Yes",Assumptions!$B$6*(D131),(J131)*Assumptions!$B$5)</f>
        <v>415800</v>
      </c>
      <c r="R131" s="47" t="n">
        <f aca="false">AL131*(Assumptions!$B$8*L131*Assumptions!$B$9+Assumptions!$B$10)</f>
        <v>512600.4</v>
      </c>
      <c r="S131" s="47" t="n">
        <f aca="false">O131*Assumptions!$B$11*L131</f>
        <v>37080</v>
      </c>
      <c r="T131" s="47" t="n">
        <f aca="false">N131*(Assumptions!$B$12+Assumptions!$B$13)</f>
        <v>305163.936</v>
      </c>
      <c r="U131" s="47" t="n">
        <f aca="false">N131*IF(N131&gt;=Assumptions!$B$16,Assumptions!$B$17,IF(N131&gt;=Assumptions!$B$14,Assumptions!$B$15,0))</f>
        <v>219542.4</v>
      </c>
      <c r="V131" s="48" t="n">
        <f aca="false">SUM(O131:U131)</f>
        <v>6915986.736</v>
      </c>
      <c r="W131" s="48" t="n">
        <f aca="false">N131-V131</f>
        <v>-1427426.736</v>
      </c>
      <c r="X131" s="49" t="n">
        <f aca="false">IF(V131=0,0,W131/V131)</f>
        <v>-0.206395239101569</v>
      </c>
      <c r="Y131" s="47" t="n">
        <f aca="false">MAX(0,(N131/(1+Assumptions!$B$23)-(J131*(Assumptions!$B$4+IF(H131="Yes",0,Assumptions!$B$5)))*(1+(Assumptions!$B$7*(Assumptions!$B$8*L131*Assumptions!$B$9+Assumptions!$B$10)))-N131*(Assumptions!$B$12+Assumptions!$B$13+IF(N131&gt;=Assumptions!$B$16,Assumptions!$B$17,IF(N131&gt;=Assumptions!$B$14,Assumptions!$B$15,0))))/((1+IF(H131="Yes",Assumptions!$B$6,0))*(1+(Assumptions!$B$7*(Assumptions!$B$8*L131*Assumptions!$B$9+Assumptions!$B$10)))+Assumptions!$B$11*L131))</f>
        <v>0</v>
      </c>
      <c r="Z131" s="50" t="str">
        <f aca="false">IF(Y131&lt;=0,"no price works",D131/Y131)</f>
        <v>no price works</v>
      </c>
      <c r="AA131" s="46" t="n">
        <f aca="false">INDEX(Assumptions!$B$32:$B$44,MATCH(AG131,Assumptions!$A$32:$A$44,0))*(1+Assumptions!$B$24)</f>
        <v>900</v>
      </c>
      <c r="AB131" s="47" t="n">
        <f aca="false">(J131)*AA131-(((D131)+(J131)*Assumptions!$B$4+IF(H131="Yes",Assumptions!$B$6*(D131),(J131)*Assumptions!$B$5))*(1+Assumptions!$B$7*(Assumptions!$B$8*(L131)*Assumptions!$B$9+Assumptions!$B$10))+(D131)*Assumptions!$B$11*(L131)+(J131)*AA131*(Assumptions!$B$12+Assumptions!$B$13+IF((J131)*AA131&gt;=Assumptions!$B$16,Assumptions!$B$17,IF((J131)*AA131&gt;=Assumptions!$B$14,Assumptions!$B$15,0))))</f>
        <v>-1679102.16</v>
      </c>
      <c r="AC131" s="46" t="n">
        <f aca="false">INDEX(Assumptions!$B$32:$B$44,MATCH(AG131,Assumptions!$A$32:$A$44,0))*(1+Assumptions!$B$25)</f>
        <v>990</v>
      </c>
      <c r="AD131" s="47" t="n">
        <f aca="false">(J131)*AC131-(((D131)+(J131)*Assumptions!$B$4+IF(H131="Yes",Assumptions!$B$6*(D131),(J131)*Assumptions!$B$5))*(1+Assumptions!$B$7*(Assumptions!$B$8*(L131)*Assumptions!$B$9+Assumptions!$B$10))+(D131)*Assumptions!$B$11*(L131)+(J131)*AC131*(Assumptions!$B$12+Assumptions!$B$13+IF((J131)*AC131&gt;=Assumptions!$B$16,Assumptions!$B$17,IF((J131)*AC131&gt;=Assumptions!$B$14,Assumptions!$B$15,0))))</f>
        <v>-1427426.736</v>
      </c>
      <c r="AE131" s="46" t="n">
        <f aca="false">INDEX(Assumptions!$B$32:$B$44,MATCH(AG131,Assumptions!$A$32:$A$44,0))*(1+Assumptions!$B$26)</f>
        <v>1080</v>
      </c>
      <c r="AF131" s="47" t="n">
        <f aca="false">(J131)*AE131-(((D131)+(J131)*Assumptions!$B$4+IF(H131="Yes",Assumptions!$B$6*(D131),(J131)*Assumptions!$B$5))*(1+Assumptions!$B$7*(Assumptions!$B$8*(L131)*Assumptions!$B$9+Assumptions!$B$10))+(D131)*Assumptions!$B$11*(L131)+(J131)*AE131*(Assumptions!$B$12+Assumptions!$B$13+IF((J131)*AE131&gt;=Assumptions!$B$16,Assumptions!$B$17,IF((J131)*AE131&gt;=Assumptions!$B$14,Assumptions!$B$15,0))))</f>
        <v>-976167.312000001</v>
      </c>
      <c r="AG131" s="40" t="s">
        <v>269</v>
      </c>
      <c r="AH131" s="45" t="n">
        <f aca="false">IF(G131&gt;0,G131,ROUND(F131*Assumptions!$B$18,0))</f>
        <v>5544</v>
      </c>
      <c r="AI131" s="45" t="n">
        <f aca="false">IF(H131="Yes",AH131,MAX(AH131,MIN(Assumptions!$B$20,ROUND(E131*Assumptions!$B$19,0))))</f>
        <v>5544</v>
      </c>
      <c r="AJ131" s="47" t="n">
        <f aca="false">(AH131)*AC131-(((D131)+(AH131)*Assumptions!$B$4+IF(H131="Yes",Assumptions!$B$6*(D131),(AH131)*Assumptions!$B$5))*(1+Assumptions!$B$7*(Assumptions!$B$8*(Assumptions!$B$21)*Assumptions!$B$9+Assumptions!$B$10))+(D131)*Assumptions!$B$11*(Assumptions!$B$21)+(AH131)*AC131*(Assumptions!$B$12+Assumptions!$B$13+IF((AH131)*AC131&gt;=Assumptions!$B$16,Assumptions!$B$17,IF((AH131)*AC131&gt;=Assumptions!$B$14,Assumptions!$B$15,0))))</f>
        <v>-1427426.736</v>
      </c>
      <c r="AK131" s="47" t="n">
        <f aca="false">(AI131)*AC131-(((D131)+(AI131)*Assumptions!$B$4+IF(H131="Yes",Assumptions!$B$6*(D131),(AI131)*Assumptions!$B$5))*(1+Assumptions!$B$7*(Assumptions!$B$8*(IF(AI131&gt;AH131,Assumptions!$B$22,Assumptions!$B$21))*Assumptions!$B$9+Assumptions!$B$10))+(D131)*Assumptions!$B$11*(IF(AI131&gt;AH131,Assumptions!$B$22,Assumptions!$B$21))+(AI131)*AC131*(Assumptions!$B$12+Assumptions!$B$13+IF((AI131)*AC131&gt;=Assumptions!$B$16,Assumptions!$B$17,IF((AI131)*AC131&gt;=Assumptions!$B$14,Assumptions!$B$15,0))))</f>
        <v>-1427426.736</v>
      </c>
      <c r="AL131" s="47" t="n">
        <f aca="false">Assumptions!$B$7*(O131+P131+Q131)</f>
        <v>3797040</v>
      </c>
    </row>
  </sheetData>
  <autoFilter ref="A2:AL131"/>
  <mergeCells count="6">
    <mergeCell ref="A1:I1"/>
    <mergeCell ref="J1:N1"/>
    <mergeCell ref="O1:V1"/>
    <mergeCell ref="W1:Z1"/>
    <mergeCell ref="AA1:AF1"/>
    <mergeCell ref="AG1:AL1"/>
  </mergeCells>
  <conditionalFormatting sqref="Z3:Z131">
    <cfRule type="expression" priority="2" aboveAverage="0" equalAverage="0" bottom="0" percent="0" rank="0" text="" dxfId="0">
      <formula>AND(ISNUMBER(Z3),Z3&lt;=1)</formula>
    </cfRule>
    <cfRule type="expression" priority="3" aboveAverage="0" equalAverage="0" bottom="0" percent="0" rank="0" text="" dxfId="1">
      <formula>OR(NOT(ISNUMBER(Z3)),Z3&gt;1)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286</v>
      </c>
    </row>
    <row r="3" customFormat="false" ht="15" hidden="false" customHeight="false" outlineLevel="0" collapsed="false">
      <c r="A3" s="51" t="s">
        <v>287</v>
      </c>
      <c r="B3" s="51" t="s">
        <v>288</v>
      </c>
      <c r="C3" s="51" t="s">
        <v>289</v>
      </c>
    </row>
    <row r="4" customFormat="false" ht="15" hidden="false" customHeight="false" outlineLevel="0" collapsed="false">
      <c r="A4" s="7" t="s">
        <v>290</v>
      </c>
      <c r="B4" s="52" t="n">
        <v>700</v>
      </c>
      <c r="C4" s="2" t="s">
        <v>291</v>
      </c>
    </row>
    <row r="5" customFormat="false" ht="15" hidden="false" customHeight="false" outlineLevel="0" collapsed="false">
      <c r="A5" s="7" t="s">
        <v>292</v>
      </c>
      <c r="B5" s="52" t="n">
        <v>75</v>
      </c>
      <c r="C5" s="2" t="s">
        <v>293</v>
      </c>
    </row>
    <row r="6" customFormat="false" ht="15" hidden="false" customHeight="false" outlineLevel="0" collapsed="false">
      <c r="A6" s="7" t="s">
        <v>294</v>
      </c>
      <c r="B6" s="53" t="n">
        <v>0.05</v>
      </c>
      <c r="C6" s="2" t="s">
        <v>295</v>
      </c>
    </row>
    <row r="7" customFormat="false" ht="15" hidden="false" customHeight="false" outlineLevel="0" collapsed="false">
      <c r="A7" s="7" t="s">
        <v>296</v>
      </c>
      <c r="B7" s="53" t="n">
        <v>0.65</v>
      </c>
      <c r="C7" s="2" t="s">
        <v>297</v>
      </c>
    </row>
    <row r="8" customFormat="false" ht="15" hidden="false" customHeight="false" outlineLevel="0" collapsed="false">
      <c r="A8" s="7" t="s">
        <v>298</v>
      </c>
      <c r="B8" s="53" t="n">
        <v>0.1</v>
      </c>
      <c r="C8" s="2" t="s">
        <v>299</v>
      </c>
    </row>
    <row r="9" customFormat="false" ht="15" hidden="false" customHeight="false" outlineLevel="0" collapsed="false">
      <c r="A9" s="7" t="s">
        <v>300</v>
      </c>
      <c r="B9" s="53" t="n">
        <v>0.6</v>
      </c>
      <c r="C9" s="2" t="s">
        <v>301</v>
      </c>
    </row>
    <row r="10" customFormat="false" ht="15" hidden="false" customHeight="false" outlineLevel="0" collapsed="false">
      <c r="A10" s="7" t="s">
        <v>302</v>
      </c>
      <c r="B10" s="53" t="n">
        <v>0.015</v>
      </c>
      <c r="C10" s="2" t="s">
        <v>299</v>
      </c>
    </row>
    <row r="11" customFormat="false" ht="15" hidden="false" customHeight="false" outlineLevel="0" collapsed="false">
      <c r="A11" s="7" t="s">
        <v>303</v>
      </c>
      <c r="B11" s="53" t="n">
        <v>0.012</v>
      </c>
      <c r="C11" s="2" t="s">
        <v>304</v>
      </c>
    </row>
    <row r="12" customFormat="false" ht="15" hidden="false" customHeight="false" outlineLevel="0" collapsed="false">
      <c r="A12" s="7" t="s">
        <v>305</v>
      </c>
      <c r="B12" s="53" t="n">
        <v>0.05</v>
      </c>
      <c r="C12" s="2" t="s">
        <v>299</v>
      </c>
    </row>
    <row r="13" customFormat="false" ht="15" hidden="false" customHeight="false" outlineLevel="0" collapsed="false">
      <c r="A13" s="7" t="s">
        <v>306</v>
      </c>
      <c r="B13" s="53" t="n">
        <v>0.0056</v>
      </c>
      <c r="C13" s="2" t="s">
        <v>307</v>
      </c>
    </row>
    <row r="14" customFormat="false" ht="15" hidden="false" customHeight="false" outlineLevel="0" collapsed="false">
      <c r="A14" s="7" t="s">
        <v>308</v>
      </c>
      <c r="B14" s="52" t="n">
        <v>5400000</v>
      </c>
      <c r="C14" s="2" t="s">
        <v>309</v>
      </c>
    </row>
    <row r="15" customFormat="false" ht="15" hidden="false" customHeight="false" outlineLevel="0" collapsed="false">
      <c r="A15" s="7" t="s">
        <v>310</v>
      </c>
      <c r="B15" s="53" t="n">
        <v>0.04</v>
      </c>
      <c r="C15" s="2" t="s">
        <v>311</v>
      </c>
    </row>
    <row r="16" customFormat="false" ht="15" hidden="false" customHeight="false" outlineLevel="0" collapsed="false">
      <c r="A16" s="7" t="s">
        <v>312</v>
      </c>
      <c r="B16" s="52" t="n">
        <v>10900000</v>
      </c>
      <c r="C16" s="2" t="s">
        <v>313</v>
      </c>
    </row>
    <row r="17" customFormat="false" ht="15" hidden="false" customHeight="false" outlineLevel="0" collapsed="false">
      <c r="A17" s="7" t="s">
        <v>314</v>
      </c>
      <c r="B17" s="53" t="n">
        <v>0.055</v>
      </c>
      <c r="C17" s="2" t="s">
        <v>315</v>
      </c>
    </row>
    <row r="18" customFormat="false" ht="15" hidden="false" customHeight="false" outlineLevel="0" collapsed="false">
      <c r="A18" s="7" t="s">
        <v>316</v>
      </c>
      <c r="B18" s="54" t="n">
        <v>1.1</v>
      </c>
      <c r="C18" s="2" t="s">
        <v>317</v>
      </c>
    </row>
    <row r="19" customFormat="false" ht="15" hidden="false" customHeight="false" outlineLevel="0" collapsed="false">
      <c r="A19" s="7" t="s">
        <v>318</v>
      </c>
      <c r="B19" s="54" t="n">
        <v>0.4</v>
      </c>
      <c r="C19" s="2" t="s">
        <v>319</v>
      </c>
    </row>
    <row r="20" customFormat="false" ht="15" hidden="false" customHeight="false" outlineLevel="0" collapsed="false">
      <c r="A20" s="7" t="s">
        <v>320</v>
      </c>
      <c r="B20" s="55" t="n">
        <v>8000</v>
      </c>
      <c r="C20" s="2" t="s">
        <v>321</v>
      </c>
    </row>
    <row r="21" customFormat="false" ht="15" hidden="false" customHeight="false" outlineLevel="0" collapsed="false">
      <c r="A21" s="7" t="s">
        <v>322</v>
      </c>
      <c r="B21" s="55" t="n">
        <v>2</v>
      </c>
      <c r="C21" s="2" t="s">
        <v>323</v>
      </c>
    </row>
    <row r="22" customFormat="false" ht="15" hidden="false" customHeight="false" outlineLevel="0" collapsed="false">
      <c r="A22" s="7" t="s">
        <v>324</v>
      </c>
      <c r="B22" s="55" t="n">
        <v>3</v>
      </c>
      <c r="C22" s="2" t="s">
        <v>325</v>
      </c>
    </row>
    <row r="23" customFormat="false" ht="15" hidden="false" customHeight="false" outlineLevel="0" collapsed="false">
      <c r="A23" s="7" t="s">
        <v>326</v>
      </c>
      <c r="B23" s="53" t="n">
        <v>0.15</v>
      </c>
      <c r="C23" s="2" t="s">
        <v>327</v>
      </c>
    </row>
    <row r="24" customFormat="false" ht="15" hidden="false" customHeight="false" outlineLevel="0" collapsed="false">
      <c r="A24" s="7" t="s">
        <v>328</v>
      </c>
      <c r="B24" s="53" t="n">
        <v>0</v>
      </c>
      <c r="C24" s="2" t="s">
        <v>329</v>
      </c>
    </row>
    <row r="25" customFormat="false" ht="15" hidden="false" customHeight="false" outlineLevel="0" collapsed="false">
      <c r="A25" s="7" t="s">
        <v>330</v>
      </c>
      <c r="B25" s="53" t="n">
        <v>0.1</v>
      </c>
      <c r="C25" s="2" t="s">
        <v>331</v>
      </c>
    </row>
    <row r="26" customFormat="false" ht="15" hidden="false" customHeight="false" outlineLevel="0" collapsed="false">
      <c r="A26" s="7" t="s">
        <v>332</v>
      </c>
      <c r="B26" s="53" t="n">
        <v>0.2</v>
      </c>
      <c r="C26" s="2" t="s">
        <v>333</v>
      </c>
    </row>
    <row r="27" customFormat="false" ht="15" hidden="false" customHeight="false" outlineLevel="0" collapsed="false">
      <c r="A27" s="7" t="s">
        <v>334</v>
      </c>
      <c r="B27" s="56" t="s">
        <v>335</v>
      </c>
      <c r="C27" s="2" t="s">
        <v>336</v>
      </c>
    </row>
    <row r="30" customFormat="false" ht="15" hidden="false" customHeight="false" outlineLevel="0" collapsed="false">
      <c r="A30" s="57" t="s">
        <v>337</v>
      </c>
    </row>
    <row r="31" customFormat="false" ht="15" hidden="false" customHeight="false" outlineLevel="0" collapsed="false">
      <c r="A31" s="51" t="s">
        <v>338</v>
      </c>
      <c r="B31" s="51" t="s">
        <v>339</v>
      </c>
      <c r="C31" s="51" t="s">
        <v>340</v>
      </c>
    </row>
    <row r="32" customFormat="false" ht="15" hidden="false" customHeight="false" outlineLevel="0" collapsed="false">
      <c r="A32" s="7" t="s">
        <v>69</v>
      </c>
      <c r="B32" s="52" t="n">
        <v>1860</v>
      </c>
      <c r="C32" s="2" t="s">
        <v>341</v>
      </c>
    </row>
    <row r="33" customFormat="false" ht="15" hidden="false" customHeight="false" outlineLevel="0" collapsed="false">
      <c r="A33" s="7" t="s">
        <v>78</v>
      </c>
      <c r="B33" s="52" t="n">
        <v>1850</v>
      </c>
      <c r="C33" s="2" t="s">
        <v>342</v>
      </c>
    </row>
    <row r="34" customFormat="false" ht="15" hidden="false" customHeight="false" outlineLevel="0" collapsed="false">
      <c r="A34" s="7" t="s">
        <v>343</v>
      </c>
      <c r="B34" s="52" t="n">
        <v>1750</v>
      </c>
      <c r="C34" s="2" t="s">
        <v>344</v>
      </c>
    </row>
    <row r="35" customFormat="false" ht="15" hidden="false" customHeight="false" outlineLevel="0" collapsed="false">
      <c r="A35" s="7" t="s">
        <v>73</v>
      </c>
      <c r="B35" s="52" t="n">
        <v>1400</v>
      </c>
      <c r="C35" s="2" t="s">
        <v>345</v>
      </c>
    </row>
    <row r="36" customFormat="false" ht="15" hidden="false" customHeight="false" outlineLevel="0" collapsed="false">
      <c r="A36" s="7" t="s">
        <v>117</v>
      </c>
      <c r="B36" s="52" t="n">
        <v>1400</v>
      </c>
      <c r="C36" s="2" t="s">
        <v>346</v>
      </c>
    </row>
    <row r="37" customFormat="false" ht="15" hidden="false" customHeight="false" outlineLevel="0" collapsed="false">
      <c r="A37" s="7" t="s">
        <v>126</v>
      </c>
      <c r="B37" s="52" t="n">
        <v>1300</v>
      </c>
      <c r="C37" s="2" t="s">
        <v>347</v>
      </c>
    </row>
    <row r="38" customFormat="false" ht="15" hidden="false" customHeight="false" outlineLevel="0" collapsed="false">
      <c r="A38" s="7" t="s">
        <v>100</v>
      </c>
      <c r="B38" s="52" t="n">
        <v>1250</v>
      </c>
      <c r="C38" s="2" t="s">
        <v>348</v>
      </c>
    </row>
    <row r="39" customFormat="false" ht="15" hidden="false" customHeight="false" outlineLevel="0" collapsed="false">
      <c r="A39" s="7" t="s">
        <v>109</v>
      </c>
      <c r="B39" s="52" t="n">
        <v>1250</v>
      </c>
      <c r="C39" s="2" t="s">
        <v>349</v>
      </c>
    </row>
    <row r="40" customFormat="false" ht="15" hidden="false" customHeight="false" outlineLevel="0" collapsed="false">
      <c r="A40" s="7" t="s">
        <v>132</v>
      </c>
      <c r="B40" s="52" t="n">
        <v>1250</v>
      </c>
      <c r="C40" s="2" t="s">
        <v>350</v>
      </c>
    </row>
    <row r="41" customFormat="false" ht="15" hidden="false" customHeight="false" outlineLevel="0" collapsed="false">
      <c r="A41" s="7" t="s">
        <v>202</v>
      </c>
      <c r="B41" s="52" t="n">
        <v>1200</v>
      </c>
      <c r="C41" s="2" t="s">
        <v>351</v>
      </c>
    </row>
    <row r="42" customFormat="false" ht="15" hidden="false" customHeight="false" outlineLevel="0" collapsed="false">
      <c r="A42" s="7" t="s">
        <v>257</v>
      </c>
      <c r="B42" s="52" t="n">
        <v>1000</v>
      </c>
      <c r="C42" s="2" t="s">
        <v>352</v>
      </c>
    </row>
    <row r="43" customFormat="false" ht="15" hidden="false" customHeight="false" outlineLevel="0" collapsed="false">
      <c r="A43" s="7" t="s">
        <v>274</v>
      </c>
      <c r="B43" s="52" t="n">
        <v>900</v>
      </c>
      <c r="C43" s="2" t="s">
        <v>353</v>
      </c>
    </row>
    <row r="44" customFormat="false" ht="15" hidden="false" customHeight="false" outlineLevel="0" collapsed="false">
      <c r="A44" s="7" t="s">
        <v>269</v>
      </c>
      <c r="B44" s="52" t="n">
        <v>900</v>
      </c>
      <c r="C44" s="2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355</v>
      </c>
    </row>
    <row r="2" customFormat="false" ht="15" hidden="false" customHeight="false" outlineLevel="0" collapsed="false">
      <c r="A2" s="51" t="s">
        <v>356</v>
      </c>
      <c r="B2" s="51" t="s">
        <v>49</v>
      </c>
      <c r="C2" s="51" t="s">
        <v>9</v>
      </c>
      <c r="D2" s="51" t="s">
        <v>357</v>
      </c>
      <c r="E2" s="51" t="s">
        <v>358</v>
      </c>
      <c r="F2" s="51" t="s">
        <v>359</v>
      </c>
      <c r="G2" s="51" t="s">
        <v>360</v>
      </c>
      <c r="H2" s="51" t="s">
        <v>361</v>
      </c>
      <c r="I2" s="51" t="s">
        <v>362</v>
      </c>
    </row>
    <row r="3" customFormat="false" ht="15" hidden="false" customHeight="false" outlineLevel="0" collapsed="false">
      <c r="A3" s="7" t="s">
        <v>363</v>
      </c>
      <c r="B3" s="7" t="s">
        <v>364</v>
      </c>
      <c r="C3" s="7" t="s">
        <v>124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365</v>
      </c>
      <c r="I3" s="7" t="s">
        <v>366</v>
      </c>
    </row>
    <row r="4" customFormat="false" ht="15" hidden="false" customHeight="false" outlineLevel="0" collapsed="false">
      <c r="A4" s="7" t="s">
        <v>367</v>
      </c>
      <c r="B4" s="7" t="s">
        <v>368</v>
      </c>
      <c r="C4" s="7" t="s">
        <v>71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369</v>
      </c>
      <c r="I4" s="7" t="s">
        <v>370</v>
      </c>
    </row>
    <row r="5" customFormat="false" ht="15" hidden="false" customHeight="false" outlineLevel="0" collapsed="false">
      <c r="A5" s="7" t="s">
        <v>367</v>
      </c>
      <c r="B5" s="7" t="s">
        <v>371</v>
      </c>
      <c r="C5" s="7" t="s">
        <v>71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369</v>
      </c>
      <c r="I5" s="7" t="s">
        <v>372</v>
      </c>
    </row>
    <row r="6" customFormat="false" ht="15" hidden="false" customHeight="false" outlineLevel="0" collapsed="false">
      <c r="A6" s="7" t="s">
        <v>373</v>
      </c>
      <c r="B6" s="7" t="s">
        <v>374</v>
      </c>
      <c r="C6" s="7" t="s">
        <v>66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375</v>
      </c>
      <c r="I6" s="7" t="s">
        <v>376</v>
      </c>
    </row>
    <row r="7" customFormat="false" ht="15" hidden="false" customHeight="false" outlineLevel="0" collapsed="false">
      <c r="A7" s="7" t="s">
        <v>377</v>
      </c>
      <c r="B7" s="7" t="s">
        <v>378</v>
      </c>
      <c r="C7" s="7" t="s">
        <v>75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369</v>
      </c>
      <c r="I7" s="7" t="s">
        <v>379</v>
      </c>
    </row>
    <row r="8" customFormat="false" ht="15" hidden="false" customHeight="false" outlineLevel="0" collapsed="false">
      <c r="A8" s="7" t="s">
        <v>380</v>
      </c>
      <c r="B8" s="7" t="s">
        <v>381</v>
      </c>
      <c r="C8" s="7" t="s">
        <v>382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375</v>
      </c>
      <c r="I8" s="7" t="s">
        <v>383</v>
      </c>
    </row>
    <row r="9" customFormat="false" ht="15" hidden="false" customHeight="false" outlineLevel="0" collapsed="false">
      <c r="A9" s="7" t="s">
        <v>384</v>
      </c>
      <c r="B9" s="7" t="s">
        <v>385</v>
      </c>
      <c r="C9" s="7" t="s">
        <v>201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386</v>
      </c>
      <c r="I9" s="7" t="s">
        <v>387</v>
      </c>
    </row>
    <row r="10" customFormat="false" ht="15" hidden="false" customHeight="false" outlineLevel="0" collapsed="false">
      <c r="A10" s="7" t="s">
        <v>388</v>
      </c>
      <c r="B10" s="7" t="s">
        <v>389</v>
      </c>
      <c r="C10" s="7" t="s">
        <v>201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386</v>
      </c>
      <c r="I10" s="7" t="s">
        <v>390</v>
      </c>
    </row>
    <row r="11" customFormat="false" ht="15" hidden="false" customHeight="false" outlineLevel="0" collapsed="false">
      <c r="A11" s="7" t="s">
        <v>388</v>
      </c>
      <c r="B11" s="7" t="s">
        <v>391</v>
      </c>
      <c r="C11" s="7" t="s">
        <v>66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375</v>
      </c>
      <c r="I11" s="7" t="s">
        <v>392</v>
      </c>
    </row>
    <row r="12" customFormat="false" ht="15" hidden="false" customHeight="false" outlineLevel="0" collapsed="false">
      <c r="A12" s="7" t="s">
        <v>393</v>
      </c>
      <c r="B12" s="7" t="s">
        <v>394</v>
      </c>
      <c r="C12" s="7" t="s">
        <v>66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375</v>
      </c>
      <c r="I12" s="7" t="s">
        <v>395</v>
      </c>
    </row>
    <row r="13" customFormat="false" ht="15" hidden="false" customHeight="false" outlineLevel="0" collapsed="false">
      <c r="A13" s="7" t="s">
        <v>393</v>
      </c>
      <c r="B13" s="7" t="s">
        <v>396</v>
      </c>
      <c r="C13" s="7" t="s">
        <v>66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375</v>
      </c>
      <c r="I13" s="7" t="s">
        <v>397</v>
      </c>
    </row>
    <row r="14" customFormat="false" ht="15" hidden="false" customHeight="false" outlineLevel="0" collapsed="false">
      <c r="A14" s="7" t="s">
        <v>398</v>
      </c>
      <c r="B14" s="7" t="s">
        <v>399</v>
      </c>
      <c r="C14" s="7" t="s">
        <v>71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369</v>
      </c>
      <c r="I14" s="7" t="s">
        <v>400</v>
      </c>
    </row>
    <row r="15" customFormat="false" ht="15" hidden="false" customHeight="false" outlineLevel="0" collapsed="false">
      <c r="A15" s="7" t="s">
        <v>401</v>
      </c>
      <c r="B15" s="7" t="s">
        <v>402</v>
      </c>
      <c r="C15" s="7" t="s">
        <v>201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375</v>
      </c>
      <c r="I15" s="7" t="s">
        <v>403</v>
      </c>
    </row>
    <row r="16" customFormat="false" ht="15" hidden="false" customHeight="false" outlineLevel="0" collapsed="false">
      <c r="A16" s="7" t="s">
        <v>404</v>
      </c>
      <c r="B16" s="7" t="s">
        <v>405</v>
      </c>
      <c r="C16" s="7" t="s">
        <v>115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369</v>
      </c>
      <c r="I16" s="7" t="s">
        <v>406</v>
      </c>
    </row>
    <row r="17" customFormat="false" ht="15" hidden="false" customHeight="false" outlineLevel="0" collapsed="false">
      <c r="A17" s="7" t="s">
        <v>407</v>
      </c>
      <c r="B17" s="7" t="s">
        <v>408</v>
      </c>
      <c r="C17" s="7" t="s">
        <v>115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369</v>
      </c>
      <c r="I17" s="7" t="s">
        <v>409</v>
      </c>
    </row>
    <row r="18" customFormat="false" ht="15" hidden="false" customHeight="false" outlineLevel="0" collapsed="false">
      <c r="A18" s="7" t="s">
        <v>410</v>
      </c>
      <c r="B18" s="7" t="s">
        <v>411</v>
      </c>
      <c r="C18" s="7" t="s">
        <v>66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375</v>
      </c>
      <c r="I18" s="7" t="s">
        <v>412</v>
      </c>
    </row>
    <row r="19" customFormat="false" ht="15" hidden="false" customHeight="false" outlineLevel="0" collapsed="false">
      <c r="A19" s="7" t="s">
        <v>413</v>
      </c>
      <c r="B19" s="7" t="s">
        <v>414</v>
      </c>
      <c r="C19" s="7" t="s">
        <v>66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375</v>
      </c>
      <c r="I19" s="7" t="s">
        <v>415</v>
      </c>
    </row>
    <row r="20" customFormat="false" ht="15" hidden="false" customHeight="false" outlineLevel="0" collapsed="false">
      <c r="A20" s="7" t="s">
        <v>416</v>
      </c>
      <c r="B20" s="7" t="s">
        <v>417</v>
      </c>
      <c r="C20" s="7" t="s">
        <v>66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375</v>
      </c>
      <c r="I20" s="7" t="s">
        <v>418</v>
      </c>
    </row>
    <row r="21" customFormat="false" ht="15" hidden="false" customHeight="false" outlineLevel="0" collapsed="false">
      <c r="A21" s="7" t="s">
        <v>419</v>
      </c>
      <c r="B21" s="7" t="s">
        <v>420</v>
      </c>
      <c r="C21" s="7" t="s">
        <v>124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375</v>
      </c>
      <c r="I21" s="7" t="s">
        <v>421</v>
      </c>
    </row>
    <row r="22" customFormat="false" ht="15" hidden="false" customHeight="false" outlineLevel="0" collapsed="false">
      <c r="A22" s="7" t="s">
        <v>422</v>
      </c>
      <c r="B22" s="7" t="s">
        <v>423</v>
      </c>
      <c r="C22" s="7" t="s">
        <v>66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375</v>
      </c>
      <c r="I22" s="7" t="s">
        <v>424</v>
      </c>
    </row>
    <row r="23" customFormat="false" ht="15" hidden="false" customHeight="false" outlineLevel="0" collapsed="false">
      <c r="A23" s="7" t="s">
        <v>425</v>
      </c>
      <c r="B23" s="7" t="s">
        <v>426</v>
      </c>
      <c r="C23" s="7" t="s">
        <v>75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369</v>
      </c>
      <c r="I23" s="7" t="s">
        <v>427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428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429</v>
      </c>
      <c r="B26" s="60" t="s">
        <v>49</v>
      </c>
      <c r="C26" s="60" t="s">
        <v>9</v>
      </c>
      <c r="D26" s="60" t="s">
        <v>430</v>
      </c>
      <c r="E26" s="60" t="s">
        <v>358</v>
      </c>
      <c r="F26" s="60" t="s">
        <v>359</v>
      </c>
      <c r="G26" s="60" t="s">
        <v>360</v>
      </c>
      <c r="H26" s="60" t="s">
        <v>431</v>
      </c>
      <c r="I26" s="60" t="s">
        <v>362</v>
      </c>
    </row>
    <row r="27" customFormat="false" ht="15" hidden="false" customHeight="false" outlineLevel="0" collapsed="false">
      <c r="A27" s="7" t="s">
        <v>432</v>
      </c>
      <c r="B27" s="7" t="s">
        <v>433</v>
      </c>
      <c r="C27" s="7" t="s">
        <v>434</v>
      </c>
      <c r="D27" s="58" t="n">
        <v>9990000</v>
      </c>
      <c r="E27" s="59" t="n">
        <v>6559</v>
      </c>
      <c r="F27" s="58" t="n">
        <v>1523</v>
      </c>
      <c r="G27" s="7" t="s">
        <v>435</v>
      </c>
      <c r="H27" s="7" t="s">
        <v>436</v>
      </c>
      <c r="I27" s="7" t="s">
        <v>437</v>
      </c>
    </row>
    <row r="28" customFormat="false" ht="15" hidden="false" customHeight="false" outlineLevel="0" collapsed="false">
      <c r="A28" s="7" t="s">
        <v>438</v>
      </c>
      <c r="B28" s="7" t="s">
        <v>439</v>
      </c>
      <c r="C28" s="7" t="s">
        <v>440</v>
      </c>
      <c r="D28" s="58" t="n">
        <v>4295000</v>
      </c>
      <c r="E28" s="59" t="n">
        <v>3097</v>
      </c>
      <c r="F28" s="58" t="n">
        <v>1387</v>
      </c>
      <c r="G28" s="7" t="s">
        <v>441</v>
      </c>
      <c r="H28" s="7" t="s">
        <v>442</v>
      </c>
      <c r="I28" s="7" t="s">
        <v>443</v>
      </c>
    </row>
    <row r="29" customFormat="false" ht="15" hidden="false" customHeight="false" outlineLevel="0" collapsed="false">
      <c r="A29" s="7"/>
      <c r="B29" s="7" t="s">
        <v>444</v>
      </c>
      <c r="C29" s="7" t="s">
        <v>440</v>
      </c>
      <c r="D29" s="58" t="n">
        <v>5495000</v>
      </c>
      <c r="E29" s="59" t="n">
        <v>3954</v>
      </c>
      <c r="F29" s="58" t="n">
        <v>1390</v>
      </c>
      <c r="G29" s="7" t="s">
        <v>441</v>
      </c>
      <c r="H29" s="7" t="s">
        <v>445</v>
      </c>
      <c r="I29" s="7" t="s">
        <v>443</v>
      </c>
    </row>
    <row r="30" customFormat="false" ht="15" hidden="false" customHeight="false" outlineLevel="0" collapsed="false">
      <c r="A30" s="7" t="s">
        <v>446</v>
      </c>
      <c r="B30" s="7" t="s">
        <v>447</v>
      </c>
      <c r="C30" s="7" t="s">
        <v>448</v>
      </c>
      <c r="D30" s="58" t="n">
        <v>4995000</v>
      </c>
      <c r="E30" s="59" t="n">
        <v>3667</v>
      </c>
      <c r="F30" s="58" t="n">
        <v>1362</v>
      </c>
      <c r="G30" s="7" t="s">
        <v>441</v>
      </c>
      <c r="H30" s="7" t="s">
        <v>442</v>
      </c>
      <c r="I30" s="7" t="s">
        <v>449</v>
      </c>
    </row>
    <row r="31" customFormat="false" ht="15" hidden="false" customHeight="false" outlineLevel="0" collapsed="false">
      <c r="A31" s="7" t="s">
        <v>450</v>
      </c>
      <c r="B31" s="7" t="s">
        <v>451</v>
      </c>
      <c r="C31" s="7" t="s">
        <v>452</v>
      </c>
      <c r="D31" s="58" t="n">
        <v>13995000</v>
      </c>
      <c r="E31" s="59" t="n">
        <v>6511</v>
      </c>
      <c r="F31" s="58" t="n">
        <v>2149</v>
      </c>
      <c r="G31" s="7" t="s">
        <v>441</v>
      </c>
      <c r="H31" s="7" t="s">
        <v>453</v>
      </c>
      <c r="I31" s="7" t="s">
        <v>443</v>
      </c>
    </row>
    <row r="32" customFormat="false" ht="15" hidden="false" customHeight="false" outlineLevel="0" collapsed="false">
      <c r="A32" s="7" t="s">
        <v>432</v>
      </c>
      <c r="B32" s="7" t="s">
        <v>454</v>
      </c>
      <c r="C32" s="7" t="s">
        <v>448</v>
      </c>
      <c r="D32" s="58" t="n">
        <v>5995000</v>
      </c>
      <c r="E32" s="59" t="n">
        <v>4315</v>
      </c>
      <c r="F32" s="58" t="n">
        <v>1389</v>
      </c>
      <c r="G32" s="7" t="s">
        <v>441</v>
      </c>
      <c r="H32" s="7" t="s">
        <v>455</v>
      </c>
      <c r="I32" s="7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2026-10-01T22:25:06Z</dcterms:created>
  <dc:creator>openpyxl</dc:creator>
  <dc:description/>
  <dc:language>en-US</dc:language>
  <cp:lastModifiedBy/>
  <dcterms:modified xsi:type="dcterms:W3CDTF">2026-10-01T22:25:06Z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